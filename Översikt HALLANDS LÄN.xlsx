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52544-2020</t>
        </is>
      </c>
      <c r="B2" s="1" t="n">
        <v>44116</v>
      </c>
      <c r="C2" s="1" t="n">
        <v>45627</v>
      </c>
      <c r="D2" t="inlineStr">
        <is>
          <t>HALLANDS LÄN</t>
        </is>
      </c>
      <c r="E2" t="inlineStr">
        <is>
          <t>VARBERG</t>
        </is>
      </c>
      <c r="F2" t="inlineStr">
        <is>
          <t>Kyrkan</t>
        </is>
      </c>
      <c r="G2" t="n">
        <v>12.1</v>
      </c>
      <c r="H2" t="n">
        <v>3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8</v>
      </c>
      <c r="R2" s="2" t="inlineStr">
        <is>
          <t>Brunpudrad nållav
Spillkråka
Brandticka
Gulnål
Stor revmossa
Thomsons trägnagare
Tjäder
Revlummer</t>
        </is>
      </c>
      <c r="S2">
        <f>HYPERLINK("https://klasma.github.io/Logging_1383/artfynd/A 52544-2020 artfynd.xlsx", "A 52544-2020")</f>
        <v/>
      </c>
      <c r="T2">
        <f>HYPERLINK("https://klasma.github.io/Logging_1383/kartor/A 52544-2020 karta.png", "A 52544-2020")</f>
        <v/>
      </c>
      <c r="V2">
        <f>HYPERLINK("https://klasma.github.io/Logging_1383/klagomål/A 52544-2020 FSC-klagomål.docx", "A 52544-2020")</f>
        <v/>
      </c>
      <c r="W2">
        <f>HYPERLINK("https://klasma.github.io/Logging_1383/klagomålsmail/A 52544-2020 FSC-klagomål mail.docx", "A 52544-2020")</f>
        <v/>
      </c>
      <c r="X2">
        <f>HYPERLINK("https://klasma.github.io/Logging_1383/tillsyn/A 52544-2020 tillsynsbegäran.docx", "A 52544-2020")</f>
        <v/>
      </c>
      <c r="Y2">
        <f>HYPERLINK("https://klasma.github.io/Logging_1383/tillsynsmail/A 52544-2020 tillsynsbegäran mail.docx", "A 52544-2020")</f>
        <v/>
      </c>
      <c r="Z2">
        <f>HYPERLINK("https://klasma.github.io/Logging_1383/fåglar/A 52544-2020 prioriterade fågelarter.docx", "A 52544-2020")</f>
        <v/>
      </c>
    </row>
    <row r="3" ht="15" customHeight="1">
      <c r="A3" t="inlineStr">
        <is>
          <t>A 5005-2022</t>
        </is>
      </c>
      <c r="B3" s="1" t="n">
        <v>44593</v>
      </c>
      <c r="C3" s="1" t="n">
        <v>45627</v>
      </c>
      <c r="D3" t="inlineStr">
        <is>
          <t>HALLANDS LÄN</t>
        </is>
      </c>
      <c r="E3" t="inlineStr">
        <is>
          <t>FALKENBERG</t>
        </is>
      </c>
      <c r="F3" t="inlineStr">
        <is>
          <t>Kyrkan</t>
        </is>
      </c>
      <c r="G3" t="n">
        <v>4.1</v>
      </c>
      <c r="H3" t="n">
        <v>2</v>
      </c>
      <c r="I3" t="n">
        <v>4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Ved-lavklubba
Grynig filtlav
Spillkråka
Blåsfliksmossa
Jättesvampmal
Klippfrullania
Stubbspretmossa
Gröngöling</t>
        </is>
      </c>
      <c r="S3">
        <f>HYPERLINK("https://klasma.github.io/Logging_1382/artfynd/A 5005-2022 artfynd.xlsx", "A 5005-2022")</f>
        <v/>
      </c>
      <c r="T3">
        <f>HYPERLINK("https://klasma.github.io/Logging_1382/kartor/A 5005-2022 karta.png", "A 5005-2022")</f>
        <v/>
      </c>
      <c r="V3">
        <f>HYPERLINK("https://klasma.github.io/Logging_1382/klagomål/A 5005-2022 FSC-klagomål.docx", "A 5005-2022")</f>
        <v/>
      </c>
      <c r="W3">
        <f>HYPERLINK("https://klasma.github.io/Logging_1382/klagomålsmail/A 5005-2022 FSC-klagomål mail.docx", "A 5005-2022")</f>
        <v/>
      </c>
      <c r="X3">
        <f>HYPERLINK("https://klasma.github.io/Logging_1382/tillsyn/A 5005-2022 tillsynsbegäran.docx", "A 5005-2022")</f>
        <v/>
      </c>
      <c r="Y3">
        <f>HYPERLINK("https://klasma.github.io/Logging_1382/tillsynsmail/A 5005-2022 tillsynsbegäran mail.docx", "A 5005-2022")</f>
        <v/>
      </c>
      <c r="Z3">
        <f>HYPERLINK("https://klasma.github.io/Logging_1382/fåglar/A 5005-2022 prioriterade fågelarter.docx", "A 5005-2022")</f>
        <v/>
      </c>
    </row>
    <row r="4" ht="15" customHeight="1">
      <c r="A4" t="inlineStr">
        <is>
          <t>A 9526-2024</t>
        </is>
      </c>
      <c r="B4" s="1" t="n">
        <v>45359</v>
      </c>
      <c r="C4" s="1" t="n">
        <v>45627</v>
      </c>
      <c r="D4" t="inlineStr">
        <is>
          <t>HALLANDS LÄN</t>
        </is>
      </c>
      <c r="E4" t="inlineStr">
        <is>
          <t>KUNGSBACKA</t>
        </is>
      </c>
      <c r="F4" t="inlineStr">
        <is>
          <t>Kyrkan</t>
        </is>
      </c>
      <c r="G4" t="n">
        <v>6.9</v>
      </c>
      <c r="H4" t="n">
        <v>5</v>
      </c>
      <c r="I4" t="n">
        <v>0</v>
      </c>
      <c r="J4" t="n">
        <v>3</v>
      </c>
      <c r="K4" t="n">
        <v>0</v>
      </c>
      <c r="L4" t="n">
        <v>1</v>
      </c>
      <c r="M4" t="n">
        <v>0</v>
      </c>
      <c r="N4" t="n">
        <v>0</v>
      </c>
      <c r="O4" t="n">
        <v>4</v>
      </c>
      <c r="P4" t="n">
        <v>1</v>
      </c>
      <c r="Q4" t="n">
        <v>5</v>
      </c>
      <c r="R4" s="2" t="inlineStr">
        <is>
          <t>Grönfink
Entita
Hornuggla
Rödvingetrast
Gröngöling</t>
        </is>
      </c>
      <c r="S4">
        <f>HYPERLINK("https://klasma.github.io/Logging_1384/artfynd/A 9526-2024 artfynd.xlsx", "A 9526-2024")</f>
        <v/>
      </c>
      <c r="T4">
        <f>HYPERLINK("https://klasma.github.io/Logging_1384/kartor/A 9526-2024 karta.png", "A 9526-2024")</f>
        <v/>
      </c>
      <c r="V4">
        <f>HYPERLINK("https://klasma.github.io/Logging_1384/klagomål/A 9526-2024 FSC-klagomål.docx", "A 9526-2024")</f>
        <v/>
      </c>
      <c r="W4">
        <f>HYPERLINK("https://klasma.github.io/Logging_1384/klagomålsmail/A 9526-2024 FSC-klagomål mail.docx", "A 9526-2024")</f>
        <v/>
      </c>
      <c r="X4">
        <f>HYPERLINK("https://klasma.github.io/Logging_1384/tillsyn/A 9526-2024 tillsynsbegäran.docx", "A 9526-2024")</f>
        <v/>
      </c>
      <c r="Y4">
        <f>HYPERLINK("https://klasma.github.io/Logging_1384/tillsynsmail/A 9526-2024 tillsynsbegäran mail.docx", "A 9526-2024")</f>
        <v/>
      </c>
      <c r="Z4">
        <f>HYPERLINK("https://klasma.github.io/Logging_1384/fåglar/A 9526-2024 prioriterade fågelarter.docx", "A 9526-2024")</f>
        <v/>
      </c>
    </row>
    <row r="5" ht="15" customHeight="1">
      <c r="A5" t="inlineStr">
        <is>
          <t>A 15197-2024</t>
        </is>
      </c>
      <c r="B5" s="1" t="n">
        <v>45400</v>
      </c>
      <c r="C5" s="1" t="n">
        <v>45627</v>
      </c>
      <c r="D5" t="inlineStr">
        <is>
          <t>HALLANDS LÄN</t>
        </is>
      </c>
      <c r="E5" t="inlineStr">
        <is>
          <t>LAHOLM</t>
        </is>
      </c>
      <c r="G5" t="n">
        <v>15.1</v>
      </c>
      <c r="H5" t="n">
        <v>1</v>
      </c>
      <c r="I5" t="n">
        <v>3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5</v>
      </c>
      <c r="R5" s="2" t="inlineStr">
        <is>
          <t>Vildris
Skirmossa
Dvärghäxört
Grovticka
Guldlockmossa</t>
        </is>
      </c>
      <c r="S5">
        <f>HYPERLINK("https://klasma.github.io/Logging_1381/artfynd/A 15197-2024 artfynd.xlsx", "A 15197-2024")</f>
        <v/>
      </c>
      <c r="T5">
        <f>HYPERLINK("https://klasma.github.io/Logging_1381/kartor/A 15197-2024 karta.png", "A 15197-2024")</f>
        <v/>
      </c>
      <c r="V5">
        <f>HYPERLINK("https://klasma.github.io/Logging_1381/klagomål/A 15197-2024 FSC-klagomål.docx", "A 15197-2024")</f>
        <v/>
      </c>
      <c r="W5">
        <f>HYPERLINK("https://klasma.github.io/Logging_1381/klagomålsmail/A 15197-2024 FSC-klagomål mail.docx", "A 15197-2024")</f>
        <v/>
      </c>
      <c r="X5">
        <f>HYPERLINK("https://klasma.github.io/Logging_1381/tillsyn/A 15197-2024 tillsynsbegäran.docx", "A 15197-2024")</f>
        <v/>
      </c>
      <c r="Y5">
        <f>HYPERLINK("https://klasma.github.io/Logging_1381/tillsynsmail/A 15197-2024 tillsynsbegäran mail.docx", "A 15197-2024")</f>
        <v/>
      </c>
    </row>
    <row r="6" ht="15" customHeight="1">
      <c r="A6" t="inlineStr">
        <is>
          <t>A 9124-2020</t>
        </is>
      </c>
      <c r="B6" s="1" t="n">
        <v>43879</v>
      </c>
      <c r="C6" s="1" t="n">
        <v>45627</v>
      </c>
      <c r="D6" t="inlineStr">
        <is>
          <t>HALLANDS LÄN</t>
        </is>
      </c>
      <c r="E6" t="inlineStr">
        <is>
          <t>VARBERG</t>
        </is>
      </c>
      <c r="G6" t="n">
        <v>2.8</v>
      </c>
      <c r="H6" t="n">
        <v>4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Större vattensalamander
Mindre vattensalamander
Vanlig groda
Vanlig padda</t>
        </is>
      </c>
      <c r="S6">
        <f>HYPERLINK("https://klasma.github.io/Logging_1383/artfynd/A 9124-2020 artfynd.xlsx", "A 9124-2020")</f>
        <v/>
      </c>
      <c r="T6">
        <f>HYPERLINK("https://klasma.github.io/Logging_1383/kartor/A 9124-2020 karta.png", "A 9124-2020")</f>
        <v/>
      </c>
      <c r="V6">
        <f>HYPERLINK("https://klasma.github.io/Logging_1383/klagomål/A 9124-2020 FSC-klagomål.docx", "A 9124-2020")</f>
        <v/>
      </c>
      <c r="W6">
        <f>HYPERLINK("https://klasma.github.io/Logging_1383/klagomålsmail/A 9124-2020 FSC-klagomål mail.docx", "A 9124-2020")</f>
        <v/>
      </c>
      <c r="X6">
        <f>HYPERLINK("https://klasma.github.io/Logging_1383/tillsyn/A 9124-2020 tillsynsbegäran.docx", "A 9124-2020")</f>
        <v/>
      </c>
      <c r="Y6">
        <f>HYPERLINK("https://klasma.github.io/Logging_1383/tillsynsmail/A 9124-2020 tillsynsbegäran mail.docx", "A 9124-2020")</f>
        <v/>
      </c>
    </row>
    <row r="7" ht="15" customHeight="1">
      <c r="A7" t="inlineStr">
        <is>
          <t>A 26302-2020</t>
        </is>
      </c>
      <c r="B7" s="1" t="n">
        <v>43986</v>
      </c>
      <c r="C7" s="1" t="n">
        <v>45627</v>
      </c>
      <c r="D7" t="inlineStr">
        <is>
          <t>HALLANDS LÄN</t>
        </is>
      </c>
      <c r="E7" t="inlineStr">
        <is>
          <t>HYLTE</t>
        </is>
      </c>
      <c r="G7" t="n">
        <v>1.3</v>
      </c>
      <c r="H7" t="n">
        <v>0</v>
      </c>
      <c r="I7" t="n">
        <v>4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s="2" t="inlineStr">
        <is>
          <t>Blåsfliksmossa
Fällmossa
Klippfrullania
Platt fjädermossa</t>
        </is>
      </c>
      <c r="S7">
        <f>HYPERLINK("https://klasma.github.io/Logging_1315/artfynd/A 26302-2020 artfynd.xlsx", "A 26302-2020")</f>
        <v/>
      </c>
      <c r="T7">
        <f>HYPERLINK("https://klasma.github.io/Logging_1315/kartor/A 26302-2020 karta.png", "A 26302-2020")</f>
        <v/>
      </c>
      <c r="V7">
        <f>HYPERLINK("https://klasma.github.io/Logging_1315/klagomål/A 26302-2020 FSC-klagomål.docx", "A 26302-2020")</f>
        <v/>
      </c>
      <c r="W7">
        <f>HYPERLINK("https://klasma.github.io/Logging_1315/klagomålsmail/A 26302-2020 FSC-klagomål mail.docx", "A 26302-2020")</f>
        <v/>
      </c>
      <c r="X7">
        <f>HYPERLINK("https://klasma.github.io/Logging_1315/tillsyn/A 26302-2020 tillsynsbegäran.docx", "A 26302-2020")</f>
        <v/>
      </c>
      <c r="Y7">
        <f>HYPERLINK("https://klasma.github.io/Logging_1315/tillsynsmail/A 26302-2020 tillsynsbegäran mail.docx", "A 26302-2020")</f>
        <v/>
      </c>
    </row>
    <row r="8" ht="15" customHeight="1">
      <c r="A8" t="inlineStr">
        <is>
          <t>A 36893-2020</t>
        </is>
      </c>
      <c r="B8" s="1" t="n">
        <v>44053</v>
      </c>
      <c r="C8" s="1" t="n">
        <v>45627</v>
      </c>
      <c r="D8" t="inlineStr">
        <is>
          <t>HALLANDS LÄN</t>
        </is>
      </c>
      <c r="E8" t="inlineStr">
        <is>
          <t>KUNGSBACKA</t>
        </is>
      </c>
      <c r="F8" t="inlineStr">
        <is>
          <t>Kyrkan</t>
        </is>
      </c>
      <c r="G8" t="n">
        <v>2.9</v>
      </c>
      <c r="H8" t="n">
        <v>4</v>
      </c>
      <c r="I8" t="n">
        <v>0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4</v>
      </c>
      <c r="R8" s="2" t="inlineStr">
        <is>
          <t>Grönsångare
Spillkråka
Svartvit flugsnappare
Talltita</t>
        </is>
      </c>
      <c r="S8">
        <f>HYPERLINK("https://klasma.github.io/Logging_1384/artfynd/A 36893-2020 artfynd.xlsx", "A 36893-2020")</f>
        <v/>
      </c>
      <c r="T8">
        <f>HYPERLINK("https://klasma.github.io/Logging_1384/kartor/A 36893-2020 karta.png", "A 36893-2020")</f>
        <v/>
      </c>
      <c r="V8">
        <f>HYPERLINK("https://klasma.github.io/Logging_1384/klagomål/A 36893-2020 FSC-klagomål.docx", "A 36893-2020")</f>
        <v/>
      </c>
      <c r="W8">
        <f>HYPERLINK("https://klasma.github.io/Logging_1384/klagomålsmail/A 36893-2020 FSC-klagomål mail.docx", "A 36893-2020")</f>
        <v/>
      </c>
      <c r="X8">
        <f>HYPERLINK("https://klasma.github.io/Logging_1384/tillsyn/A 36893-2020 tillsynsbegäran.docx", "A 36893-2020")</f>
        <v/>
      </c>
      <c r="Y8">
        <f>HYPERLINK("https://klasma.github.io/Logging_1384/tillsynsmail/A 36893-2020 tillsynsbegäran mail.docx", "A 36893-2020")</f>
        <v/>
      </c>
      <c r="Z8">
        <f>HYPERLINK("https://klasma.github.io/Logging_1384/fåglar/A 36893-2020 prioriterade fågelarter.docx", "A 36893-2020")</f>
        <v/>
      </c>
    </row>
    <row r="9" ht="15" customHeight="1">
      <c r="A9" t="inlineStr">
        <is>
          <t>A 37951-2020</t>
        </is>
      </c>
      <c r="B9" s="1" t="n">
        <v>44057</v>
      </c>
      <c r="C9" s="1" t="n">
        <v>45627</v>
      </c>
      <c r="D9" t="inlineStr">
        <is>
          <t>HALLANDS LÄN</t>
        </is>
      </c>
      <c r="E9" t="inlineStr">
        <is>
          <t>VARBERG</t>
        </is>
      </c>
      <c r="G9" t="n">
        <v>6.8</v>
      </c>
      <c r="H9" t="n">
        <v>4</v>
      </c>
      <c r="I9" t="n">
        <v>0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4</v>
      </c>
      <c r="R9" s="2" t="inlineStr">
        <is>
          <t>Drillsnäppa
Fiskmås
Sävsparv
Ärtsångare</t>
        </is>
      </c>
      <c r="S9">
        <f>HYPERLINK("https://klasma.github.io/Logging_1383/artfynd/A 37951-2020 artfynd.xlsx", "A 37951-2020")</f>
        <v/>
      </c>
      <c r="T9">
        <f>HYPERLINK("https://klasma.github.io/Logging_1383/kartor/A 37951-2020 karta.png", "A 37951-2020")</f>
        <v/>
      </c>
      <c r="V9">
        <f>HYPERLINK("https://klasma.github.io/Logging_1383/klagomål/A 37951-2020 FSC-klagomål.docx", "A 37951-2020")</f>
        <v/>
      </c>
      <c r="W9">
        <f>HYPERLINK("https://klasma.github.io/Logging_1383/klagomålsmail/A 37951-2020 FSC-klagomål mail.docx", "A 37951-2020")</f>
        <v/>
      </c>
      <c r="X9">
        <f>HYPERLINK("https://klasma.github.io/Logging_1383/tillsyn/A 37951-2020 tillsynsbegäran.docx", "A 37951-2020")</f>
        <v/>
      </c>
      <c r="Y9">
        <f>HYPERLINK("https://klasma.github.io/Logging_1383/tillsynsmail/A 37951-2020 tillsynsbegäran mail.docx", "A 37951-2020")</f>
        <v/>
      </c>
      <c r="Z9">
        <f>HYPERLINK("https://klasma.github.io/Logging_1383/fåglar/A 37951-2020 prioriterade fågelarter.docx", "A 37951-2020")</f>
        <v/>
      </c>
    </row>
    <row r="10" ht="15" customHeight="1">
      <c r="A10" t="inlineStr">
        <is>
          <t>A 52117-2022</t>
        </is>
      </c>
      <c r="B10" s="1" t="n">
        <v>44873</v>
      </c>
      <c r="C10" s="1" t="n">
        <v>45627</v>
      </c>
      <c r="D10" t="inlineStr">
        <is>
          <t>HALLANDS LÄN</t>
        </is>
      </c>
      <c r="E10" t="inlineStr">
        <is>
          <t>HYLTE</t>
        </is>
      </c>
      <c r="G10" t="n">
        <v>2</v>
      </c>
      <c r="H10" t="n">
        <v>0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Bokkantlav
Bokvårtlav
Barkkornlav
Jättesvampmal</t>
        </is>
      </c>
      <c r="S10">
        <f>HYPERLINK("https://klasma.github.io/Logging_1315/artfynd/A 52117-2022 artfynd.xlsx", "A 52117-2022")</f>
        <v/>
      </c>
      <c r="T10">
        <f>HYPERLINK("https://klasma.github.io/Logging_1315/kartor/A 52117-2022 karta.png", "A 52117-2022")</f>
        <v/>
      </c>
      <c r="V10">
        <f>HYPERLINK("https://klasma.github.io/Logging_1315/klagomål/A 52117-2022 FSC-klagomål.docx", "A 52117-2022")</f>
        <v/>
      </c>
      <c r="W10">
        <f>HYPERLINK("https://klasma.github.io/Logging_1315/klagomålsmail/A 52117-2022 FSC-klagomål mail.docx", "A 52117-2022")</f>
        <v/>
      </c>
      <c r="X10">
        <f>HYPERLINK("https://klasma.github.io/Logging_1315/tillsyn/A 52117-2022 tillsynsbegäran.docx", "A 52117-2022")</f>
        <v/>
      </c>
      <c r="Y10">
        <f>HYPERLINK("https://klasma.github.io/Logging_1315/tillsynsmail/A 52117-2022 tillsynsbegäran mail.docx", "A 52117-2022")</f>
        <v/>
      </c>
    </row>
    <row r="11" ht="15" customHeight="1">
      <c r="A11" t="inlineStr">
        <is>
          <t>A 40686-2023</t>
        </is>
      </c>
      <c r="B11" s="1" t="n">
        <v>45168</v>
      </c>
      <c r="C11" s="1" t="n">
        <v>45627</v>
      </c>
      <c r="D11" t="inlineStr">
        <is>
          <t>HALLANDS LÄN</t>
        </is>
      </c>
      <c r="E11" t="inlineStr">
        <is>
          <t>HALMSTAD</t>
        </is>
      </c>
      <c r="F11" t="inlineStr">
        <is>
          <t>Kommuner</t>
        </is>
      </c>
      <c r="G11" t="n">
        <v>8.4</v>
      </c>
      <c r="H11" t="n">
        <v>3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Kambräken
Åkergroda
Vanlig padda
Mattlummer</t>
        </is>
      </c>
      <c r="S11">
        <f>HYPERLINK("https://klasma.github.io/Logging_1380/artfynd/A 40686-2023 artfynd.xlsx", "A 40686-2023")</f>
        <v/>
      </c>
      <c r="T11">
        <f>HYPERLINK("https://klasma.github.io/Logging_1380/kartor/A 40686-2023 karta.png", "A 40686-2023")</f>
        <v/>
      </c>
      <c r="V11">
        <f>HYPERLINK("https://klasma.github.io/Logging_1380/klagomål/A 40686-2023 FSC-klagomål.docx", "A 40686-2023")</f>
        <v/>
      </c>
      <c r="W11">
        <f>HYPERLINK("https://klasma.github.io/Logging_1380/klagomålsmail/A 40686-2023 FSC-klagomål mail.docx", "A 40686-2023")</f>
        <v/>
      </c>
      <c r="X11">
        <f>HYPERLINK("https://klasma.github.io/Logging_1380/tillsyn/A 40686-2023 tillsynsbegäran.docx", "A 40686-2023")</f>
        <v/>
      </c>
      <c r="Y11">
        <f>HYPERLINK("https://klasma.github.io/Logging_1380/tillsynsmail/A 40686-2023 tillsynsbegäran mail.docx", "A 40686-2023")</f>
        <v/>
      </c>
    </row>
    <row r="12" ht="15" customHeight="1">
      <c r="A12" t="inlineStr">
        <is>
          <t>A 17422-2020</t>
        </is>
      </c>
      <c r="B12" s="1" t="n">
        <v>43923</v>
      </c>
      <c r="C12" s="1" t="n">
        <v>45627</v>
      </c>
      <c r="D12" t="inlineStr">
        <is>
          <t>HALLANDS LÄN</t>
        </is>
      </c>
      <c r="E12" t="inlineStr">
        <is>
          <t>HYLTE</t>
        </is>
      </c>
      <c r="G12" t="n">
        <v>6.7</v>
      </c>
      <c r="H12" t="n">
        <v>0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Fällmossa
Mörk husmossa
Stubbspretmossa</t>
        </is>
      </c>
      <c r="S12">
        <f>HYPERLINK("https://klasma.github.io/Logging_1315/artfynd/A 17422-2020 artfynd.xlsx", "A 17422-2020")</f>
        <v/>
      </c>
      <c r="T12">
        <f>HYPERLINK("https://klasma.github.io/Logging_1315/kartor/A 17422-2020 karta.png", "A 17422-2020")</f>
        <v/>
      </c>
      <c r="V12">
        <f>HYPERLINK("https://klasma.github.io/Logging_1315/klagomål/A 17422-2020 FSC-klagomål.docx", "A 17422-2020")</f>
        <v/>
      </c>
      <c r="W12">
        <f>HYPERLINK("https://klasma.github.io/Logging_1315/klagomålsmail/A 17422-2020 FSC-klagomål mail.docx", "A 17422-2020")</f>
        <v/>
      </c>
      <c r="X12">
        <f>HYPERLINK("https://klasma.github.io/Logging_1315/tillsyn/A 17422-2020 tillsynsbegäran.docx", "A 17422-2020")</f>
        <v/>
      </c>
      <c r="Y12">
        <f>HYPERLINK("https://klasma.github.io/Logging_1315/tillsynsmail/A 17422-2020 tillsynsbegäran mail.docx", "A 17422-2020")</f>
        <v/>
      </c>
    </row>
    <row r="13" ht="15" customHeight="1">
      <c r="A13" t="inlineStr">
        <is>
          <t>A 32329-2021</t>
        </is>
      </c>
      <c r="B13" s="1" t="n">
        <v>44371</v>
      </c>
      <c r="C13" s="1" t="n">
        <v>45627</v>
      </c>
      <c r="D13" t="inlineStr">
        <is>
          <t>HALLANDS LÄN</t>
        </is>
      </c>
      <c r="E13" t="inlineStr">
        <is>
          <t>KUNGSBACKA</t>
        </is>
      </c>
      <c r="F13" t="inlineStr">
        <is>
          <t>Kyrkan</t>
        </is>
      </c>
      <c r="G13" t="n">
        <v>31.3</v>
      </c>
      <c r="H13" t="n">
        <v>2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Spillkråka
Talltita
Kambräken</t>
        </is>
      </c>
      <c r="S13">
        <f>HYPERLINK("https://klasma.github.io/Logging_1384/artfynd/A 32329-2021 artfynd.xlsx", "A 32329-2021")</f>
        <v/>
      </c>
      <c r="T13">
        <f>HYPERLINK("https://klasma.github.io/Logging_1384/kartor/A 32329-2021 karta.png", "A 32329-2021")</f>
        <v/>
      </c>
      <c r="V13">
        <f>HYPERLINK("https://klasma.github.io/Logging_1384/klagomål/A 32329-2021 FSC-klagomål.docx", "A 32329-2021")</f>
        <v/>
      </c>
      <c r="W13">
        <f>HYPERLINK("https://klasma.github.io/Logging_1384/klagomålsmail/A 32329-2021 FSC-klagomål mail.docx", "A 32329-2021")</f>
        <v/>
      </c>
      <c r="X13">
        <f>HYPERLINK("https://klasma.github.io/Logging_1384/tillsyn/A 32329-2021 tillsynsbegäran.docx", "A 32329-2021")</f>
        <v/>
      </c>
      <c r="Y13">
        <f>HYPERLINK("https://klasma.github.io/Logging_1384/tillsynsmail/A 32329-2021 tillsynsbegäran mail.docx", "A 32329-2021")</f>
        <v/>
      </c>
      <c r="Z13">
        <f>HYPERLINK("https://klasma.github.io/Logging_1384/fåglar/A 32329-2021 prioriterade fågelarter.docx", "A 32329-2021")</f>
        <v/>
      </c>
    </row>
    <row r="14" ht="15" customHeight="1">
      <c r="A14" t="inlineStr">
        <is>
          <t>A 35037-2021</t>
        </is>
      </c>
      <c r="B14" s="1" t="n">
        <v>44383</v>
      </c>
      <c r="C14" s="1" t="n">
        <v>45627</v>
      </c>
      <c r="D14" t="inlineStr">
        <is>
          <t>HALLANDS LÄN</t>
        </is>
      </c>
      <c r="E14" t="inlineStr">
        <is>
          <t>VARBERG</t>
        </is>
      </c>
      <c r="G14" t="n">
        <v>1.6</v>
      </c>
      <c r="H14" t="n">
        <v>1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Grov fjädermossa
Mörk husmossa
Revlummer</t>
        </is>
      </c>
      <c r="S14">
        <f>HYPERLINK("https://klasma.github.io/Logging_1383/artfynd/A 35037-2021 artfynd.xlsx", "A 35037-2021")</f>
        <v/>
      </c>
      <c r="T14">
        <f>HYPERLINK("https://klasma.github.io/Logging_1383/kartor/A 35037-2021 karta.png", "A 35037-2021")</f>
        <v/>
      </c>
      <c r="V14">
        <f>HYPERLINK("https://klasma.github.io/Logging_1383/klagomål/A 35037-2021 FSC-klagomål.docx", "A 35037-2021")</f>
        <v/>
      </c>
      <c r="W14">
        <f>HYPERLINK("https://klasma.github.io/Logging_1383/klagomålsmail/A 35037-2021 FSC-klagomål mail.docx", "A 35037-2021")</f>
        <v/>
      </c>
      <c r="X14">
        <f>HYPERLINK("https://klasma.github.io/Logging_1383/tillsyn/A 35037-2021 tillsynsbegäran.docx", "A 35037-2021")</f>
        <v/>
      </c>
      <c r="Y14">
        <f>HYPERLINK("https://klasma.github.io/Logging_1383/tillsynsmail/A 35037-2021 tillsynsbegäran mail.docx", "A 35037-2021")</f>
        <v/>
      </c>
    </row>
    <row r="15" ht="15" customHeight="1">
      <c r="A15" t="inlineStr">
        <is>
          <t>A 13374-2022</t>
        </is>
      </c>
      <c r="B15" s="1" t="n">
        <v>44645</v>
      </c>
      <c r="C15" s="1" t="n">
        <v>45627</v>
      </c>
      <c r="D15" t="inlineStr">
        <is>
          <t>HALLANDS LÄN</t>
        </is>
      </c>
      <c r="E15" t="inlineStr">
        <is>
          <t>KUNGSBACKA</t>
        </is>
      </c>
      <c r="G15" t="n">
        <v>10.5</v>
      </c>
      <c r="H15" t="n">
        <v>3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3</v>
      </c>
      <c r="R15" s="2" t="inlineStr">
        <is>
          <t>Entita
Grönsångare
Svartvit flugsnappare</t>
        </is>
      </c>
      <c r="S15">
        <f>HYPERLINK("https://klasma.github.io/Logging_1384/artfynd/A 13374-2022 artfynd.xlsx", "A 13374-2022")</f>
        <v/>
      </c>
      <c r="T15">
        <f>HYPERLINK("https://klasma.github.io/Logging_1384/kartor/A 13374-2022 karta.png", "A 13374-2022")</f>
        <v/>
      </c>
      <c r="V15">
        <f>HYPERLINK("https://klasma.github.io/Logging_1384/klagomål/A 13374-2022 FSC-klagomål.docx", "A 13374-2022")</f>
        <v/>
      </c>
      <c r="W15">
        <f>HYPERLINK("https://klasma.github.io/Logging_1384/klagomålsmail/A 13374-2022 FSC-klagomål mail.docx", "A 13374-2022")</f>
        <v/>
      </c>
      <c r="X15">
        <f>HYPERLINK("https://klasma.github.io/Logging_1384/tillsyn/A 13374-2022 tillsynsbegäran.docx", "A 13374-2022")</f>
        <v/>
      </c>
      <c r="Y15">
        <f>HYPERLINK("https://klasma.github.io/Logging_1384/tillsynsmail/A 13374-2022 tillsynsbegäran mail.docx", "A 13374-2022")</f>
        <v/>
      </c>
      <c r="Z15">
        <f>HYPERLINK("https://klasma.github.io/Logging_1384/fåglar/A 13374-2022 prioriterade fågelarter.docx", "A 13374-2022")</f>
        <v/>
      </c>
    </row>
    <row r="16" ht="15" customHeight="1">
      <c r="A16" t="inlineStr">
        <is>
          <t>A 30890-2022</t>
        </is>
      </c>
      <c r="B16" s="1" t="n">
        <v>44767</v>
      </c>
      <c r="C16" s="1" t="n">
        <v>45627</v>
      </c>
      <c r="D16" t="inlineStr">
        <is>
          <t>HALLANDS LÄN</t>
        </is>
      </c>
      <c r="E16" t="inlineStr">
        <is>
          <t>HALMSTAD</t>
        </is>
      </c>
      <c r="F16" t="inlineStr">
        <is>
          <t>Kommuner</t>
        </is>
      </c>
      <c r="G16" t="n">
        <v>3.1</v>
      </c>
      <c r="H16" t="n">
        <v>1</v>
      </c>
      <c r="I16" t="n">
        <v>0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Hallandsfibbla
Narrklibbfibbla
Nattskärra</t>
        </is>
      </c>
      <c r="S16">
        <f>HYPERLINK("https://klasma.github.io/Logging_1380/artfynd/A 30890-2022 artfynd.xlsx", "A 30890-2022")</f>
        <v/>
      </c>
      <c r="T16">
        <f>HYPERLINK("https://klasma.github.io/Logging_1380/kartor/A 30890-2022 karta.png", "A 30890-2022")</f>
        <v/>
      </c>
      <c r="V16">
        <f>HYPERLINK("https://klasma.github.io/Logging_1380/klagomål/A 30890-2022 FSC-klagomål.docx", "A 30890-2022")</f>
        <v/>
      </c>
      <c r="W16">
        <f>HYPERLINK("https://klasma.github.io/Logging_1380/klagomålsmail/A 30890-2022 FSC-klagomål mail.docx", "A 30890-2022")</f>
        <v/>
      </c>
      <c r="X16">
        <f>HYPERLINK("https://klasma.github.io/Logging_1380/tillsyn/A 30890-2022 tillsynsbegäran.docx", "A 30890-2022")</f>
        <v/>
      </c>
      <c r="Y16">
        <f>HYPERLINK("https://klasma.github.io/Logging_1380/tillsynsmail/A 30890-2022 tillsynsbegäran mail.docx", "A 30890-2022")</f>
        <v/>
      </c>
      <c r="Z16">
        <f>HYPERLINK("https://klasma.github.io/Logging_1380/fåglar/A 30890-2022 prioriterade fågelarter.docx", "A 30890-2022")</f>
        <v/>
      </c>
    </row>
    <row r="17" ht="15" customHeight="1">
      <c r="A17" t="inlineStr">
        <is>
          <t>A 48909-2023</t>
        </is>
      </c>
      <c r="B17" s="1" t="n">
        <v>45204</v>
      </c>
      <c r="C17" s="1" t="n">
        <v>45627</v>
      </c>
      <c r="D17" t="inlineStr">
        <is>
          <t>HALLANDS LÄN</t>
        </is>
      </c>
      <c r="E17" t="inlineStr">
        <is>
          <t>HALMSTAD</t>
        </is>
      </c>
      <c r="G17" t="n">
        <v>3.4</v>
      </c>
      <c r="H17" t="n">
        <v>3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Entita
Grönsångare
Spillkråka</t>
        </is>
      </c>
      <c r="S17">
        <f>HYPERLINK("https://klasma.github.io/Logging_1380/artfynd/A 48909-2023 artfynd.xlsx", "A 48909-2023")</f>
        <v/>
      </c>
      <c r="T17">
        <f>HYPERLINK("https://klasma.github.io/Logging_1380/kartor/A 48909-2023 karta.png", "A 48909-2023")</f>
        <v/>
      </c>
      <c r="V17">
        <f>HYPERLINK("https://klasma.github.io/Logging_1380/klagomål/A 48909-2023 FSC-klagomål.docx", "A 48909-2023")</f>
        <v/>
      </c>
      <c r="W17">
        <f>HYPERLINK("https://klasma.github.io/Logging_1380/klagomålsmail/A 48909-2023 FSC-klagomål mail.docx", "A 48909-2023")</f>
        <v/>
      </c>
      <c r="X17">
        <f>HYPERLINK("https://klasma.github.io/Logging_1380/tillsyn/A 48909-2023 tillsynsbegäran.docx", "A 48909-2023")</f>
        <v/>
      </c>
      <c r="Y17">
        <f>HYPERLINK("https://klasma.github.io/Logging_1380/tillsynsmail/A 48909-2023 tillsynsbegäran mail.docx", "A 48909-2023")</f>
        <v/>
      </c>
      <c r="Z17">
        <f>HYPERLINK("https://klasma.github.io/Logging_1380/fåglar/A 48909-2023 prioriterade fågelarter.docx", "A 48909-2023")</f>
        <v/>
      </c>
    </row>
    <row r="18" ht="15" customHeight="1">
      <c r="A18" t="inlineStr">
        <is>
          <t>A 65198-2023</t>
        </is>
      </c>
      <c r="B18" s="1" t="n">
        <v>45288</v>
      </c>
      <c r="C18" s="1" t="n">
        <v>45627</v>
      </c>
      <c r="D18" t="inlineStr">
        <is>
          <t>HALLANDS LÄN</t>
        </is>
      </c>
      <c r="E18" t="inlineStr">
        <is>
          <t>KUNGSBACKA</t>
        </is>
      </c>
      <c r="G18" t="n">
        <v>2.8</v>
      </c>
      <c r="H18" t="n">
        <v>0</v>
      </c>
      <c r="I18" t="n">
        <v>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Blåsfliksmossa
Grov fjädermossa
Mussellav</t>
        </is>
      </c>
      <c r="S18">
        <f>HYPERLINK("https://klasma.github.io/Logging_1384/artfynd/A 65198-2023 artfynd.xlsx", "A 65198-2023")</f>
        <v/>
      </c>
      <c r="T18">
        <f>HYPERLINK("https://klasma.github.io/Logging_1384/kartor/A 65198-2023 karta.png", "A 65198-2023")</f>
        <v/>
      </c>
      <c r="V18">
        <f>HYPERLINK("https://klasma.github.io/Logging_1384/klagomål/A 65198-2023 FSC-klagomål.docx", "A 65198-2023")</f>
        <v/>
      </c>
      <c r="W18">
        <f>HYPERLINK("https://klasma.github.io/Logging_1384/klagomålsmail/A 65198-2023 FSC-klagomål mail.docx", "A 65198-2023")</f>
        <v/>
      </c>
      <c r="X18">
        <f>HYPERLINK("https://klasma.github.io/Logging_1384/tillsyn/A 65198-2023 tillsynsbegäran.docx", "A 65198-2023")</f>
        <v/>
      </c>
      <c r="Y18">
        <f>HYPERLINK("https://klasma.github.io/Logging_1384/tillsynsmail/A 65198-2023 tillsynsbegäran mail.docx", "A 65198-2023")</f>
        <v/>
      </c>
    </row>
    <row r="19" ht="15" customHeight="1">
      <c r="A19" t="inlineStr">
        <is>
          <t>A 29888-2024</t>
        </is>
      </c>
      <c r="B19" s="1" t="n">
        <v>45487</v>
      </c>
      <c r="C19" s="1" t="n">
        <v>45627</v>
      </c>
      <c r="D19" t="inlineStr">
        <is>
          <t>HALLANDS LÄN</t>
        </is>
      </c>
      <c r="E19" t="inlineStr">
        <is>
          <t>VARBERG</t>
        </is>
      </c>
      <c r="G19" t="n">
        <v>4</v>
      </c>
      <c r="H19" t="n">
        <v>0</v>
      </c>
      <c r="I19" t="n">
        <v>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Bokkantlav
Jättesvampmal
Rostfläck</t>
        </is>
      </c>
      <c r="S19">
        <f>HYPERLINK("https://klasma.github.io/Logging_1383/artfynd/A 29888-2024 artfynd.xlsx", "A 29888-2024")</f>
        <v/>
      </c>
      <c r="T19">
        <f>HYPERLINK("https://klasma.github.io/Logging_1383/kartor/A 29888-2024 karta.png", "A 29888-2024")</f>
        <v/>
      </c>
      <c r="V19">
        <f>HYPERLINK("https://klasma.github.io/Logging_1383/klagomål/A 29888-2024 FSC-klagomål.docx", "A 29888-2024")</f>
        <v/>
      </c>
      <c r="W19">
        <f>HYPERLINK("https://klasma.github.io/Logging_1383/klagomålsmail/A 29888-2024 FSC-klagomål mail.docx", "A 29888-2024")</f>
        <v/>
      </c>
      <c r="X19">
        <f>HYPERLINK("https://klasma.github.io/Logging_1383/tillsyn/A 29888-2024 tillsynsbegäran.docx", "A 29888-2024")</f>
        <v/>
      </c>
      <c r="Y19">
        <f>HYPERLINK("https://klasma.github.io/Logging_1383/tillsynsmail/A 29888-2024 tillsynsbegäran mail.docx", "A 29888-2024")</f>
        <v/>
      </c>
    </row>
    <row r="20" ht="15" customHeight="1">
      <c r="A20" t="inlineStr">
        <is>
          <t>A 53051-2024</t>
        </is>
      </c>
      <c r="B20" s="1" t="n">
        <v>45611</v>
      </c>
      <c r="C20" s="1" t="n">
        <v>45627</v>
      </c>
      <c r="D20" t="inlineStr">
        <is>
          <t>HALLANDS LÄN</t>
        </is>
      </c>
      <c r="E20" t="inlineStr">
        <is>
          <t>VARBERG</t>
        </is>
      </c>
      <c r="G20" t="n">
        <v>2.6</v>
      </c>
      <c r="H20" t="n">
        <v>0</v>
      </c>
      <c r="I20" t="n">
        <v>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Stor revmossa
Västlig hakmossa
Vågbandad barkbock</t>
        </is>
      </c>
      <c r="S20">
        <f>HYPERLINK("https://klasma.github.io/Logging_1383/artfynd/A 53051-2024 artfynd.xlsx", "A 53051-2024")</f>
        <v/>
      </c>
      <c r="T20">
        <f>HYPERLINK("https://klasma.github.io/Logging_1383/kartor/A 53051-2024 karta.png", "A 53051-2024")</f>
        <v/>
      </c>
      <c r="V20">
        <f>HYPERLINK("https://klasma.github.io/Logging_1383/klagomål/A 53051-2024 FSC-klagomål.docx", "A 53051-2024")</f>
        <v/>
      </c>
      <c r="W20">
        <f>HYPERLINK("https://klasma.github.io/Logging_1383/klagomålsmail/A 53051-2024 FSC-klagomål mail.docx", "A 53051-2024")</f>
        <v/>
      </c>
      <c r="X20">
        <f>HYPERLINK("https://klasma.github.io/Logging_1383/tillsyn/A 53051-2024 tillsynsbegäran.docx", "A 53051-2024")</f>
        <v/>
      </c>
      <c r="Y20">
        <f>HYPERLINK("https://klasma.github.io/Logging_1383/tillsynsmail/A 53051-2024 tillsynsbegäran mail.docx", "A 53051-2024")</f>
        <v/>
      </c>
    </row>
    <row r="21" ht="15" customHeight="1">
      <c r="A21" t="inlineStr">
        <is>
          <t>A 57960-2019</t>
        </is>
      </c>
      <c r="B21" s="1" t="n">
        <v>43769</v>
      </c>
      <c r="C21" s="1" t="n">
        <v>45627</v>
      </c>
      <c r="D21" t="inlineStr">
        <is>
          <t>HALLANDS LÄN</t>
        </is>
      </c>
      <c r="E21" t="inlineStr">
        <is>
          <t>HYLTE</t>
        </is>
      </c>
      <c r="G21" t="n">
        <v>0.8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Källpraktmossa
Blåsippa</t>
        </is>
      </c>
      <c r="S21">
        <f>HYPERLINK("https://klasma.github.io/Logging_1315/artfynd/A 57960-2019 artfynd.xlsx", "A 57960-2019")</f>
        <v/>
      </c>
      <c r="T21">
        <f>HYPERLINK("https://klasma.github.io/Logging_1315/kartor/A 57960-2019 karta.png", "A 57960-2019")</f>
        <v/>
      </c>
      <c r="V21">
        <f>HYPERLINK("https://klasma.github.io/Logging_1315/klagomål/A 57960-2019 FSC-klagomål.docx", "A 57960-2019")</f>
        <v/>
      </c>
      <c r="W21">
        <f>HYPERLINK("https://klasma.github.io/Logging_1315/klagomålsmail/A 57960-2019 FSC-klagomål mail.docx", "A 57960-2019")</f>
        <v/>
      </c>
      <c r="X21">
        <f>HYPERLINK("https://klasma.github.io/Logging_1315/tillsyn/A 57960-2019 tillsynsbegäran.docx", "A 57960-2019")</f>
        <v/>
      </c>
      <c r="Y21">
        <f>HYPERLINK("https://klasma.github.io/Logging_1315/tillsynsmail/A 57960-2019 tillsynsbegäran mail.docx", "A 57960-2019")</f>
        <v/>
      </c>
    </row>
    <row r="22" ht="15" customHeight="1">
      <c r="A22" t="inlineStr">
        <is>
          <t>A 61149-2019</t>
        </is>
      </c>
      <c r="B22" s="1" t="n">
        <v>43782</v>
      </c>
      <c r="C22" s="1" t="n">
        <v>45627</v>
      </c>
      <c r="D22" t="inlineStr">
        <is>
          <t>HALLANDS LÄN</t>
        </is>
      </c>
      <c r="E22" t="inlineStr">
        <is>
          <t>VARBERG</t>
        </is>
      </c>
      <c r="G22" t="n">
        <v>10.8</v>
      </c>
      <c r="H22" t="n">
        <v>2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Björktrast
Grönsångare</t>
        </is>
      </c>
      <c r="S22">
        <f>HYPERLINK("https://klasma.github.io/Logging_1383/artfynd/A 61149-2019 artfynd.xlsx", "A 61149-2019")</f>
        <v/>
      </c>
      <c r="T22">
        <f>HYPERLINK("https://klasma.github.io/Logging_1383/kartor/A 61149-2019 karta.png", "A 61149-2019")</f>
        <v/>
      </c>
      <c r="V22">
        <f>HYPERLINK("https://klasma.github.io/Logging_1383/klagomål/A 61149-2019 FSC-klagomål.docx", "A 61149-2019")</f>
        <v/>
      </c>
      <c r="W22">
        <f>HYPERLINK("https://klasma.github.io/Logging_1383/klagomålsmail/A 61149-2019 FSC-klagomål mail.docx", "A 61149-2019")</f>
        <v/>
      </c>
      <c r="X22">
        <f>HYPERLINK("https://klasma.github.io/Logging_1383/tillsyn/A 61149-2019 tillsynsbegäran.docx", "A 61149-2019")</f>
        <v/>
      </c>
      <c r="Y22">
        <f>HYPERLINK("https://klasma.github.io/Logging_1383/tillsynsmail/A 61149-2019 tillsynsbegäran mail.docx", "A 61149-2019")</f>
        <v/>
      </c>
      <c r="Z22">
        <f>HYPERLINK("https://klasma.github.io/Logging_1383/fåglar/A 61149-2019 prioriterade fågelarter.docx", "A 61149-2019")</f>
        <v/>
      </c>
    </row>
    <row r="23" ht="15" customHeight="1">
      <c r="A23" t="inlineStr">
        <is>
          <t>A 68552-2020</t>
        </is>
      </c>
      <c r="B23" s="1" t="n">
        <v>44186</v>
      </c>
      <c r="C23" s="1" t="n">
        <v>45627</v>
      </c>
      <c r="D23" t="inlineStr">
        <is>
          <t>HALLANDS LÄN</t>
        </is>
      </c>
      <c r="E23" t="inlineStr">
        <is>
          <t>FALKENBERG</t>
        </is>
      </c>
      <c r="G23" t="n">
        <v>4.5</v>
      </c>
      <c r="H23" t="n">
        <v>1</v>
      </c>
      <c r="I23" t="n">
        <v>0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2</v>
      </c>
      <c r="P23" t="n">
        <v>1</v>
      </c>
      <c r="Q23" t="n">
        <v>2</v>
      </c>
      <c r="R23" s="2" t="inlineStr">
        <is>
          <t>Tornseglare
Backtimjan</t>
        </is>
      </c>
      <c r="S23">
        <f>HYPERLINK("https://klasma.github.io/Logging_1382/artfynd/A 68552-2020 artfynd.xlsx", "A 68552-2020")</f>
        <v/>
      </c>
      <c r="T23">
        <f>HYPERLINK("https://klasma.github.io/Logging_1382/kartor/A 68552-2020 karta.png", "A 68552-2020")</f>
        <v/>
      </c>
      <c r="V23">
        <f>HYPERLINK("https://klasma.github.io/Logging_1382/klagomål/A 68552-2020 FSC-klagomål.docx", "A 68552-2020")</f>
        <v/>
      </c>
      <c r="W23">
        <f>HYPERLINK("https://klasma.github.io/Logging_1382/klagomålsmail/A 68552-2020 FSC-klagomål mail.docx", "A 68552-2020")</f>
        <v/>
      </c>
      <c r="X23">
        <f>HYPERLINK("https://klasma.github.io/Logging_1382/tillsyn/A 68552-2020 tillsynsbegäran.docx", "A 68552-2020")</f>
        <v/>
      </c>
      <c r="Y23">
        <f>HYPERLINK("https://klasma.github.io/Logging_1382/tillsynsmail/A 68552-2020 tillsynsbegäran mail.docx", "A 68552-2020")</f>
        <v/>
      </c>
      <c r="Z23">
        <f>HYPERLINK("https://klasma.github.io/Logging_1382/fåglar/A 68552-2020 prioriterade fågelarter.docx", "A 68552-2020")</f>
        <v/>
      </c>
    </row>
    <row r="24" ht="15" customHeight="1">
      <c r="A24" t="inlineStr">
        <is>
          <t>A 30862-2021</t>
        </is>
      </c>
      <c r="B24" s="1" t="n">
        <v>44365</v>
      </c>
      <c r="C24" s="1" t="n">
        <v>45627</v>
      </c>
      <c r="D24" t="inlineStr">
        <is>
          <t>HALLANDS LÄN</t>
        </is>
      </c>
      <c r="E24" t="inlineStr">
        <is>
          <t>FALKENBERG</t>
        </is>
      </c>
      <c r="G24" t="n">
        <v>2.5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Blåmossa
Revlummer</t>
        </is>
      </c>
      <c r="S24">
        <f>HYPERLINK("https://klasma.github.io/Logging_1382/artfynd/A 30862-2021 artfynd.xlsx", "A 30862-2021")</f>
        <v/>
      </c>
      <c r="T24">
        <f>HYPERLINK("https://klasma.github.io/Logging_1382/kartor/A 30862-2021 karta.png", "A 30862-2021")</f>
        <v/>
      </c>
      <c r="V24">
        <f>HYPERLINK("https://klasma.github.io/Logging_1382/klagomål/A 30862-2021 FSC-klagomål.docx", "A 30862-2021")</f>
        <v/>
      </c>
      <c r="W24">
        <f>HYPERLINK("https://klasma.github.io/Logging_1382/klagomålsmail/A 30862-2021 FSC-klagomål mail.docx", "A 30862-2021")</f>
        <v/>
      </c>
      <c r="X24">
        <f>HYPERLINK("https://klasma.github.io/Logging_1382/tillsyn/A 30862-2021 tillsynsbegäran.docx", "A 30862-2021")</f>
        <v/>
      </c>
      <c r="Y24">
        <f>HYPERLINK("https://klasma.github.io/Logging_1382/tillsynsmail/A 30862-2021 tillsynsbegäran mail.docx", "A 30862-2021")</f>
        <v/>
      </c>
    </row>
    <row r="25" ht="15" customHeight="1">
      <c r="A25" t="inlineStr">
        <is>
          <t>A 71006-2021</t>
        </is>
      </c>
      <c r="B25" s="1" t="n">
        <v>44538</v>
      </c>
      <c r="C25" s="1" t="n">
        <v>45627</v>
      </c>
      <c r="D25" t="inlineStr">
        <is>
          <t>HALLANDS LÄN</t>
        </is>
      </c>
      <c r="E25" t="inlineStr">
        <is>
          <t>HALMSTAD</t>
        </is>
      </c>
      <c r="F25" t="inlineStr">
        <is>
          <t>Bergvik skog väst AB</t>
        </is>
      </c>
      <c r="G25" t="n">
        <v>11.1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Hårginst
Trädlärka</t>
        </is>
      </c>
      <c r="S25">
        <f>HYPERLINK("https://klasma.github.io/Logging_1380/artfynd/A 71006-2021 artfynd.xlsx", "A 71006-2021")</f>
        <v/>
      </c>
      <c r="T25">
        <f>HYPERLINK("https://klasma.github.io/Logging_1380/kartor/A 71006-2021 karta.png", "A 71006-2021")</f>
        <v/>
      </c>
      <c r="V25">
        <f>HYPERLINK("https://klasma.github.io/Logging_1380/klagomål/A 71006-2021 FSC-klagomål.docx", "A 71006-2021")</f>
        <v/>
      </c>
      <c r="W25">
        <f>HYPERLINK("https://klasma.github.io/Logging_1380/klagomålsmail/A 71006-2021 FSC-klagomål mail.docx", "A 71006-2021")</f>
        <v/>
      </c>
      <c r="X25">
        <f>HYPERLINK("https://klasma.github.io/Logging_1380/tillsyn/A 71006-2021 tillsynsbegäran.docx", "A 71006-2021")</f>
        <v/>
      </c>
      <c r="Y25">
        <f>HYPERLINK("https://klasma.github.io/Logging_1380/tillsynsmail/A 71006-2021 tillsynsbegäran mail.docx", "A 71006-2021")</f>
        <v/>
      </c>
      <c r="Z25">
        <f>HYPERLINK("https://klasma.github.io/Logging_1380/fåglar/A 71006-2021 prioriterade fågelarter.docx", "A 71006-2021")</f>
        <v/>
      </c>
    </row>
    <row r="26" ht="15" customHeight="1">
      <c r="A26" t="inlineStr">
        <is>
          <t>A 4720-2022</t>
        </is>
      </c>
      <c r="B26" s="1" t="n">
        <v>44592</v>
      </c>
      <c r="C26" s="1" t="n">
        <v>45627</v>
      </c>
      <c r="D26" t="inlineStr">
        <is>
          <t>HALLANDS LÄN</t>
        </is>
      </c>
      <c r="E26" t="inlineStr">
        <is>
          <t>FALKENBERG</t>
        </is>
      </c>
      <c r="F26" t="inlineStr">
        <is>
          <t>Kyrkan</t>
        </is>
      </c>
      <c r="G26" t="n">
        <v>0.4</v>
      </c>
      <c r="H26" t="n">
        <v>2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Åkergroda
Vanlig padda</t>
        </is>
      </c>
      <c r="S26">
        <f>HYPERLINK("https://klasma.github.io/Logging_1382/artfynd/A 4720-2022 artfynd.xlsx", "A 4720-2022")</f>
        <v/>
      </c>
      <c r="T26">
        <f>HYPERLINK("https://klasma.github.io/Logging_1382/kartor/A 4720-2022 karta.png", "A 4720-2022")</f>
        <v/>
      </c>
      <c r="V26">
        <f>HYPERLINK("https://klasma.github.io/Logging_1382/klagomål/A 4720-2022 FSC-klagomål.docx", "A 4720-2022")</f>
        <v/>
      </c>
      <c r="W26">
        <f>HYPERLINK("https://klasma.github.io/Logging_1382/klagomålsmail/A 4720-2022 FSC-klagomål mail.docx", "A 4720-2022")</f>
        <v/>
      </c>
      <c r="X26">
        <f>HYPERLINK("https://klasma.github.io/Logging_1382/tillsyn/A 4720-2022 tillsynsbegäran.docx", "A 4720-2022")</f>
        <v/>
      </c>
      <c r="Y26">
        <f>HYPERLINK("https://klasma.github.io/Logging_1382/tillsynsmail/A 4720-2022 tillsynsbegäran mail.docx", "A 4720-2022")</f>
        <v/>
      </c>
    </row>
    <row r="27" ht="15" customHeight="1">
      <c r="A27" t="inlineStr">
        <is>
          <t>A 5002-2022</t>
        </is>
      </c>
      <c r="B27" s="1" t="n">
        <v>44593</v>
      </c>
      <c r="C27" s="1" t="n">
        <v>45627</v>
      </c>
      <c r="D27" t="inlineStr">
        <is>
          <t>HALLANDS LÄN</t>
        </is>
      </c>
      <c r="E27" t="inlineStr">
        <is>
          <t>FALKENBERG</t>
        </is>
      </c>
      <c r="F27" t="inlineStr">
        <is>
          <t>Kyrkan</t>
        </is>
      </c>
      <c r="G27" t="n">
        <v>2.9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Mörk husmossa
Revlummer</t>
        </is>
      </c>
      <c r="S27">
        <f>HYPERLINK("https://klasma.github.io/Logging_1382/artfynd/A 5002-2022 artfynd.xlsx", "A 5002-2022")</f>
        <v/>
      </c>
      <c r="T27">
        <f>HYPERLINK("https://klasma.github.io/Logging_1382/kartor/A 5002-2022 karta.png", "A 5002-2022")</f>
        <v/>
      </c>
      <c r="V27">
        <f>HYPERLINK("https://klasma.github.io/Logging_1382/klagomål/A 5002-2022 FSC-klagomål.docx", "A 5002-2022")</f>
        <v/>
      </c>
      <c r="W27">
        <f>HYPERLINK("https://klasma.github.io/Logging_1382/klagomålsmail/A 5002-2022 FSC-klagomål mail.docx", "A 5002-2022")</f>
        <v/>
      </c>
      <c r="X27">
        <f>HYPERLINK("https://klasma.github.io/Logging_1382/tillsyn/A 5002-2022 tillsynsbegäran.docx", "A 5002-2022")</f>
        <v/>
      </c>
      <c r="Y27">
        <f>HYPERLINK("https://klasma.github.io/Logging_1382/tillsynsmail/A 5002-2022 tillsynsbegäran mail.docx", "A 5002-2022")</f>
        <v/>
      </c>
    </row>
    <row r="28" ht="15" customHeight="1">
      <c r="A28" t="inlineStr">
        <is>
          <t>A 19477-2022</t>
        </is>
      </c>
      <c r="B28" s="1" t="n">
        <v>44693</v>
      </c>
      <c r="C28" s="1" t="n">
        <v>45627</v>
      </c>
      <c r="D28" t="inlineStr">
        <is>
          <t>HALLANDS LÄN</t>
        </is>
      </c>
      <c r="E28" t="inlineStr">
        <is>
          <t>HYLTE</t>
        </is>
      </c>
      <c r="G28" t="n">
        <v>13</v>
      </c>
      <c r="H28" t="n">
        <v>2</v>
      </c>
      <c r="I28" t="n">
        <v>1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Backsippa
Korallrot</t>
        </is>
      </c>
      <c r="S28">
        <f>HYPERLINK("https://klasma.github.io/Logging_1315/artfynd/A 19477-2022 artfynd.xlsx", "A 19477-2022")</f>
        <v/>
      </c>
      <c r="T28">
        <f>HYPERLINK("https://klasma.github.io/Logging_1315/kartor/A 19477-2022 karta.png", "A 19477-2022")</f>
        <v/>
      </c>
      <c r="V28">
        <f>HYPERLINK("https://klasma.github.io/Logging_1315/klagomål/A 19477-2022 FSC-klagomål.docx", "A 19477-2022")</f>
        <v/>
      </c>
      <c r="W28">
        <f>HYPERLINK("https://klasma.github.io/Logging_1315/klagomålsmail/A 19477-2022 FSC-klagomål mail.docx", "A 19477-2022")</f>
        <v/>
      </c>
      <c r="X28">
        <f>HYPERLINK("https://klasma.github.io/Logging_1315/tillsyn/A 19477-2022 tillsynsbegäran.docx", "A 19477-2022")</f>
        <v/>
      </c>
      <c r="Y28">
        <f>HYPERLINK("https://klasma.github.io/Logging_1315/tillsynsmail/A 19477-2022 tillsynsbegäran mail.docx", "A 19477-2022")</f>
        <v/>
      </c>
    </row>
    <row r="29" ht="15" customHeight="1">
      <c r="A29" t="inlineStr">
        <is>
          <t>A 31030-2022</t>
        </is>
      </c>
      <c r="B29" s="1" t="n">
        <v>44768</v>
      </c>
      <c r="C29" s="1" t="n">
        <v>45627</v>
      </c>
      <c r="D29" t="inlineStr">
        <is>
          <t>HALLANDS LÄN</t>
        </is>
      </c>
      <c r="E29" t="inlineStr">
        <is>
          <t>VARBERG</t>
        </is>
      </c>
      <c r="G29" t="n">
        <v>2.4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Blomkålssvamp
Grovticka</t>
        </is>
      </c>
      <c r="S29">
        <f>HYPERLINK("https://klasma.github.io/Logging_1383/artfynd/A 31030-2022 artfynd.xlsx", "A 31030-2022")</f>
        <v/>
      </c>
      <c r="T29">
        <f>HYPERLINK("https://klasma.github.io/Logging_1383/kartor/A 31030-2022 karta.png", "A 31030-2022")</f>
        <v/>
      </c>
      <c r="V29">
        <f>HYPERLINK("https://klasma.github.io/Logging_1383/klagomål/A 31030-2022 FSC-klagomål.docx", "A 31030-2022")</f>
        <v/>
      </c>
      <c r="W29">
        <f>HYPERLINK("https://klasma.github.io/Logging_1383/klagomålsmail/A 31030-2022 FSC-klagomål mail.docx", "A 31030-2022")</f>
        <v/>
      </c>
      <c r="X29">
        <f>HYPERLINK("https://klasma.github.io/Logging_1383/tillsyn/A 31030-2022 tillsynsbegäran.docx", "A 31030-2022")</f>
        <v/>
      </c>
      <c r="Y29">
        <f>HYPERLINK("https://klasma.github.io/Logging_1383/tillsynsmail/A 31030-2022 tillsynsbegäran mail.docx", "A 31030-2022")</f>
        <v/>
      </c>
    </row>
    <row r="30" ht="15" customHeight="1">
      <c r="A30" t="inlineStr">
        <is>
          <t>A 38411-2022</t>
        </is>
      </c>
      <c r="B30" s="1" t="n">
        <v>44812</v>
      </c>
      <c r="C30" s="1" t="n">
        <v>45627</v>
      </c>
      <c r="D30" t="inlineStr">
        <is>
          <t>HALLANDS LÄN</t>
        </is>
      </c>
      <c r="E30" t="inlineStr">
        <is>
          <t>HALMSTAD</t>
        </is>
      </c>
      <c r="G30" t="n">
        <v>19.3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Kransrams
Rostfläck</t>
        </is>
      </c>
      <c r="S30">
        <f>HYPERLINK("https://klasma.github.io/Logging_1380/artfynd/A 38411-2022 artfynd.xlsx", "A 38411-2022")</f>
        <v/>
      </c>
      <c r="T30">
        <f>HYPERLINK("https://klasma.github.io/Logging_1380/kartor/A 38411-2022 karta.png", "A 38411-2022")</f>
        <v/>
      </c>
      <c r="V30">
        <f>HYPERLINK("https://klasma.github.io/Logging_1380/klagomål/A 38411-2022 FSC-klagomål.docx", "A 38411-2022")</f>
        <v/>
      </c>
      <c r="W30">
        <f>HYPERLINK("https://klasma.github.io/Logging_1380/klagomålsmail/A 38411-2022 FSC-klagomål mail.docx", "A 38411-2022")</f>
        <v/>
      </c>
      <c r="X30">
        <f>HYPERLINK("https://klasma.github.io/Logging_1380/tillsyn/A 38411-2022 tillsynsbegäran.docx", "A 38411-2022")</f>
        <v/>
      </c>
      <c r="Y30">
        <f>HYPERLINK("https://klasma.github.io/Logging_1380/tillsynsmail/A 38411-2022 tillsynsbegäran mail.docx", "A 38411-2022")</f>
        <v/>
      </c>
    </row>
    <row r="31" ht="15" customHeight="1">
      <c r="A31" t="inlineStr">
        <is>
          <t>A 43379-2022</t>
        </is>
      </c>
      <c r="B31" s="1" t="n">
        <v>44834</v>
      </c>
      <c r="C31" s="1" t="n">
        <v>45627</v>
      </c>
      <c r="D31" t="inlineStr">
        <is>
          <t>HALLANDS LÄN</t>
        </is>
      </c>
      <c r="E31" t="inlineStr">
        <is>
          <t>VARBERG</t>
        </is>
      </c>
      <c r="G31" t="n">
        <v>0.9</v>
      </c>
      <c r="H31" t="n">
        <v>2</v>
      </c>
      <c r="I31" t="n">
        <v>0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Grönfink
Gulsparv</t>
        </is>
      </c>
      <c r="S31">
        <f>HYPERLINK("https://klasma.github.io/Logging_1383/artfynd/A 43379-2022 artfynd.xlsx", "A 43379-2022")</f>
        <v/>
      </c>
      <c r="T31">
        <f>HYPERLINK("https://klasma.github.io/Logging_1383/kartor/A 43379-2022 karta.png", "A 43379-2022")</f>
        <v/>
      </c>
      <c r="V31">
        <f>HYPERLINK("https://klasma.github.io/Logging_1383/klagomål/A 43379-2022 FSC-klagomål.docx", "A 43379-2022")</f>
        <v/>
      </c>
      <c r="W31">
        <f>HYPERLINK("https://klasma.github.io/Logging_1383/klagomålsmail/A 43379-2022 FSC-klagomål mail.docx", "A 43379-2022")</f>
        <v/>
      </c>
      <c r="X31">
        <f>HYPERLINK("https://klasma.github.io/Logging_1383/tillsyn/A 43379-2022 tillsynsbegäran.docx", "A 43379-2022")</f>
        <v/>
      </c>
      <c r="Y31">
        <f>HYPERLINK("https://klasma.github.io/Logging_1383/tillsynsmail/A 43379-2022 tillsynsbegäran mail.docx", "A 43379-2022")</f>
        <v/>
      </c>
      <c r="Z31">
        <f>HYPERLINK("https://klasma.github.io/Logging_1383/fåglar/A 43379-2022 prioriterade fågelarter.docx", "A 43379-2022")</f>
        <v/>
      </c>
    </row>
    <row r="32" ht="15" customHeight="1">
      <c r="A32" t="inlineStr">
        <is>
          <t>A 6067-2023</t>
        </is>
      </c>
      <c r="B32" s="1" t="n">
        <v>44964</v>
      </c>
      <c r="C32" s="1" t="n">
        <v>45627</v>
      </c>
      <c r="D32" t="inlineStr">
        <is>
          <t>HALLANDS LÄN</t>
        </is>
      </c>
      <c r="E32" t="inlineStr">
        <is>
          <t>KUNGSBACKA</t>
        </is>
      </c>
      <c r="G32" t="n">
        <v>1.9</v>
      </c>
      <c r="H32" t="n">
        <v>2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Gråskimlig fladdermus
Större vattensalamander</t>
        </is>
      </c>
      <c r="S32">
        <f>HYPERLINK("https://klasma.github.io/Logging_1384/artfynd/A 6067-2023 artfynd.xlsx", "A 6067-2023")</f>
        <v/>
      </c>
      <c r="T32">
        <f>HYPERLINK("https://klasma.github.io/Logging_1384/kartor/A 6067-2023 karta.png", "A 6067-2023")</f>
        <v/>
      </c>
      <c r="V32">
        <f>HYPERLINK("https://klasma.github.io/Logging_1384/klagomål/A 6067-2023 FSC-klagomål.docx", "A 6067-2023")</f>
        <v/>
      </c>
      <c r="W32">
        <f>HYPERLINK("https://klasma.github.io/Logging_1384/klagomålsmail/A 6067-2023 FSC-klagomål mail.docx", "A 6067-2023")</f>
        <v/>
      </c>
      <c r="X32">
        <f>HYPERLINK("https://klasma.github.io/Logging_1384/tillsyn/A 6067-2023 tillsynsbegäran.docx", "A 6067-2023")</f>
        <v/>
      </c>
      <c r="Y32">
        <f>HYPERLINK("https://klasma.github.io/Logging_1384/tillsynsmail/A 6067-2023 tillsynsbegäran mail.docx", "A 6067-2023")</f>
        <v/>
      </c>
    </row>
    <row r="33" ht="15" customHeight="1">
      <c r="A33" t="inlineStr">
        <is>
          <t>A 27474-2023</t>
        </is>
      </c>
      <c r="B33" s="1" t="n">
        <v>45093</v>
      </c>
      <c r="C33" s="1" t="n">
        <v>45627</v>
      </c>
      <c r="D33" t="inlineStr">
        <is>
          <t>HALLANDS LÄN</t>
        </is>
      </c>
      <c r="E33" t="inlineStr">
        <is>
          <t>VARBERG</t>
        </is>
      </c>
      <c r="G33" t="n">
        <v>3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Björksplintborre
Jättesvampmal</t>
        </is>
      </c>
      <c r="S33">
        <f>HYPERLINK("https://klasma.github.io/Logging_1383/artfynd/A 27474-2023 artfynd.xlsx", "A 27474-2023")</f>
        <v/>
      </c>
      <c r="T33">
        <f>HYPERLINK("https://klasma.github.io/Logging_1383/kartor/A 27474-2023 karta.png", "A 27474-2023")</f>
        <v/>
      </c>
      <c r="V33">
        <f>HYPERLINK("https://klasma.github.io/Logging_1383/klagomål/A 27474-2023 FSC-klagomål.docx", "A 27474-2023")</f>
        <v/>
      </c>
      <c r="W33">
        <f>HYPERLINK("https://klasma.github.io/Logging_1383/klagomålsmail/A 27474-2023 FSC-klagomål mail.docx", "A 27474-2023")</f>
        <v/>
      </c>
      <c r="X33">
        <f>HYPERLINK("https://klasma.github.io/Logging_1383/tillsyn/A 27474-2023 tillsynsbegäran.docx", "A 27474-2023")</f>
        <v/>
      </c>
      <c r="Y33">
        <f>HYPERLINK("https://klasma.github.io/Logging_1383/tillsynsmail/A 27474-2023 tillsynsbegäran mail.docx", "A 27474-2023")</f>
        <v/>
      </c>
    </row>
    <row r="34" ht="15" customHeight="1">
      <c r="A34" t="inlineStr">
        <is>
          <t>A 14048-2024</t>
        </is>
      </c>
      <c r="B34" s="1" t="n">
        <v>45392</v>
      </c>
      <c r="C34" s="1" t="n">
        <v>45627</v>
      </c>
      <c r="D34" t="inlineStr">
        <is>
          <t>HALLANDS LÄN</t>
        </is>
      </c>
      <c r="E34" t="inlineStr">
        <is>
          <t>VARBERG</t>
        </is>
      </c>
      <c r="G34" t="n">
        <v>5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Loppstarr
Ängsstarr</t>
        </is>
      </c>
      <c r="S34">
        <f>HYPERLINK("https://klasma.github.io/Logging_1383/artfynd/A 14048-2024 artfynd.xlsx", "A 14048-2024")</f>
        <v/>
      </c>
      <c r="T34">
        <f>HYPERLINK("https://klasma.github.io/Logging_1383/kartor/A 14048-2024 karta.png", "A 14048-2024")</f>
        <v/>
      </c>
      <c r="V34">
        <f>HYPERLINK("https://klasma.github.io/Logging_1383/klagomål/A 14048-2024 FSC-klagomål.docx", "A 14048-2024")</f>
        <v/>
      </c>
      <c r="W34">
        <f>HYPERLINK("https://klasma.github.io/Logging_1383/klagomålsmail/A 14048-2024 FSC-klagomål mail.docx", "A 14048-2024")</f>
        <v/>
      </c>
      <c r="X34">
        <f>HYPERLINK("https://klasma.github.io/Logging_1383/tillsyn/A 14048-2024 tillsynsbegäran.docx", "A 14048-2024")</f>
        <v/>
      </c>
      <c r="Y34">
        <f>HYPERLINK("https://klasma.github.io/Logging_1383/tillsynsmail/A 14048-2024 tillsynsbegäran mail.docx", "A 14048-2024")</f>
        <v/>
      </c>
    </row>
    <row r="35" ht="15" customHeight="1">
      <c r="A35" t="inlineStr">
        <is>
          <t>A 21818-2024</t>
        </is>
      </c>
      <c r="B35" s="1" t="n">
        <v>45442</v>
      </c>
      <c r="C35" s="1" t="n">
        <v>45627</v>
      </c>
      <c r="D35" t="inlineStr">
        <is>
          <t>HALLANDS LÄN</t>
        </is>
      </c>
      <c r="E35" t="inlineStr">
        <is>
          <t>HALMSTAD</t>
        </is>
      </c>
      <c r="G35" t="n">
        <v>7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Stubbtrådmossa
Kornknutmossa</t>
        </is>
      </c>
      <c r="S35">
        <f>HYPERLINK("https://klasma.github.io/Logging_1380/artfynd/A 21818-2024 artfynd.xlsx", "A 21818-2024")</f>
        <v/>
      </c>
      <c r="T35">
        <f>HYPERLINK("https://klasma.github.io/Logging_1380/kartor/A 21818-2024 karta.png", "A 21818-2024")</f>
        <v/>
      </c>
      <c r="V35">
        <f>HYPERLINK("https://klasma.github.io/Logging_1380/klagomål/A 21818-2024 FSC-klagomål.docx", "A 21818-2024")</f>
        <v/>
      </c>
      <c r="W35">
        <f>HYPERLINK("https://klasma.github.io/Logging_1380/klagomålsmail/A 21818-2024 FSC-klagomål mail.docx", "A 21818-2024")</f>
        <v/>
      </c>
      <c r="X35">
        <f>HYPERLINK("https://klasma.github.io/Logging_1380/tillsyn/A 21818-2024 tillsynsbegäran.docx", "A 21818-2024")</f>
        <v/>
      </c>
      <c r="Y35">
        <f>HYPERLINK("https://klasma.github.io/Logging_1380/tillsynsmail/A 21818-2024 tillsynsbegäran mail.docx", "A 21818-2024")</f>
        <v/>
      </c>
    </row>
    <row r="36" ht="15" customHeight="1">
      <c r="A36" t="inlineStr">
        <is>
          <t>A 30253-2024</t>
        </is>
      </c>
      <c r="B36" s="1" t="n">
        <v>45490</v>
      </c>
      <c r="C36" s="1" t="n">
        <v>45627</v>
      </c>
      <c r="D36" t="inlineStr">
        <is>
          <t>HALLANDS LÄN</t>
        </is>
      </c>
      <c r="E36" t="inlineStr">
        <is>
          <t>VARBERG</t>
        </is>
      </c>
      <c r="G36" t="n">
        <v>6.7</v>
      </c>
      <c r="H36" t="n">
        <v>1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Dvärglin
Grönsångare</t>
        </is>
      </c>
      <c r="S36">
        <f>HYPERLINK("https://klasma.github.io/Logging_1383/artfynd/A 30253-2024 artfynd.xlsx", "A 30253-2024")</f>
        <v/>
      </c>
      <c r="T36">
        <f>HYPERLINK("https://klasma.github.io/Logging_1383/kartor/A 30253-2024 karta.png", "A 30253-2024")</f>
        <v/>
      </c>
      <c r="V36">
        <f>HYPERLINK("https://klasma.github.io/Logging_1383/klagomål/A 30253-2024 FSC-klagomål.docx", "A 30253-2024")</f>
        <v/>
      </c>
      <c r="W36">
        <f>HYPERLINK("https://klasma.github.io/Logging_1383/klagomålsmail/A 30253-2024 FSC-klagomål mail.docx", "A 30253-2024")</f>
        <v/>
      </c>
      <c r="X36">
        <f>HYPERLINK("https://klasma.github.io/Logging_1383/tillsyn/A 30253-2024 tillsynsbegäran.docx", "A 30253-2024")</f>
        <v/>
      </c>
      <c r="Y36">
        <f>HYPERLINK("https://klasma.github.io/Logging_1383/tillsynsmail/A 30253-2024 tillsynsbegäran mail.docx", "A 30253-2024")</f>
        <v/>
      </c>
      <c r="Z36">
        <f>HYPERLINK("https://klasma.github.io/Logging_1383/fåglar/A 30253-2024 prioriterade fågelarter.docx", "A 30253-2024")</f>
        <v/>
      </c>
    </row>
    <row r="37" ht="15" customHeight="1">
      <c r="A37" t="inlineStr">
        <is>
          <t>A 43448-2024</t>
        </is>
      </c>
      <c r="B37" s="1" t="n">
        <v>45568</v>
      </c>
      <c r="C37" s="1" t="n">
        <v>45627</v>
      </c>
      <c r="D37" t="inlineStr">
        <is>
          <t>HALLANDS LÄN</t>
        </is>
      </c>
      <c r="E37" t="inlineStr">
        <is>
          <t>HALMSTAD</t>
        </is>
      </c>
      <c r="G37" t="n">
        <v>5.7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Skogsbräsma
Skogsödla</t>
        </is>
      </c>
      <c r="S37">
        <f>HYPERLINK("https://klasma.github.io/Logging_1380/artfynd/A 43448-2024 artfynd.xlsx", "A 43448-2024")</f>
        <v/>
      </c>
      <c r="T37">
        <f>HYPERLINK("https://klasma.github.io/Logging_1380/kartor/A 43448-2024 karta.png", "A 43448-2024")</f>
        <v/>
      </c>
      <c r="V37">
        <f>HYPERLINK("https://klasma.github.io/Logging_1380/klagomål/A 43448-2024 FSC-klagomål.docx", "A 43448-2024")</f>
        <v/>
      </c>
      <c r="W37">
        <f>HYPERLINK("https://klasma.github.io/Logging_1380/klagomålsmail/A 43448-2024 FSC-klagomål mail.docx", "A 43448-2024")</f>
        <v/>
      </c>
      <c r="X37">
        <f>HYPERLINK("https://klasma.github.io/Logging_1380/tillsyn/A 43448-2024 tillsynsbegäran.docx", "A 43448-2024")</f>
        <v/>
      </c>
      <c r="Y37">
        <f>HYPERLINK("https://klasma.github.io/Logging_1380/tillsynsmail/A 43448-2024 tillsynsbegäran mail.docx", "A 43448-2024")</f>
        <v/>
      </c>
    </row>
    <row r="38" ht="15" customHeight="1">
      <c r="A38" t="inlineStr">
        <is>
          <t>A 49151-2024</t>
        </is>
      </c>
      <c r="B38" s="1" t="n">
        <v>45594</v>
      </c>
      <c r="C38" s="1" t="n">
        <v>45627</v>
      </c>
      <c r="D38" t="inlineStr">
        <is>
          <t>HALLANDS LÄN</t>
        </is>
      </c>
      <c r="E38" t="inlineStr">
        <is>
          <t>HALMSTAD</t>
        </is>
      </c>
      <c r="G38" t="n">
        <v>0.5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Gulnål
Jättesvampmal</t>
        </is>
      </c>
      <c r="S38">
        <f>HYPERLINK("https://klasma.github.io/Logging_1380/artfynd/A 49151-2024 artfynd.xlsx", "A 49151-2024")</f>
        <v/>
      </c>
      <c r="T38">
        <f>HYPERLINK("https://klasma.github.io/Logging_1380/kartor/A 49151-2024 karta.png", "A 49151-2024")</f>
        <v/>
      </c>
      <c r="V38">
        <f>HYPERLINK("https://klasma.github.io/Logging_1380/klagomål/A 49151-2024 FSC-klagomål.docx", "A 49151-2024")</f>
        <v/>
      </c>
      <c r="W38">
        <f>HYPERLINK("https://klasma.github.io/Logging_1380/klagomålsmail/A 49151-2024 FSC-klagomål mail.docx", "A 49151-2024")</f>
        <v/>
      </c>
      <c r="X38">
        <f>HYPERLINK("https://klasma.github.io/Logging_1380/tillsyn/A 49151-2024 tillsynsbegäran.docx", "A 49151-2024")</f>
        <v/>
      </c>
      <c r="Y38">
        <f>HYPERLINK("https://klasma.github.io/Logging_1380/tillsynsmail/A 49151-2024 tillsynsbegäran mail.docx", "A 49151-2024")</f>
        <v/>
      </c>
    </row>
    <row r="39" ht="15" customHeight="1">
      <c r="A39" t="inlineStr">
        <is>
          <t>A 36758-2019</t>
        </is>
      </c>
      <c r="B39" s="1" t="n">
        <v>43672</v>
      </c>
      <c r="C39" s="1" t="n">
        <v>45627</v>
      </c>
      <c r="D39" t="inlineStr">
        <is>
          <t>HALLANDS LÄN</t>
        </is>
      </c>
      <c r="E39" t="inlineStr">
        <is>
          <t>HALMSTAD</t>
        </is>
      </c>
      <c r="G39" t="n">
        <v>3.4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Dvärgpipistrell</t>
        </is>
      </c>
      <c r="S39">
        <f>HYPERLINK("https://klasma.github.io/Logging_1380/artfynd/A 36758-2019 artfynd.xlsx", "A 36758-2019")</f>
        <v/>
      </c>
      <c r="T39">
        <f>HYPERLINK("https://klasma.github.io/Logging_1380/kartor/A 36758-2019 karta.png", "A 36758-2019")</f>
        <v/>
      </c>
      <c r="V39">
        <f>HYPERLINK("https://klasma.github.io/Logging_1380/klagomål/A 36758-2019 FSC-klagomål.docx", "A 36758-2019")</f>
        <v/>
      </c>
      <c r="W39">
        <f>HYPERLINK("https://klasma.github.io/Logging_1380/klagomålsmail/A 36758-2019 FSC-klagomål mail.docx", "A 36758-2019")</f>
        <v/>
      </c>
      <c r="X39">
        <f>HYPERLINK("https://klasma.github.io/Logging_1380/tillsyn/A 36758-2019 tillsynsbegäran.docx", "A 36758-2019")</f>
        <v/>
      </c>
      <c r="Y39">
        <f>HYPERLINK("https://klasma.github.io/Logging_1380/tillsynsmail/A 36758-2019 tillsynsbegäran mail.docx", "A 36758-2019")</f>
        <v/>
      </c>
    </row>
    <row r="40" ht="15" customHeight="1">
      <c r="A40" t="inlineStr">
        <is>
          <t>A 61238-2019</t>
        </is>
      </c>
      <c r="B40" s="1" t="n">
        <v>43783</v>
      </c>
      <c r="C40" s="1" t="n">
        <v>45627</v>
      </c>
      <c r="D40" t="inlineStr">
        <is>
          <t>HALLANDS LÄN</t>
        </is>
      </c>
      <c r="E40" t="inlineStr">
        <is>
          <t>FALKENBERG</t>
        </is>
      </c>
      <c r="G40" t="n">
        <v>0.6</v>
      </c>
      <c r="H40" t="n">
        <v>0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Ugglarpsbjörnbär</t>
        </is>
      </c>
      <c r="S40">
        <f>HYPERLINK("https://klasma.github.io/Logging_1382/artfynd/A 61238-2019 artfynd.xlsx", "A 61238-2019")</f>
        <v/>
      </c>
      <c r="T40">
        <f>HYPERLINK("https://klasma.github.io/Logging_1382/kartor/A 61238-2019 karta.png", "A 61238-2019")</f>
        <v/>
      </c>
      <c r="V40">
        <f>HYPERLINK("https://klasma.github.io/Logging_1382/klagomål/A 61238-2019 FSC-klagomål.docx", "A 61238-2019")</f>
        <v/>
      </c>
      <c r="W40">
        <f>HYPERLINK("https://klasma.github.io/Logging_1382/klagomålsmail/A 61238-2019 FSC-klagomål mail.docx", "A 61238-2019")</f>
        <v/>
      </c>
      <c r="X40">
        <f>HYPERLINK("https://klasma.github.io/Logging_1382/tillsyn/A 61238-2019 tillsynsbegäran.docx", "A 61238-2019")</f>
        <v/>
      </c>
      <c r="Y40">
        <f>HYPERLINK("https://klasma.github.io/Logging_1382/tillsynsmail/A 61238-2019 tillsynsbegäran mail.docx", "A 61238-2019")</f>
        <v/>
      </c>
    </row>
    <row r="41" ht="15" customHeight="1">
      <c r="A41" t="inlineStr">
        <is>
          <t>A 10630-2020</t>
        </is>
      </c>
      <c r="B41" s="1" t="n">
        <v>43887</v>
      </c>
      <c r="C41" s="1" t="n">
        <v>45627</v>
      </c>
      <c r="D41" t="inlineStr">
        <is>
          <t>HALLANDS LÄN</t>
        </is>
      </c>
      <c r="E41" t="inlineStr">
        <is>
          <t>VARBERG</t>
        </is>
      </c>
      <c r="G41" t="n">
        <v>17.6</v>
      </c>
      <c r="H41" t="n">
        <v>0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Slåttergubbe</t>
        </is>
      </c>
      <c r="S41">
        <f>HYPERLINK("https://klasma.github.io/Logging_1383/artfynd/A 10630-2020 artfynd.xlsx", "A 10630-2020")</f>
        <v/>
      </c>
      <c r="T41">
        <f>HYPERLINK("https://klasma.github.io/Logging_1383/kartor/A 10630-2020 karta.png", "A 10630-2020")</f>
        <v/>
      </c>
      <c r="V41">
        <f>HYPERLINK("https://klasma.github.io/Logging_1383/klagomål/A 10630-2020 FSC-klagomål.docx", "A 10630-2020")</f>
        <v/>
      </c>
      <c r="W41">
        <f>HYPERLINK("https://klasma.github.io/Logging_1383/klagomålsmail/A 10630-2020 FSC-klagomål mail.docx", "A 10630-2020")</f>
        <v/>
      </c>
      <c r="X41">
        <f>HYPERLINK("https://klasma.github.io/Logging_1383/tillsyn/A 10630-2020 tillsynsbegäran.docx", "A 10630-2020")</f>
        <v/>
      </c>
      <c r="Y41">
        <f>HYPERLINK("https://klasma.github.io/Logging_1383/tillsynsmail/A 10630-2020 tillsynsbegäran mail.docx", "A 10630-2020")</f>
        <v/>
      </c>
    </row>
    <row r="42" ht="15" customHeight="1">
      <c r="A42" t="inlineStr">
        <is>
          <t>A 14863-2020</t>
        </is>
      </c>
      <c r="B42" s="1" t="n">
        <v>43903</v>
      </c>
      <c r="C42" s="1" t="n">
        <v>45627</v>
      </c>
      <c r="D42" t="inlineStr">
        <is>
          <t>HALLANDS LÄN</t>
        </is>
      </c>
      <c r="E42" t="inlineStr">
        <is>
          <t>LAHOLM</t>
        </is>
      </c>
      <c r="G42" t="n">
        <v>13.7</v>
      </c>
      <c r="H42" t="n">
        <v>0</v>
      </c>
      <c r="I42" t="n">
        <v>0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Ask</t>
        </is>
      </c>
      <c r="S42">
        <f>HYPERLINK("https://klasma.github.io/Logging_1381/artfynd/A 14863-2020 artfynd.xlsx", "A 14863-2020")</f>
        <v/>
      </c>
      <c r="T42">
        <f>HYPERLINK("https://klasma.github.io/Logging_1381/kartor/A 14863-2020 karta.png", "A 14863-2020")</f>
        <v/>
      </c>
      <c r="V42">
        <f>HYPERLINK("https://klasma.github.io/Logging_1381/klagomål/A 14863-2020 FSC-klagomål.docx", "A 14863-2020")</f>
        <v/>
      </c>
      <c r="W42">
        <f>HYPERLINK("https://klasma.github.io/Logging_1381/klagomålsmail/A 14863-2020 FSC-klagomål mail.docx", "A 14863-2020")</f>
        <v/>
      </c>
      <c r="X42">
        <f>HYPERLINK("https://klasma.github.io/Logging_1381/tillsyn/A 14863-2020 tillsynsbegäran.docx", "A 14863-2020")</f>
        <v/>
      </c>
      <c r="Y42">
        <f>HYPERLINK("https://klasma.github.io/Logging_1381/tillsynsmail/A 14863-2020 tillsynsbegäran mail.docx", "A 14863-2020")</f>
        <v/>
      </c>
    </row>
    <row r="43" ht="15" customHeight="1">
      <c r="A43" t="inlineStr">
        <is>
          <t>A 25537-2020</t>
        </is>
      </c>
      <c r="B43" s="1" t="n">
        <v>43983</v>
      </c>
      <c r="C43" s="1" t="n">
        <v>45627</v>
      </c>
      <c r="D43" t="inlineStr">
        <is>
          <t>HALLANDS LÄN</t>
        </is>
      </c>
      <c r="E43" t="inlineStr">
        <is>
          <t>HYLTE</t>
        </is>
      </c>
      <c r="G43" t="n">
        <v>1.9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Borsttåg</t>
        </is>
      </c>
      <c r="S43">
        <f>HYPERLINK("https://klasma.github.io/Logging_1315/artfynd/A 25537-2020 artfynd.xlsx", "A 25537-2020")</f>
        <v/>
      </c>
      <c r="T43">
        <f>HYPERLINK("https://klasma.github.io/Logging_1315/kartor/A 25537-2020 karta.png", "A 25537-2020")</f>
        <v/>
      </c>
      <c r="V43">
        <f>HYPERLINK("https://klasma.github.io/Logging_1315/klagomål/A 25537-2020 FSC-klagomål.docx", "A 25537-2020")</f>
        <v/>
      </c>
      <c r="W43">
        <f>HYPERLINK("https://klasma.github.io/Logging_1315/klagomålsmail/A 25537-2020 FSC-klagomål mail.docx", "A 25537-2020")</f>
        <v/>
      </c>
      <c r="X43">
        <f>HYPERLINK("https://klasma.github.io/Logging_1315/tillsyn/A 25537-2020 tillsynsbegäran.docx", "A 25537-2020")</f>
        <v/>
      </c>
      <c r="Y43">
        <f>HYPERLINK("https://klasma.github.io/Logging_1315/tillsynsmail/A 25537-2020 tillsynsbegäran mail.docx", "A 25537-2020")</f>
        <v/>
      </c>
    </row>
    <row r="44" ht="15" customHeight="1">
      <c r="A44" t="inlineStr">
        <is>
          <t>A 35100-2020</t>
        </is>
      </c>
      <c r="B44" s="1" t="n">
        <v>44040</v>
      </c>
      <c r="C44" s="1" t="n">
        <v>45627</v>
      </c>
      <c r="D44" t="inlineStr">
        <is>
          <t>HALLANDS LÄN</t>
        </is>
      </c>
      <c r="E44" t="inlineStr">
        <is>
          <t>HALMSTAD</t>
        </is>
      </c>
      <c r="F44" t="inlineStr">
        <is>
          <t>Kommuner</t>
        </is>
      </c>
      <c r="G44" t="n">
        <v>0.9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Kambräken</t>
        </is>
      </c>
      <c r="S44">
        <f>HYPERLINK("https://klasma.github.io/Logging_1380/artfynd/A 35100-2020 artfynd.xlsx", "A 35100-2020")</f>
        <v/>
      </c>
      <c r="T44">
        <f>HYPERLINK("https://klasma.github.io/Logging_1380/kartor/A 35100-2020 karta.png", "A 35100-2020")</f>
        <v/>
      </c>
      <c r="V44">
        <f>HYPERLINK("https://klasma.github.io/Logging_1380/klagomål/A 35100-2020 FSC-klagomål.docx", "A 35100-2020")</f>
        <v/>
      </c>
      <c r="W44">
        <f>HYPERLINK("https://klasma.github.io/Logging_1380/klagomålsmail/A 35100-2020 FSC-klagomål mail.docx", "A 35100-2020")</f>
        <v/>
      </c>
      <c r="X44">
        <f>HYPERLINK("https://klasma.github.io/Logging_1380/tillsyn/A 35100-2020 tillsynsbegäran.docx", "A 35100-2020")</f>
        <v/>
      </c>
      <c r="Y44">
        <f>HYPERLINK("https://klasma.github.io/Logging_1380/tillsynsmail/A 35100-2020 tillsynsbegäran mail.docx", "A 35100-2020")</f>
        <v/>
      </c>
    </row>
    <row r="45" ht="15" customHeight="1">
      <c r="A45" t="inlineStr">
        <is>
          <t>A 61355-2020</t>
        </is>
      </c>
      <c r="B45" s="1" t="n">
        <v>44155</v>
      </c>
      <c r="C45" s="1" t="n">
        <v>45627</v>
      </c>
      <c r="D45" t="inlineStr">
        <is>
          <t>HALLANDS LÄN</t>
        </is>
      </c>
      <c r="E45" t="inlineStr">
        <is>
          <t>VARBERG</t>
        </is>
      </c>
      <c r="G45" t="n">
        <v>9.199999999999999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Mindre hackspett</t>
        </is>
      </c>
      <c r="S45">
        <f>HYPERLINK("https://klasma.github.io/Logging_1383/artfynd/A 61355-2020 artfynd.xlsx", "A 61355-2020")</f>
        <v/>
      </c>
      <c r="T45">
        <f>HYPERLINK("https://klasma.github.io/Logging_1383/kartor/A 61355-2020 karta.png", "A 61355-2020")</f>
        <v/>
      </c>
      <c r="V45">
        <f>HYPERLINK("https://klasma.github.io/Logging_1383/klagomål/A 61355-2020 FSC-klagomål.docx", "A 61355-2020")</f>
        <v/>
      </c>
      <c r="W45">
        <f>HYPERLINK("https://klasma.github.io/Logging_1383/klagomålsmail/A 61355-2020 FSC-klagomål mail.docx", "A 61355-2020")</f>
        <v/>
      </c>
      <c r="X45">
        <f>HYPERLINK("https://klasma.github.io/Logging_1383/tillsyn/A 61355-2020 tillsynsbegäran.docx", "A 61355-2020")</f>
        <v/>
      </c>
      <c r="Y45">
        <f>HYPERLINK("https://klasma.github.io/Logging_1383/tillsynsmail/A 61355-2020 tillsynsbegäran mail.docx", "A 61355-2020")</f>
        <v/>
      </c>
      <c r="Z45">
        <f>HYPERLINK("https://klasma.github.io/Logging_1383/fåglar/A 61355-2020 prioriterade fågelarter.docx", "A 61355-2020")</f>
        <v/>
      </c>
    </row>
    <row r="46" ht="15" customHeight="1">
      <c r="A46" t="inlineStr">
        <is>
          <t>A 62200-2020</t>
        </is>
      </c>
      <c r="B46" s="1" t="n">
        <v>44159</v>
      </c>
      <c r="C46" s="1" t="n">
        <v>45627</v>
      </c>
      <c r="D46" t="inlineStr">
        <is>
          <t>HALLANDS LÄN</t>
        </is>
      </c>
      <c r="E46" t="inlineStr">
        <is>
          <t>FALKENBERG</t>
        </is>
      </c>
      <c r="G46" t="n">
        <v>2.8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Jättesvampmal</t>
        </is>
      </c>
      <c r="S46">
        <f>HYPERLINK("https://klasma.github.io/Logging_1382/artfynd/A 62200-2020 artfynd.xlsx", "A 62200-2020")</f>
        <v/>
      </c>
      <c r="T46">
        <f>HYPERLINK("https://klasma.github.io/Logging_1382/kartor/A 62200-2020 karta.png", "A 62200-2020")</f>
        <v/>
      </c>
      <c r="V46">
        <f>HYPERLINK("https://klasma.github.io/Logging_1382/klagomål/A 62200-2020 FSC-klagomål.docx", "A 62200-2020")</f>
        <v/>
      </c>
      <c r="W46">
        <f>HYPERLINK("https://klasma.github.io/Logging_1382/klagomålsmail/A 62200-2020 FSC-klagomål mail.docx", "A 62200-2020")</f>
        <v/>
      </c>
      <c r="X46">
        <f>HYPERLINK("https://klasma.github.io/Logging_1382/tillsyn/A 62200-2020 tillsynsbegäran.docx", "A 62200-2020")</f>
        <v/>
      </c>
      <c r="Y46">
        <f>HYPERLINK("https://klasma.github.io/Logging_1382/tillsynsmail/A 62200-2020 tillsynsbegäran mail.docx", "A 62200-2020")</f>
        <v/>
      </c>
    </row>
    <row r="47" ht="15" customHeight="1">
      <c r="A47" t="inlineStr">
        <is>
          <t>A 68882-2020</t>
        </is>
      </c>
      <c r="B47" s="1" t="n">
        <v>44187</v>
      </c>
      <c r="C47" s="1" t="n">
        <v>45627</v>
      </c>
      <c r="D47" t="inlineStr">
        <is>
          <t>HALLANDS LÄN</t>
        </is>
      </c>
      <c r="E47" t="inlineStr">
        <is>
          <t>VARBERG</t>
        </is>
      </c>
      <c r="G47" t="n">
        <v>5.5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Kambräken</t>
        </is>
      </c>
      <c r="S47">
        <f>HYPERLINK("https://klasma.github.io/Logging_1383/artfynd/A 68882-2020 artfynd.xlsx", "A 68882-2020")</f>
        <v/>
      </c>
      <c r="T47">
        <f>HYPERLINK("https://klasma.github.io/Logging_1383/kartor/A 68882-2020 karta.png", "A 68882-2020")</f>
        <v/>
      </c>
      <c r="V47">
        <f>HYPERLINK("https://klasma.github.io/Logging_1383/klagomål/A 68882-2020 FSC-klagomål.docx", "A 68882-2020")</f>
        <v/>
      </c>
      <c r="W47">
        <f>HYPERLINK("https://klasma.github.io/Logging_1383/klagomålsmail/A 68882-2020 FSC-klagomål mail.docx", "A 68882-2020")</f>
        <v/>
      </c>
      <c r="X47">
        <f>HYPERLINK("https://klasma.github.io/Logging_1383/tillsyn/A 68882-2020 tillsynsbegäran.docx", "A 68882-2020")</f>
        <v/>
      </c>
      <c r="Y47">
        <f>HYPERLINK("https://klasma.github.io/Logging_1383/tillsynsmail/A 68882-2020 tillsynsbegäran mail.docx", "A 68882-2020")</f>
        <v/>
      </c>
    </row>
    <row r="48" ht="15" customHeight="1">
      <c r="A48" t="inlineStr">
        <is>
          <t>A 69344-2020</t>
        </is>
      </c>
      <c r="B48" s="1" t="n">
        <v>44193</v>
      </c>
      <c r="C48" s="1" t="n">
        <v>45627</v>
      </c>
      <c r="D48" t="inlineStr">
        <is>
          <t>HALLANDS LÄN</t>
        </is>
      </c>
      <c r="E48" t="inlineStr">
        <is>
          <t>VARBERG</t>
        </is>
      </c>
      <c r="G48" t="n">
        <v>22.9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Utter</t>
        </is>
      </c>
      <c r="S48">
        <f>HYPERLINK("https://klasma.github.io/Logging_1383/artfynd/A 69344-2020 artfynd.xlsx", "A 69344-2020")</f>
        <v/>
      </c>
      <c r="T48">
        <f>HYPERLINK("https://klasma.github.io/Logging_1383/kartor/A 69344-2020 karta.png", "A 69344-2020")</f>
        <v/>
      </c>
      <c r="V48">
        <f>HYPERLINK("https://klasma.github.io/Logging_1383/klagomål/A 69344-2020 FSC-klagomål.docx", "A 69344-2020")</f>
        <v/>
      </c>
      <c r="W48">
        <f>HYPERLINK("https://klasma.github.io/Logging_1383/klagomålsmail/A 69344-2020 FSC-klagomål mail.docx", "A 69344-2020")</f>
        <v/>
      </c>
      <c r="X48">
        <f>HYPERLINK("https://klasma.github.io/Logging_1383/tillsyn/A 69344-2020 tillsynsbegäran.docx", "A 69344-2020")</f>
        <v/>
      </c>
      <c r="Y48">
        <f>HYPERLINK("https://klasma.github.io/Logging_1383/tillsynsmail/A 69344-2020 tillsynsbegäran mail.docx", "A 69344-2020")</f>
        <v/>
      </c>
    </row>
    <row r="49" ht="15" customHeight="1">
      <c r="A49" t="inlineStr">
        <is>
          <t>A 4831-2021</t>
        </is>
      </c>
      <c r="B49" s="1" t="n">
        <v>44225</v>
      </c>
      <c r="C49" s="1" t="n">
        <v>45627</v>
      </c>
      <c r="D49" t="inlineStr">
        <is>
          <t>HALLANDS LÄN</t>
        </is>
      </c>
      <c r="E49" t="inlineStr">
        <is>
          <t>KUNGSBACKA</t>
        </is>
      </c>
      <c r="G49" t="n">
        <v>7.4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Igelkott</t>
        </is>
      </c>
      <c r="S49">
        <f>HYPERLINK("https://klasma.github.io/Logging_1384/artfynd/A 4831-2021 artfynd.xlsx", "A 4831-2021")</f>
        <v/>
      </c>
      <c r="T49">
        <f>HYPERLINK("https://klasma.github.io/Logging_1384/kartor/A 4831-2021 karta.png", "A 4831-2021")</f>
        <v/>
      </c>
      <c r="V49">
        <f>HYPERLINK("https://klasma.github.io/Logging_1384/klagomål/A 4831-2021 FSC-klagomål.docx", "A 4831-2021")</f>
        <v/>
      </c>
      <c r="W49">
        <f>HYPERLINK("https://klasma.github.io/Logging_1384/klagomålsmail/A 4831-2021 FSC-klagomål mail.docx", "A 4831-2021")</f>
        <v/>
      </c>
      <c r="X49">
        <f>HYPERLINK("https://klasma.github.io/Logging_1384/tillsyn/A 4831-2021 tillsynsbegäran.docx", "A 4831-2021")</f>
        <v/>
      </c>
      <c r="Y49">
        <f>HYPERLINK("https://klasma.github.io/Logging_1384/tillsynsmail/A 4831-2021 tillsynsbegäran mail.docx", "A 4831-2021")</f>
        <v/>
      </c>
    </row>
    <row r="50" ht="15" customHeight="1">
      <c r="A50" t="inlineStr">
        <is>
          <t>A 9371-2021</t>
        </is>
      </c>
      <c r="B50" s="1" t="n">
        <v>44250</v>
      </c>
      <c r="C50" s="1" t="n">
        <v>45627</v>
      </c>
      <c r="D50" t="inlineStr">
        <is>
          <t>HALLANDS LÄN</t>
        </is>
      </c>
      <c r="E50" t="inlineStr">
        <is>
          <t>VARBERG</t>
        </is>
      </c>
      <c r="G50" t="n">
        <v>18.9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Nattskärra</t>
        </is>
      </c>
      <c r="S50">
        <f>HYPERLINK("https://klasma.github.io/Logging_1383/artfynd/A 9371-2021 artfynd.xlsx", "A 9371-2021")</f>
        <v/>
      </c>
      <c r="T50">
        <f>HYPERLINK("https://klasma.github.io/Logging_1383/kartor/A 9371-2021 karta.png", "A 9371-2021")</f>
        <v/>
      </c>
      <c r="V50">
        <f>HYPERLINK("https://klasma.github.io/Logging_1383/klagomål/A 9371-2021 FSC-klagomål.docx", "A 9371-2021")</f>
        <v/>
      </c>
      <c r="W50">
        <f>HYPERLINK("https://klasma.github.io/Logging_1383/klagomålsmail/A 9371-2021 FSC-klagomål mail.docx", "A 9371-2021")</f>
        <v/>
      </c>
      <c r="X50">
        <f>HYPERLINK("https://klasma.github.io/Logging_1383/tillsyn/A 9371-2021 tillsynsbegäran.docx", "A 9371-2021")</f>
        <v/>
      </c>
      <c r="Y50">
        <f>HYPERLINK("https://klasma.github.io/Logging_1383/tillsynsmail/A 9371-2021 tillsynsbegäran mail.docx", "A 9371-2021")</f>
        <v/>
      </c>
      <c r="Z50">
        <f>HYPERLINK("https://klasma.github.io/Logging_1383/fåglar/A 9371-2021 prioriterade fågelarter.docx", "A 9371-2021")</f>
        <v/>
      </c>
    </row>
    <row r="51" ht="15" customHeight="1">
      <c r="A51" t="inlineStr">
        <is>
          <t>A 17350-2021</t>
        </is>
      </c>
      <c r="B51" s="1" t="n">
        <v>44298</v>
      </c>
      <c r="C51" s="1" t="n">
        <v>45627</v>
      </c>
      <c r="D51" t="inlineStr">
        <is>
          <t>HALLANDS LÄN</t>
        </is>
      </c>
      <c r="E51" t="inlineStr">
        <is>
          <t>HALMSTAD</t>
        </is>
      </c>
      <c r="F51" t="inlineStr">
        <is>
          <t>Kommuner</t>
        </is>
      </c>
      <c r="G51" t="n">
        <v>3.7</v>
      </c>
      <c r="H51" t="n">
        <v>0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Åkerfibbla</t>
        </is>
      </c>
      <c r="S51">
        <f>HYPERLINK("https://klasma.github.io/Logging_1380/artfynd/A 17350-2021 artfynd.xlsx", "A 17350-2021")</f>
        <v/>
      </c>
      <c r="T51">
        <f>HYPERLINK("https://klasma.github.io/Logging_1380/kartor/A 17350-2021 karta.png", "A 17350-2021")</f>
        <v/>
      </c>
      <c r="V51">
        <f>HYPERLINK("https://klasma.github.io/Logging_1380/klagomål/A 17350-2021 FSC-klagomål.docx", "A 17350-2021")</f>
        <v/>
      </c>
      <c r="W51">
        <f>HYPERLINK("https://klasma.github.io/Logging_1380/klagomålsmail/A 17350-2021 FSC-klagomål mail.docx", "A 17350-2021")</f>
        <v/>
      </c>
      <c r="X51">
        <f>HYPERLINK("https://klasma.github.io/Logging_1380/tillsyn/A 17350-2021 tillsynsbegäran.docx", "A 17350-2021")</f>
        <v/>
      </c>
      <c r="Y51">
        <f>HYPERLINK("https://klasma.github.io/Logging_1380/tillsynsmail/A 17350-2021 tillsynsbegäran mail.docx", "A 17350-2021")</f>
        <v/>
      </c>
    </row>
    <row r="52" ht="15" customHeight="1">
      <c r="A52" t="inlineStr">
        <is>
          <t>A 23166-2021</t>
        </is>
      </c>
      <c r="B52" s="1" t="n">
        <v>44332</v>
      </c>
      <c r="C52" s="1" t="n">
        <v>45627</v>
      </c>
      <c r="D52" t="inlineStr">
        <is>
          <t>HALLANDS LÄN</t>
        </is>
      </c>
      <c r="E52" t="inlineStr">
        <is>
          <t>HYLTE</t>
        </is>
      </c>
      <c r="G52" t="n">
        <v>0.3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HYPERLINK("https://klasma.github.io/Logging_1315/artfynd/A 23166-2021 artfynd.xlsx", "A 23166-2021")</f>
        <v/>
      </c>
      <c r="T52">
        <f>HYPERLINK("https://klasma.github.io/Logging_1315/kartor/A 23166-2021 karta.png", "A 23166-2021")</f>
        <v/>
      </c>
      <c r="U52">
        <f>HYPERLINK("https://klasma.github.io/Logging_1315/knärot/A 23166-2021 karta knärot.png", "A 23166-2021")</f>
        <v/>
      </c>
      <c r="V52">
        <f>HYPERLINK("https://klasma.github.io/Logging_1315/klagomål/A 23166-2021 FSC-klagomål.docx", "A 23166-2021")</f>
        <v/>
      </c>
      <c r="W52">
        <f>HYPERLINK("https://klasma.github.io/Logging_1315/klagomålsmail/A 23166-2021 FSC-klagomål mail.docx", "A 23166-2021")</f>
        <v/>
      </c>
      <c r="X52">
        <f>HYPERLINK("https://klasma.github.io/Logging_1315/tillsyn/A 23166-2021 tillsynsbegäran.docx", "A 23166-2021")</f>
        <v/>
      </c>
      <c r="Y52">
        <f>HYPERLINK("https://klasma.github.io/Logging_1315/tillsynsmail/A 23166-2021 tillsynsbegäran mail.docx", "A 23166-2021")</f>
        <v/>
      </c>
    </row>
    <row r="53" ht="15" customHeight="1">
      <c r="A53" t="inlineStr">
        <is>
          <t>A 30534-2021</t>
        </is>
      </c>
      <c r="B53" s="1" t="n">
        <v>44364</v>
      </c>
      <c r="C53" s="1" t="n">
        <v>45627</v>
      </c>
      <c r="D53" t="inlineStr">
        <is>
          <t>HALLANDS LÄN</t>
        </is>
      </c>
      <c r="E53" t="inlineStr">
        <is>
          <t>VARBERG</t>
        </is>
      </c>
      <c r="G53" t="n">
        <v>1.4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Myskbock</t>
        </is>
      </c>
      <c r="S53">
        <f>HYPERLINK("https://klasma.github.io/Logging_1383/artfynd/A 30534-2021 artfynd.xlsx", "A 30534-2021")</f>
        <v/>
      </c>
      <c r="T53">
        <f>HYPERLINK("https://klasma.github.io/Logging_1383/kartor/A 30534-2021 karta.png", "A 30534-2021")</f>
        <v/>
      </c>
      <c r="V53">
        <f>HYPERLINK("https://klasma.github.io/Logging_1383/klagomål/A 30534-2021 FSC-klagomål.docx", "A 30534-2021")</f>
        <v/>
      </c>
      <c r="W53">
        <f>HYPERLINK("https://klasma.github.io/Logging_1383/klagomålsmail/A 30534-2021 FSC-klagomål mail.docx", "A 30534-2021")</f>
        <v/>
      </c>
      <c r="X53">
        <f>HYPERLINK("https://klasma.github.io/Logging_1383/tillsyn/A 30534-2021 tillsynsbegäran.docx", "A 30534-2021")</f>
        <v/>
      </c>
      <c r="Y53">
        <f>HYPERLINK("https://klasma.github.io/Logging_1383/tillsynsmail/A 30534-2021 tillsynsbegäran mail.docx", "A 30534-2021")</f>
        <v/>
      </c>
    </row>
    <row r="54" ht="15" customHeight="1">
      <c r="A54" t="inlineStr">
        <is>
          <t>A 35502-2021</t>
        </is>
      </c>
      <c r="B54" s="1" t="n">
        <v>44385</v>
      </c>
      <c r="C54" s="1" t="n">
        <v>45627</v>
      </c>
      <c r="D54" t="inlineStr">
        <is>
          <t>HALLANDS LÄN</t>
        </is>
      </c>
      <c r="E54" t="inlineStr">
        <is>
          <t>HALMSTAD</t>
        </is>
      </c>
      <c r="G54" t="n">
        <v>12.3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1</v>
      </c>
      <c r="O54" t="n">
        <v>1</v>
      </c>
      <c r="P54" t="n">
        <v>0</v>
      </c>
      <c r="Q54" t="n">
        <v>1</v>
      </c>
      <c r="R54" s="2" t="inlineStr">
        <is>
          <t>Praktgrusmossa</t>
        </is>
      </c>
      <c r="S54">
        <f>HYPERLINK("https://klasma.github.io/Logging_1380/artfynd/A 35502-2021 artfynd.xlsx", "A 35502-2021")</f>
        <v/>
      </c>
      <c r="T54">
        <f>HYPERLINK("https://klasma.github.io/Logging_1380/kartor/A 35502-2021 karta.png", "A 35502-2021")</f>
        <v/>
      </c>
      <c r="V54">
        <f>HYPERLINK("https://klasma.github.io/Logging_1380/klagomål/A 35502-2021 FSC-klagomål.docx", "A 35502-2021")</f>
        <v/>
      </c>
      <c r="W54">
        <f>HYPERLINK("https://klasma.github.io/Logging_1380/klagomålsmail/A 35502-2021 FSC-klagomål mail.docx", "A 35502-2021")</f>
        <v/>
      </c>
      <c r="X54">
        <f>HYPERLINK("https://klasma.github.io/Logging_1380/tillsyn/A 35502-2021 tillsynsbegäran.docx", "A 35502-2021")</f>
        <v/>
      </c>
      <c r="Y54">
        <f>HYPERLINK("https://klasma.github.io/Logging_1380/tillsynsmail/A 35502-2021 tillsynsbegäran mail.docx", "A 35502-2021")</f>
        <v/>
      </c>
    </row>
    <row r="55" ht="15" customHeight="1">
      <c r="A55" t="inlineStr">
        <is>
          <t>A 44540-2021</t>
        </is>
      </c>
      <c r="B55" s="1" t="n">
        <v>44435</v>
      </c>
      <c r="C55" s="1" t="n">
        <v>45627</v>
      </c>
      <c r="D55" t="inlineStr">
        <is>
          <t>HALLANDS LÄN</t>
        </is>
      </c>
      <c r="E55" t="inlineStr">
        <is>
          <t>FALKENBERG</t>
        </is>
      </c>
      <c r="G55" t="n">
        <v>1.9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Stor revmossa</t>
        </is>
      </c>
      <c r="S55">
        <f>HYPERLINK("https://klasma.github.io/Logging_1382/artfynd/A 44540-2021 artfynd.xlsx", "A 44540-2021")</f>
        <v/>
      </c>
      <c r="T55">
        <f>HYPERLINK("https://klasma.github.io/Logging_1382/kartor/A 44540-2021 karta.png", "A 44540-2021")</f>
        <v/>
      </c>
      <c r="V55">
        <f>HYPERLINK("https://klasma.github.io/Logging_1382/klagomål/A 44540-2021 FSC-klagomål.docx", "A 44540-2021")</f>
        <v/>
      </c>
      <c r="W55">
        <f>HYPERLINK("https://klasma.github.io/Logging_1382/klagomålsmail/A 44540-2021 FSC-klagomål mail.docx", "A 44540-2021")</f>
        <v/>
      </c>
      <c r="X55">
        <f>HYPERLINK("https://klasma.github.io/Logging_1382/tillsyn/A 44540-2021 tillsynsbegäran.docx", "A 44540-2021")</f>
        <v/>
      </c>
      <c r="Y55">
        <f>HYPERLINK("https://klasma.github.io/Logging_1382/tillsynsmail/A 44540-2021 tillsynsbegäran mail.docx", "A 44540-2021")</f>
        <v/>
      </c>
    </row>
    <row r="56" ht="15" customHeight="1">
      <c r="A56" t="inlineStr">
        <is>
          <t>A 50645-2021</t>
        </is>
      </c>
      <c r="B56" s="1" t="n">
        <v>44459</v>
      </c>
      <c r="C56" s="1" t="n">
        <v>45627</v>
      </c>
      <c r="D56" t="inlineStr">
        <is>
          <t>HALLANDS LÄN</t>
        </is>
      </c>
      <c r="E56" t="inlineStr">
        <is>
          <t>LAHOLM</t>
        </is>
      </c>
      <c r="G56" t="n">
        <v>3.7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Hårginst</t>
        </is>
      </c>
      <c r="S56">
        <f>HYPERLINK("https://klasma.github.io/Logging_1381/artfynd/A 50645-2021 artfynd.xlsx", "A 50645-2021")</f>
        <v/>
      </c>
      <c r="T56">
        <f>HYPERLINK("https://klasma.github.io/Logging_1381/kartor/A 50645-2021 karta.png", "A 50645-2021")</f>
        <v/>
      </c>
      <c r="V56">
        <f>HYPERLINK("https://klasma.github.io/Logging_1381/klagomål/A 50645-2021 FSC-klagomål.docx", "A 50645-2021")</f>
        <v/>
      </c>
      <c r="W56">
        <f>HYPERLINK("https://klasma.github.io/Logging_1381/klagomålsmail/A 50645-2021 FSC-klagomål mail.docx", "A 50645-2021")</f>
        <v/>
      </c>
      <c r="X56">
        <f>HYPERLINK("https://klasma.github.io/Logging_1381/tillsyn/A 50645-2021 tillsynsbegäran.docx", "A 50645-2021")</f>
        <v/>
      </c>
      <c r="Y56">
        <f>HYPERLINK("https://klasma.github.io/Logging_1381/tillsynsmail/A 50645-2021 tillsynsbegäran mail.docx", "A 50645-2021")</f>
        <v/>
      </c>
    </row>
    <row r="57" ht="15" customHeight="1">
      <c r="A57" t="inlineStr">
        <is>
          <t>A 50998-2021</t>
        </is>
      </c>
      <c r="B57" s="1" t="n">
        <v>44460</v>
      </c>
      <c r="C57" s="1" t="n">
        <v>45627</v>
      </c>
      <c r="D57" t="inlineStr">
        <is>
          <t>HALLANDS LÄN</t>
        </is>
      </c>
      <c r="E57" t="inlineStr">
        <is>
          <t>FALKENBERG</t>
        </is>
      </c>
      <c r="G57" t="n">
        <v>0.5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Rödgul trumpetsvamp</t>
        </is>
      </c>
      <c r="S57">
        <f>HYPERLINK("https://klasma.github.io/Logging_1382/artfynd/A 50998-2021 artfynd.xlsx", "A 50998-2021")</f>
        <v/>
      </c>
      <c r="T57">
        <f>HYPERLINK("https://klasma.github.io/Logging_1382/kartor/A 50998-2021 karta.png", "A 50998-2021")</f>
        <v/>
      </c>
      <c r="V57">
        <f>HYPERLINK("https://klasma.github.io/Logging_1382/klagomål/A 50998-2021 FSC-klagomål.docx", "A 50998-2021")</f>
        <v/>
      </c>
      <c r="W57">
        <f>HYPERLINK("https://klasma.github.io/Logging_1382/klagomålsmail/A 50998-2021 FSC-klagomål mail.docx", "A 50998-2021")</f>
        <v/>
      </c>
      <c r="X57">
        <f>HYPERLINK("https://klasma.github.io/Logging_1382/tillsyn/A 50998-2021 tillsynsbegäran.docx", "A 50998-2021")</f>
        <v/>
      </c>
      <c r="Y57">
        <f>HYPERLINK("https://klasma.github.io/Logging_1382/tillsynsmail/A 50998-2021 tillsynsbegäran mail.docx", "A 50998-2021")</f>
        <v/>
      </c>
    </row>
    <row r="58" ht="15" customHeight="1">
      <c r="A58" t="inlineStr">
        <is>
          <t>A 53915-2021</t>
        </is>
      </c>
      <c r="B58" s="1" t="n">
        <v>44469</v>
      </c>
      <c r="C58" s="1" t="n">
        <v>45627</v>
      </c>
      <c r="D58" t="inlineStr">
        <is>
          <t>HALLANDS LÄN</t>
        </is>
      </c>
      <c r="E58" t="inlineStr">
        <is>
          <t>VARBERG</t>
        </is>
      </c>
      <c r="G58" t="n">
        <v>0.9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Entita</t>
        </is>
      </c>
      <c r="S58">
        <f>HYPERLINK("https://klasma.github.io/Logging_1383/artfynd/A 53915-2021 artfynd.xlsx", "A 53915-2021")</f>
        <v/>
      </c>
      <c r="T58">
        <f>HYPERLINK("https://klasma.github.io/Logging_1383/kartor/A 53915-2021 karta.png", "A 53915-2021")</f>
        <v/>
      </c>
      <c r="V58">
        <f>HYPERLINK("https://klasma.github.io/Logging_1383/klagomål/A 53915-2021 FSC-klagomål.docx", "A 53915-2021")</f>
        <v/>
      </c>
      <c r="W58">
        <f>HYPERLINK("https://klasma.github.io/Logging_1383/klagomålsmail/A 53915-2021 FSC-klagomål mail.docx", "A 53915-2021")</f>
        <v/>
      </c>
      <c r="X58">
        <f>HYPERLINK("https://klasma.github.io/Logging_1383/tillsyn/A 53915-2021 tillsynsbegäran.docx", "A 53915-2021")</f>
        <v/>
      </c>
      <c r="Y58">
        <f>HYPERLINK("https://klasma.github.io/Logging_1383/tillsynsmail/A 53915-2021 tillsynsbegäran mail.docx", "A 53915-2021")</f>
        <v/>
      </c>
      <c r="Z58">
        <f>HYPERLINK("https://klasma.github.io/Logging_1383/fåglar/A 53915-2021 prioriterade fågelarter.docx", "A 53915-2021")</f>
        <v/>
      </c>
    </row>
    <row r="59" ht="15" customHeight="1">
      <c r="A59" t="inlineStr">
        <is>
          <t>A 63965-2021</t>
        </is>
      </c>
      <c r="B59" s="1" t="n">
        <v>44509</v>
      </c>
      <c r="C59" s="1" t="n">
        <v>45627</v>
      </c>
      <c r="D59" t="inlineStr">
        <is>
          <t>HALLANDS LÄN</t>
        </is>
      </c>
      <c r="E59" t="inlineStr">
        <is>
          <t>KUNGSBACKA</t>
        </is>
      </c>
      <c r="G59" t="n">
        <v>2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Hasselmus</t>
        </is>
      </c>
      <c r="S59">
        <f>HYPERLINK("https://klasma.github.io/Logging_1384/artfynd/A 63965-2021 artfynd.xlsx", "A 63965-2021")</f>
        <v/>
      </c>
      <c r="T59">
        <f>HYPERLINK("https://klasma.github.io/Logging_1384/kartor/A 63965-2021 karta.png", "A 63965-2021")</f>
        <v/>
      </c>
      <c r="V59">
        <f>HYPERLINK("https://klasma.github.io/Logging_1384/klagomål/A 63965-2021 FSC-klagomål.docx", "A 63965-2021")</f>
        <v/>
      </c>
      <c r="W59">
        <f>HYPERLINK("https://klasma.github.io/Logging_1384/klagomålsmail/A 63965-2021 FSC-klagomål mail.docx", "A 63965-2021")</f>
        <v/>
      </c>
      <c r="X59">
        <f>HYPERLINK("https://klasma.github.io/Logging_1384/tillsyn/A 63965-2021 tillsynsbegäran.docx", "A 63965-2021")</f>
        <v/>
      </c>
      <c r="Y59">
        <f>HYPERLINK("https://klasma.github.io/Logging_1384/tillsynsmail/A 63965-2021 tillsynsbegäran mail.docx", "A 63965-2021")</f>
        <v/>
      </c>
    </row>
    <row r="60" ht="15" customHeight="1">
      <c r="A60" t="inlineStr">
        <is>
          <t>A 66137-2021</t>
        </is>
      </c>
      <c r="B60" s="1" t="n">
        <v>44517</v>
      </c>
      <c r="C60" s="1" t="n">
        <v>45627</v>
      </c>
      <c r="D60" t="inlineStr">
        <is>
          <t>HALLANDS LÄN</t>
        </is>
      </c>
      <c r="E60" t="inlineStr">
        <is>
          <t>FALKENBERG</t>
        </is>
      </c>
      <c r="G60" t="n">
        <v>1.7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Hasselmus</t>
        </is>
      </c>
      <c r="S60">
        <f>HYPERLINK("https://klasma.github.io/Logging_1382/artfynd/A 66137-2021 artfynd.xlsx", "A 66137-2021")</f>
        <v/>
      </c>
      <c r="T60">
        <f>HYPERLINK("https://klasma.github.io/Logging_1382/kartor/A 66137-2021 karta.png", "A 66137-2021")</f>
        <v/>
      </c>
      <c r="V60">
        <f>HYPERLINK("https://klasma.github.io/Logging_1382/klagomål/A 66137-2021 FSC-klagomål.docx", "A 66137-2021")</f>
        <v/>
      </c>
      <c r="W60">
        <f>HYPERLINK("https://klasma.github.io/Logging_1382/klagomålsmail/A 66137-2021 FSC-klagomål mail.docx", "A 66137-2021")</f>
        <v/>
      </c>
      <c r="X60">
        <f>HYPERLINK("https://klasma.github.io/Logging_1382/tillsyn/A 66137-2021 tillsynsbegäran.docx", "A 66137-2021")</f>
        <v/>
      </c>
      <c r="Y60">
        <f>HYPERLINK("https://klasma.github.io/Logging_1382/tillsynsmail/A 66137-2021 tillsynsbegäran mail.docx", "A 66137-2021")</f>
        <v/>
      </c>
    </row>
    <row r="61" ht="15" customHeight="1">
      <c r="A61" t="inlineStr">
        <is>
          <t>A 70738-2021</t>
        </is>
      </c>
      <c r="B61" s="1" t="n">
        <v>44537</v>
      </c>
      <c r="C61" s="1" t="n">
        <v>45627</v>
      </c>
      <c r="D61" t="inlineStr">
        <is>
          <t>HALLANDS LÄN</t>
        </is>
      </c>
      <c r="E61" t="inlineStr">
        <is>
          <t>HALMSTAD</t>
        </is>
      </c>
      <c r="F61" t="inlineStr">
        <is>
          <t>Kyrkan</t>
        </is>
      </c>
      <c r="G61" t="n">
        <v>2.4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Hårginst</t>
        </is>
      </c>
      <c r="S61">
        <f>HYPERLINK("https://klasma.github.io/Logging_1380/artfynd/A 70738-2021 artfynd.xlsx", "A 70738-2021")</f>
        <v/>
      </c>
      <c r="T61">
        <f>HYPERLINK("https://klasma.github.io/Logging_1380/kartor/A 70738-2021 karta.png", "A 70738-2021")</f>
        <v/>
      </c>
      <c r="V61">
        <f>HYPERLINK("https://klasma.github.io/Logging_1380/klagomål/A 70738-2021 FSC-klagomål.docx", "A 70738-2021")</f>
        <v/>
      </c>
      <c r="W61">
        <f>HYPERLINK("https://klasma.github.io/Logging_1380/klagomålsmail/A 70738-2021 FSC-klagomål mail.docx", "A 70738-2021")</f>
        <v/>
      </c>
      <c r="X61">
        <f>HYPERLINK("https://klasma.github.io/Logging_1380/tillsyn/A 70738-2021 tillsynsbegäran.docx", "A 70738-2021")</f>
        <v/>
      </c>
      <c r="Y61">
        <f>HYPERLINK("https://klasma.github.io/Logging_1380/tillsynsmail/A 70738-2021 tillsynsbegäran mail.docx", "A 70738-2021")</f>
        <v/>
      </c>
    </row>
    <row r="62" ht="15" customHeight="1">
      <c r="A62" t="inlineStr">
        <is>
          <t>A 70769-2021</t>
        </is>
      </c>
      <c r="B62" s="1" t="n">
        <v>44537</v>
      </c>
      <c r="C62" s="1" t="n">
        <v>45627</v>
      </c>
      <c r="D62" t="inlineStr">
        <is>
          <t>HALLANDS LÄN</t>
        </is>
      </c>
      <c r="E62" t="inlineStr">
        <is>
          <t>HALMSTAD</t>
        </is>
      </c>
      <c r="F62" t="inlineStr">
        <is>
          <t>Kyrkan</t>
        </is>
      </c>
      <c r="G62" t="n">
        <v>1.2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Brandticka</t>
        </is>
      </c>
      <c r="S62">
        <f>HYPERLINK("https://klasma.github.io/Logging_1380/artfynd/A 70769-2021 artfynd.xlsx", "A 70769-2021")</f>
        <v/>
      </c>
      <c r="T62">
        <f>HYPERLINK("https://klasma.github.io/Logging_1380/kartor/A 70769-2021 karta.png", "A 70769-2021")</f>
        <v/>
      </c>
      <c r="V62">
        <f>HYPERLINK("https://klasma.github.io/Logging_1380/klagomål/A 70769-2021 FSC-klagomål.docx", "A 70769-2021")</f>
        <v/>
      </c>
      <c r="W62">
        <f>HYPERLINK("https://klasma.github.io/Logging_1380/klagomålsmail/A 70769-2021 FSC-klagomål mail.docx", "A 70769-2021")</f>
        <v/>
      </c>
      <c r="X62">
        <f>HYPERLINK("https://klasma.github.io/Logging_1380/tillsyn/A 70769-2021 tillsynsbegäran.docx", "A 70769-2021")</f>
        <v/>
      </c>
      <c r="Y62">
        <f>HYPERLINK("https://klasma.github.io/Logging_1380/tillsynsmail/A 70769-2021 tillsynsbegäran mail.docx", "A 70769-2021")</f>
        <v/>
      </c>
    </row>
    <row r="63" ht="15" customHeight="1">
      <c r="A63" t="inlineStr">
        <is>
          <t>A 6626-2022</t>
        </is>
      </c>
      <c r="B63" s="1" t="n">
        <v>44601</v>
      </c>
      <c r="C63" s="1" t="n">
        <v>45627</v>
      </c>
      <c r="D63" t="inlineStr">
        <is>
          <t>HALLANDS LÄN</t>
        </is>
      </c>
      <c r="E63" t="inlineStr">
        <is>
          <t>HYLTE</t>
        </is>
      </c>
      <c r="G63" t="n">
        <v>6.4</v>
      </c>
      <c r="H63" t="n">
        <v>0</v>
      </c>
      <c r="I63" t="n">
        <v>0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Ask</t>
        </is>
      </c>
      <c r="S63">
        <f>HYPERLINK("https://klasma.github.io/Logging_1315/artfynd/A 6626-2022 artfynd.xlsx", "A 6626-2022")</f>
        <v/>
      </c>
      <c r="T63">
        <f>HYPERLINK("https://klasma.github.io/Logging_1315/kartor/A 6626-2022 karta.png", "A 6626-2022")</f>
        <v/>
      </c>
      <c r="V63">
        <f>HYPERLINK("https://klasma.github.io/Logging_1315/klagomål/A 6626-2022 FSC-klagomål.docx", "A 6626-2022")</f>
        <v/>
      </c>
      <c r="W63">
        <f>HYPERLINK("https://klasma.github.io/Logging_1315/klagomålsmail/A 6626-2022 FSC-klagomål mail.docx", "A 6626-2022")</f>
        <v/>
      </c>
      <c r="X63">
        <f>HYPERLINK("https://klasma.github.io/Logging_1315/tillsyn/A 6626-2022 tillsynsbegäran.docx", "A 6626-2022")</f>
        <v/>
      </c>
      <c r="Y63">
        <f>HYPERLINK("https://klasma.github.io/Logging_1315/tillsynsmail/A 6626-2022 tillsynsbegäran mail.docx", "A 6626-2022")</f>
        <v/>
      </c>
    </row>
    <row r="64" ht="15" customHeight="1">
      <c r="A64" t="inlineStr">
        <is>
          <t>A 8071-2022</t>
        </is>
      </c>
      <c r="B64" s="1" t="n">
        <v>44609</v>
      </c>
      <c r="C64" s="1" t="n">
        <v>45627</v>
      </c>
      <c r="D64" t="inlineStr">
        <is>
          <t>HALLANDS LÄN</t>
        </is>
      </c>
      <c r="E64" t="inlineStr">
        <is>
          <t>HALMSTAD</t>
        </is>
      </c>
      <c r="G64" t="n">
        <v>6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Igelkott</t>
        </is>
      </c>
      <c r="S64">
        <f>HYPERLINK("https://klasma.github.io/Logging_1380/artfynd/A 8071-2022 artfynd.xlsx", "A 8071-2022")</f>
        <v/>
      </c>
      <c r="T64">
        <f>HYPERLINK("https://klasma.github.io/Logging_1380/kartor/A 8071-2022 karta.png", "A 8071-2022")</f>
        <v/>
      </c>
      <c r="V64">
        <f>HYPERLINK("https://klasma.github.io/Logging_1380/klagomål/A 8071-2022 FSC-klagomål.docx", "A 8071-2022")</f>
        <v/>
      </c>
      <c r="W64">
        <f>HYPERLINK("https://klasma.github.io/Logging_1380/klagomålsmail/A 8071-2022 FSC-klagomål mail.docx", "A 8071-2022")</f>
        <v/>
      </c>
      <c r="X64">
        <f>HYPERLINK("https://klasma.github.io/Logging_1380/tillsyn/A 8071-2022 tillsynsbegäran.docx", "A 8071-2022")</f>
        <v/>
      </c>
      <c r="Y64">
        <f>HYPERLINK("https://klasma.github.io/Logging_1380/tillsynsmail/A 8071-2022 tillsynsbegäran mail.docx", "A 8071-2022")</f>
        <v/>
      </c>
    </row>
    <row r="65" ht="15" customHeight="1">
      <c r="A65" t="inlineStr">
        <is>
          <t>A 10567-2022</t>
        </is>
      </c>
      <c r="B65" s="1" t="n">
        <v>44624</v>
      </c>
      <c r="C65" s="1" t="n">
        <v>45627</v>
      </c>
      <c r="D65" t="inlineStr">
        <is>
          <t>HALLANDS LÄN</t>
        </is>
      </c>
      <c r="E65" t="inlineStr">
        <is>
          <t>LAHOLM</t>
        </is>
      </c>
      <c r="F65" t="inlineStr">
        <is>
          <t>Sveaskog</t>
        </is>
      </c>
      <c r="G65" t="n">
        <v>14.3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Skogsödla</t>
        </is>
      </c>
      <c r="S65">
        <f>HYPERLINK("https://klasma.github.io/Logging_1381/artfynd/A 10567-2022 artfynd.xlsx", "A 10567-2022")</f>
        <v/>
      </c>
      <c r="T65">
        <f>HYPERLINK("https://klasma.github.io/Logging_1381/kartor/A 10567-2022 karta.png", "A 10567-2022")</f>
        <v/>
      </c>
      <c r="V65">
        <f>HYPERLINK("https://klasma.github.io/Logging_1381/klagomål/A 10567-2022 FSC-klagomål.docx", "A 10567-2022")</f>
        <v/>
      </c>
      <c r="W65">
        <f>HYPERLINK("https://klasma.github.io/Logging_1381/klagomålsmail/A 10567-2022 FSC-klagomål mail.docx", "A 10567-2022")</f>
        <v/>
      </c>
      <c r="X65">
        <f>HYPERLINK("https://klasma.github.io/Logging_1381/tillsyn/A 10567-2022 tillsynsbegäran.docx", "A 10567-2022")</f>
        <v/>
      </c>
      <c r="Y65">
        <f>HYPERLINK("https://klasma.github.io/Logging_1381/tillsynsmail/A 10567-2022 tillsynsbegäran mail.docx", "A 10567-2022")</f>
        <v/>
      </c>
    </row>
    <row r="66" ht="15" customHeight="1">
      <c r="A66" t="inlineStr">
        <is>
          <t>A 22842-2022</t>
        </is>
      </c>
      <c r="B66" s="1" t="n">
        <v>44715</v>
      </c>
      <c r="C66" s="1" t="n">
        <v>45627</v>
      </c>
      <c r="D66" t="inlineStr">
        <is>
          <t>HALLANDS LÄN</t>
        </is>
      </c>
      <c r="E66" t="inlineStr">
        <is>
          <t>HALMSTAD</t>
        </is>
      </c>
      <c r="G66" t="n">
        <v>6.1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Spillkråka</t>
        </is>
      </c>
      <c r="S66">
        <f>HYPERLINK("https://klasma.github.io/Logging_1380/artfynd/A 22842-2022 artfynd.xlsx", "A 22842-2022")</f>
        <v/>
      </c>
      <c r="T66">
        <f>HYPERLINK("https://klasma.github.io/Logging_1380/kartor/A 22842-2022 karta.png", "A 22842-2022")</f>
        <v/>
      </c>
      <c r="V66">
        <f>HYPERLINK("https://klasma.github.io/Logging_1380/klagomål/A 22842-2022 FSC-klagomål.docx", "A 22842-2022")</f>
        <v/>
      </c>
      <c r="W66">
        <f>HYPERLINK("https://klasma.github.io/Logging_1380/klagomålsmail/A 22842-2022 FSC-klagomål mail.docx", "A 22842-2022")</f>
        <v/>
      </c>
      <c r="X66">
        <f>HYPERLINK("https://klasma.github.io/Logging_1380/tillsyn/A 22842-2022 tillsynsbegäran.docx", "A 22842-2022")</f>
        <v/>
      </c>
      <c r="Y66">
        <f>HYPERLINK("https://klasma.github.io/Logging_1380/tillsynsmail/A 22842-2022 tillsynsbegäran mail.docx", "A 22842-2022")</f>
        <v/>
      </c>
      <c r="Z66">
        <f>HYPERLINK("https://klasma.github.io/Logging_1380/fåglar/A 22842-2022 prioriterade fågelarter.docx", "A 22842-2022")</f>
        <v/>
      </c>
    </row>
    <row r="67" ht="15" customHeight="1">
      <c r="A67" t="inlineStr">
        <is>
          <t>A 24399-2022</t>
        </is>
      </c>
      <c r="B67" s="1" t="n">
        <v>44726</v>
      </c>
      <c r="C67" s="1" t="n">
        <v>45627</v>
      </c>
      <c r="D67" t="inlineStr">
        <is>
          <t>HALLANDS LÄN</t>
        </is>
      </c>
      <c r="E67" t="inlineStr">
        <is>
          <t>LAHOLM</t>
        </is>
      </c>
      <c r="G67" t="n">
        <v>1.8</v>
      </c>
      <c r="H67" t="n">
        <v>0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Småvänderot</t>
        </is>
      </c>
      <c r="S67">
        <f>HYPERLINK("https://klasma.github.io/Logging_1381/artfynd/A 24399-2022 artfynd.xlsx", "A 24399-2022")</f>
        <v/>
      </c>
      <c r="T67">
        <f>HYPERLINK("https://klasma.github.io/Logging_1381/kartor/A 24399-2022 karta.png", "A 24399-2022")</f>
        <v/>
      </c>
      <c r="V67">
        <f>HYPERLINK("https://klasma.github.io/Logging_1381/klagomål/A 24399-2022 FSC-klagomål.docx", "A 24399-2022")</f>
        <v/>
      </c>
      <c r="W67">
        <f>HYPERLINK("https://klasma.github.io/Logging_1381/klagomålsmail/A 24399-2022 FSC-klagomål mail.docx", "A 24399-2022")</f>
        <v/>
      </c>
      <c r="X67">
        <f>HYPERLINK("https://klasma.github.io/Logging_1381/tillsyn/A 24399-2022 tillsynsbegäran.docx", "A 24399-2022")</f>
        <v/>
      </c>
      <c r="Y67">
        <f>HYPERLINK("https://klasma.github.io/Logging_1381/tillsynsmail/A 24399-2022 tillsynsbegäran mail.docx", "A 24399-2022")</f>
        <v/>
      </c>
    </row>
    <row r="68" ht="15" customHeight="1">
      <c r="A68" t="inlineStr">
        <is>
          <t>A 36719-2022</t>
        </is>
      </c>
      <c r="B68" s="1" t="n">
        <v>44805</v>
      </c>
      <c r="C68" s="1" t="n">
        <v>45627</v>
      </c>
      <c r="D68" t="inlineStr">
        <is>
          <t>HALLANDS LÄN</t>
        </is>
      </c>
      <c r="E68" t="inlineStr">
        <is>
          <t>VARBERG</t>
        </is>
      </c>
      <c r="G68" t="n">
        <v>1.7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Talltita</t>
        </is>
      </c>
      <c r="S68">
        <f>HYPERLINK("https://klasma.github.io/Logging_1383/artfynd/A 36719-2022 artfynd.xlsx", "A 36719-2022")</f>
        <v/>
      </c>
      <c r="T68">
        <f>HYPERLINK("https://klasma.github.io/Logging_1383/kartor/A 36719-2022 karta.png", "A 36719-2022")</f>
        <v/>
      </c>
      <c r="V68">
        <f>HYPERLINK("https://klasma.github.io/Logging_1383/klagomål/A 36719-2022 FSC-klagomål.docx", "A 36719-2022")</f>
        <v/>
      </c>
      <c r="W68">
        <f>HYPERLINK("https://klasma.github.io/Logging_1383/klagomålsmail/A 36719-2022 FSC-klagomål mail.docx", "A 36719-2022")</f>
        <v/>
      </c>
      <c r="X68">
        <f>HYPERLINK("https://klasma.github.io/Logging_1383/tillsyn/A 36719-2022 tillsynsbegäran.docx", "A 36719-2022")</f>
        <v/>
      </c>
      <c r="Y68">
        <f>HYPERLINK("https://klasma.github.io/Logging_1383/tillsynsmail/A 36719-2022 tillsynsbegäran mail.docx", "A 36719-2022")</f>
        <v/>
      </c>
      <c r="Z68">
        <f>HYPERLINK("https://klasma.github.io/Logging_1383/fåglar/A 36719-2022 prioriterade fågelarter.docx", "A 36719-2022")</f>
        <v/>
      </c>
    </row>
    <row r="69" ht="15" customHeight="1">
      <c r="A69" t="inlineStr">
        <is>
          <t>A 42421-2022</t>
        </is>
      </c>
      <c r="B69" s="1" t="n">
        <v>44831</v>
      </c>
      <c r="C69" s="1" t="n">
        <v>45627</v>
      </c>
      <c r="D69" t="inlineStr">
        <is>
          <t>HALLANDS LÄN</t>
        </is>
      </c>
      <c r="E69" t="inlineStr">
        <is>
          <t>LAHOLM</t>
        </is>
      </c>
      <c r="G69" t="n">
        <v>1.8</v>
      </c>
      <c r="H69" t="n">
        <v>0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Småvänderot</t>
        </is>
      </c>
      <c r="S69">
        <f>HYPERLINK("https://klasma.github.io/Logging_1381/artfynd/A 42421-2022 artfynd.xlsx", "A 42421-2022")</f>
        <v/>
      </c>
      <c r="T69">
        <f>HYPERLINK("https://klasma.github.io/Logging_1381/kartor/A 42421-2022 karta.png", "A 42421-2022")</f>
        <v/>
      </c>
      <c r="V69">
        <f>HYPERLINK("https://klasma.github.io/Logging_1381/klagomål/A 42421-2022 FSC-klagomål.docx", "A 42421-2022")</f>
        <v/>
      </c>
      <c r="W69">
        <f>HYPERLINK("https://klasma.github.io/Logging_1381/klagomålsmail/A 42421-2022 FSC-klagomål mail.docx", "A 42421-2022")</f>
        <v/>
      </c>
      <c r="X69">
        <f>HYPERLINK("https://klasma.github.io/Logging_1381/tillsyn/A 42421-2022 tillsynsbegäran.docx", "A 42421-2022")</f>
        <v/>
      </c>
      <c r="Y69">
        <f>HYPERLINK("https://klasma.github.io/Logging_1381/tillsynsmail/A 42421-2022 tillsynsbegäran mail.docx", "A 42421-2022")</f>
        <v/>
      </c>
    </row>
    <row r="70" ht="15" customHeight="1">
      <c r="A70" t="inlineStr">
        <is>
          <t>A 43362-2022</t>
        </is>
      </c>
      <c r="B70" s="1" t="n">
        <v>44834</v>
      </c>
      <c r="C70" s="1" t="n">
        <v>45627</v>
      </c>
      <c r="D70" t="inlineStr">
        <is>
          <t>HALLANDS LÄN</t>
        </is>
      </c>
      <c r="E70" t="inlineStr">
        <is>
          <t>VARBERG</t>
        </is>
      </c>
      <c r="G70" t="n">
        <v>2.9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Dvärgpipistrell</t>
        </is>
      </c>
      <c r="S70">
        <f>HYPERLINK("https://klasma.github.io/Logging_1383/artfynd/A 43362-2022 artfynd.xlsx", "A 43362-2022")</f>
        <v/>
      </c>
      <c r="T70">
        <f>HYPERLINK("https://klasma.github.io/Logging_1383/kartor/A 43362-2022 karta.png", "A 43362-2022")</f>
        <v/>
      </c>
      <c r="V70">
        <f>HYPERLINK("https://klasma.github.io/Logging_1383/klagomål/A 43362-2022 FSC-klagomål.docx", "A 43362-2022")</f>
        <v/>
      </c>
      <c r="W70">
        <f>HYPERLINK("https://klasma.github.io/Logging_1383/klagomålsmail/A 43362-2022 FSC-klagomål mail.docx", "A 43362-2022")</f>
        <v/>
      </c>
      <c r="X70">
        <f>HYPERLINK("https://klasma.github.io/Logging_1383/tillsyn/A 43362-2022 tillsynsbegäran.docx", "A 43362-2022")</f>
        <v/>
      </c>
      <c r="Y70">
        <f>HYPERLINK("https://klasma.github.io/Logging_1383/tillsynsmail/A 43362-2022 tillsynsbegäran mail.docx", "A 43362-2022")</f>
        <v/>
      </c>
    </row>
    <row r="71" ht="15" customHeight="1">
      <c r="A71" t="inlineStr">
        <is>
          <t>A 44937-2022</t>
        </is>
      </c>
      <c r="B71" s="1" t="n">
        <v>44840</v>
      </c>
      <c r="C71" s="1" t="n">
        <v>45627</v>
      </c>
      <c r="D71" t="inlineStr">
        <is>
          <t>HALLANDS LÄN</t>
        </is>
      </c>
      <c r="E71" t="inlineStr">
        <is>
          <t>HALMSTAD</t>
        </is>
      </c>
      <c r="F71" t="inlineStr">
        <is>
          <t>Sveaskog</t>
        </is>
      </c>
      <c r="G71" t="n">
        <v>15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Granbräken</t>
        </is>
      </c>
      <c r="S71">
        <f>HYPERLINK("https://klasma.github.io/Logging_1380/artfynd/A 44937-2022 artfynd.xlsx", "A 44937-2022")</f>
        <v/>
      </c>
      <c r="T71">
        <f>HYPERLINK("https://klasma.github.io/Logging_1380/kartor/A 44937-2022 karta.png", "A 44937-2022")</f>
        <v/>
      </c>
      <c r="V71">
        <f>HYPERLINK("https://klasma.github.io/Logging_1380/klagomål/A 44937-2022 FSC-klagomål.docx", "A 44937-2022")</f>
        <v/>
      </c>
      <c r="W71">
        <f>HYPERLINK("https://klasma.github.io/Logging_1380/klagomålsmail/A 44937-2022 FSC-klagomål mail.docx", "A 44937-2022")</f>
        <v/>
      </c>
      <c r="X71">
        <f>HYPERLINK("https://klasma.github.io/Logging_1380/tillsyn/A 44937-2022 tillsynsbegäran.docx", "A 44937-2022")</f>
        <v/>
      </c>
      <c r="Y71">
        <f>HYPERLINK("https://klasma.github.io/Logging_1380/tillsynsmail/A 44937-2022 tillsynsbegäran mail.docx", "A 44937-2022")</f>
        <v/>
      </c>
    </row>
    <row r="72" ht="15" customHeight="1">
      <c r="A72" t="inlineStr">
        <is>
          <t>A 49551-2022</t>
        </is>
      </c>
      <c r="B72" s="1" t="n">
        <v>44862</v>
      </c>
      <c r="C72" s="1" t="n">
        <v>45627</v>
      </c>
      <c r="D72" t="inlineStr">
        <is>
          <t>HALLANDS LÄN</t>
        </is>
      </c>
      <c r="E72" t="inlineStr">
        <is>
          <t>VARBERG</t>
        </is>
      </c>
      <c r="G72" t="n">
        <v>2.1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Guldlockmossa</t>
        </is>
      </c>
      <c r="S72">
        <f>HYPERLINK("https://klasma.github.io/Logging_1383/artfynd/A 49551-2022 artfynd.xlsx", "A 49551-2022")</f>
        <v/>
      </c>
      <c r="T72">
        <f>HYPERLINK("https://klasma.github.io/Logging_1383/kartor/A 49551-2022 karta.png", "A 49551-2022")</f>
        <v/>
      </c>
      <c r="V72">
        <f>HYPERLINK("https://klasma.github.io/Logging_1383/klagomål/A 49551-2022 FSC-klagomål.docx", "A 49551-2022")</f>
        <v/>
      </c>
      <c r="W72">
        <f>HYPERLINK("https://klasma.github.io/Logging_1383/klagomålsmail/A 49551-2022 FSC-klagomål mail.docx", "A 49551-2022")</f>
        <v/>
      </c>
      <c r="X72">
        <f>HYPERLINK("https://klasma.github.io/Logging_1383/tillsyn/A 49551-2022 tillsynsbegäran.docx", "A 49551-2022")</f>
        <v/>
      </c>
      <c r="Y72">
        <f>HYPERLINK("https://klasma.github.io/Logging_1383/tillsynsmail/A 49551-2022 tillsynsbegäran mail.docx", "A 49551-2022")</f>
        <v/>
      </c>
    </row>
    <row r="73" ht="15" customHeight="1">
      <c r="A73" t="inlineStr">
        <is>
          <t>A 52318-2022</t>
        </is>
      </c>
      <c r="B73" s="1" t="n">
        <v>44873</v>
      </c>
      <c r="C73" s="1" t="n">
        <v>45627</v>
      </c>
      <c r="D73" t="inlineStr">
        <is>
          <t>HALLANDS LÄN</t>
        </is>
      </c>
      <c r="E73" t="inlineStr">
        <is>
          <t>KUNGSBACKA</t>
        </is>
      </c>
      <c r="G73" t="n">
        <v>2.3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Fläcknycklar</t>
        </is>
      </c>
      <c r="S73">
        <f>HYPERLINK("https://klasma.github.io/Logging_1384/artfynd/A 52318-2022 artfynd.xlsx", "A 52318-2022")</f>
        <v/>
      </c>
      <c r="T73">
        <f>HYPERLINK("https://klasma.github.io/Logging_1384/kartor/A 52318-2022 karta.png", "A 52318-2022")</f>
        <v/>
      </c>
      <c r="V73">
        <f>HYPERLINK("https://klasma.github.io/Logging_1384/klagomål/A 52318-2022 FSC-klagomål.docx", "A 52318-2022")</f>
        <v/>
      </c>
      <c r="W73">
        <f>HYPERLINK("https://klasma.github.io/Logging_1384/klagomålsmail/A 52318-2022 FSC-klagomål mail.docx", "A 52318-2022")</f>
        <v/>
      </c>
      <c r="X73">
        <f>HYPERLINK("https://klasma.github.io/Logging_1384/tillsyn/A 52318-2022 tillsynsbegäran.docx", "A 52318-2022")</f>
        <v/>
      </c>
      <c r="Y73">
        <f>HYPERLINK("https://klasma.github.io/Logging_1384/tillsynsmail/A 52318-2022 tillsynsbegäran mail.docx", "A 52318-2022")</f>
        <v/>
      </c>
    </row>
    <row r="74" ht="15" customHeight="1">
      <c r="A74" t="inlineStr">
        <is>
          <t>A 57564-2022</t>
        </is>
      </c>
      <c r="B74" s="1" t="n">
        <v>44896</v>
      </c>
      <c r="C74" s="1" t="n">
        <v>45627</v>
      </c>
      <c r="D74" t="inlineStr">
        <is>
          <t>HALLANDS LÄN</t>
        </is>
      </c>
      <c r="E74" t="inlineStr">
        <is>
          <t>VARBERG</t>
        </is>
      </c>
      <c r="G74" t="n">
        <v>3.1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Lappuggla</t>
        </is>
      </c>
      <c r="S74">
        <f>HYPERLINK("https://klasma.github.io/Logging_1383/artfynd/A 57564-2022 artfynd.xlsx", "A 57564-2022")</f>
        <v/>
      </c>
      <c r="T74">
        <f>HYPERLINK("https://klasma.github.io/Logging_1383/kartor/A 57564-2022 karta.png", "A 57564-2022")</f>
        <v/>
      </c>
      <c r="V74">
        <f>HYPERLINK("https://klasma.github.io/Logging_1383/klagomål/A 57564-2022 FSC-klagomål.docx", "A 57564-2022")</f>
        <v/>
      </c>
      <c r="W74">
        <f>HYPERLINK("https://klasma.github.io/Logging_1383/klagomålsmail/A 57564-2022 FSC-klagomål mail.docx", "A 57564-2022")</f>
        <v/>
      </c>
      <c r="X74">
        <f>HYPERLINK("https://klasma.github.io/Logging_1383/tillsyn/A 57564-2022 tillsynsbegäran.docx", "A 57564-2022")</f>
        <v/>
      </c>
      <c r="Y74">
        <f>HYPERLINK("https://klasma.github.io/Logging_1383/tillsynsmail/A 57564-2022 tillsynsbegäran mail.docx", "A 57564-2022")</f>
        <v/>
      </c>
      <c r="Z74">
        <f>HYPERLINK("https://klasma.github.io/Logging_1383/fåglar/A 57564-2022 prioriterade fågelarter.docx", "A 57564-2022")</f>
        <v/>
      </c>
    </row>
    <row r="75" ht="15" customHeight="1">
      <c r="A75" t="inlineStr">
        <is>
          <t>A 3062-2023</t>
        </is>
      </c>
      <c r="B75" s="1" t="n">
        <v>44946</v>
      </c>
      <c r="C75" s="1" t="n">
        <v>45627</v>
      </c>
      <c r="D75" t="inlineStr">
        <is>
          <t>HALLANDS LÄN</t>
        </is>
      </c>
      <c r="E75" t="inlineStr">
        <is>
          <t>FALKENBERG</t>
        </is>
      </c>
      <c r="G75" t="n">
        <v>2.1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Loppstarr</t>
        </is>
      </c>
      <c r="S75">
        <f>HYPERLINK("https://klasma.github.io/Logging_1382/artfynd/A 3062-2023 artfynd.xlsx", "A 3062-2023")</f>
        <v/>
      </c>
      <c r="T75">
        <f>HYPERLINK("https://klasma.github.io/Logging_1382/kartor/A 3062-2023 karta.png", "A 3062-2023")</f>
        <v/>
      </c>
      <c r="V75">
        <f>HYPERLINK("https://klasma.github.io/Logging_1382/klagomål/A 3062-2023 FSC-klagomål.docx", "A 3062-2023")</f>
        <v/>
      </c>
      <c r="W75">
        <f>HYPERLINK("https://klasma.github.io/Logging_1382/klagomålsmail/A 3062-2023 FSC-klagomål mail.docx", "A 3062-2023")</f>
        <v/>
      </c>
      <c r="X75">
        <f>HYPERLINK("https://klasma.github.io/Logging_1382/tillsyn/A 3062-2023 tillsynsbegäran.docx", "A 3062-2023")</f>
        <v/>
      </c>
      <c r="Y75">
        <f>HYPERLINK("https://klasma.github.io/Logging_1382/tillsynsmail/A 3062-2023 tillsynsbegäran mail.docx", "A 3062-2023")</f>
        <v/>
      </c>
    </row>
    <row r="76" ht="15" customHeight="1">
      <c r="A76" t="inlineStr">
        <is>
          <t>A 9006-2023</t>
        </is>
      </c>
      <c r="B76" s="1" t="n">
        <v>44979</v>
      </c>
      <c r="C76" s="1" t="n">
        <v>45627</v>
      </c>
      <c r="D76" t="inlineStr">
        <is>
          <t>HALLANDS LÄN</t>
        </is>
      </c>
      <c r="E76" t="inlineStr">
        <is>
          <t>KUNGSBACKA</t>
        </is>
      </c>
      <c r="G76" t="n">
        <v>13.5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Hedjohannesört</t>
        </is>
      </c>
      <c r="S76">
        <f>HYPERLINK("https://klasma.github.io/Logging_1384/artfynd/A 9006-2023 artfynd.xlsx", "A 9006-2023")</f>
        <v/>
      </c>
      <c r="T76">
        <f>HYPERLINK("https://klasma.github.io/Logging_1384/kartor/A 9006-2023 karta.png", "A 9006-2023")</f>
        <v/>
      </c>
      <c r="V76">
        <f>HYPERLINK("https://klasma.github.io/Logging_1384/klagomål/A 9006-2023 FSC-klagomål.docx", "A 9006-2023")</f>
        <v/>
      </c>
      <c r="W76">
        <f>HYPERLINK("https://klasma.github.io/Logging_1384/klagomålsmail/A 9006-2023 FSC-klagomål mail.docx", "A 9006-2023")</f>
        <v/>
      </c>
      <c r="X76">
        <f>HYPERLINK("https://klasma.github.io/Logging_1384/tillsyn/A 9006-2023 tillsynsbegäran.docx", "A 9006-2023")</f>
        <v/>
      </c>
      <c r="Y76">
        <f>HYPERLINK("https://klasma.github.io/Logging_1384/tillsynsmail/A 9006-2023 tillsynsbegäran mail.docx", "A 9006-2023")</f>
        <v/>
      </c>
    </row>
    <row r="77" ht="15" customHeight="1">
      <c r="A77" t="inlineStr">
        <is>
          <t>A 12185-2023</t>
        </is>
      </c>
      <c r="B77" s="1" t="n">
        <v>44998</v>
      </c>
      <c r="C77" s="1" t="n">
        <v>45627</v>
      </c>
      <c r="D77" t="inlineStr">
        <is>
          <t>HALLANDS LÄN</t>
        </is>
      </c>
      <c r="E77" t="inlineStr">
        <is>
          <t>HALMSTAD</t>
        </is>
      </c>
      <c r="G77" t="n">
        <v>1.8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Loppstarr</t>
        </is>
      </c>
      <c r="S77">
        <f>HYPERLINK("https://klasma.github.io/Logging_1380/artfynd/A 12185-2023 artfynd.xlsx", "A 12185-2023")</f>
        <v/>
      </c>
      <c r="T77">
        <f>HYPERLINK("https://klasma.github.io/Logging_1380/kartor/A 12185-2023 karta.png", "A 12185-2023")</f>
        <v/>
      </c>
      <c r="V77">
        <f>HYPERLINK("https://klasma.github.io/Logging_1380/klagomål/A 12185-2023 FSC-klagomål.docx", "A 12185-2023")</f>
        <v/>
      </c>
      <c r="W77">
        <f>HYPERLINK("https://klasma.github.io/Logging_1380/klagomålsmail/A 12185-2023 FSC-klagomål mail.docx", "A 12185-2023")</f>
        <v/>
      </c>
      <c r="X77">
        <f>HYPERLINK("https://klasma.github.io/Logging_1380/tillsyn/A 12185-2023 tillsynsbegäran.docx", "A 12185-2023")</f>
        <v/>
      </c>
      <c r="Y77">
        <f>HYPERLINK("https://klasma.github.io/Logging_1380/tillsynsmail/A 12185-2023 tillsynsbegäran mail.docx", "A 12185-2023")</f>
        <v/>
      </c>
    </row>
    <row r="78" ht="15" customHeight="1">
      <c r="A78" t="inlineStr">
        <is>
          <t>A 23050-2023</t>
        </is>
      </c>
      <c r="B78" s="1" t="n">
        <v>45075</v>
      </c>
      <c r="C78" s="1" t="n">
        <v>45627</v>
      </c>
      <c r="D78" t="inlineStr">
        <is>
          <t>HALLANDS LÄN</t>
        </is>
      </c>
      <c r="E78" t="inlineStr">
        <is>
          <t>VARBERG</t>
        </is>
      </c>
      <c r="G78" t="n">
        <v>1.4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Kambräken</t>
        </is>
      </c>
      <c r="S78">
        <f>HYPERLINK("https://klasma.github.io/Logging_1383/artfynd/A 23050-2023 artfynd.xlsx", "A 23050-2023")</f>
        <v/>
      </c>
      <c r="T78">
        <f>HYPERLINK("https://klasma.github.io/Logging_1383/kartor/A 23050-2023 karta.png", "A 23050-2023")</f>
        <v/>
      </c>
      <c r="V78">
        <f>HYPERLINK("https://klasma.github.io/Logging_1383/klagomål/A 23050-2023 FSC-klagomål.docx", "A 23050-2023")</f>
        <v/>
      </c>
      <c r="W78">
        <f>HYPERLINK("https://klasma.github.io/Logging_1383/klagomålsmail/A 23050-2023 FSC-klagomål mail.docx", "A 23050-2023")</f>
        <v/>
      </c>
      <c r="X78">
        <f>HYPERLINK("https://klasma.github.io/Logging_1383/tillsyn/A 23050-2023 tillsynsbegäran.docx", "A 23050-2023")</f>
        <v/>
      </c>
      <c r="Y78">
        <f>HYPERLINK("https://klasma.github.io/Logging_1383/tillsynsmail/A 23050-2023 tillsynsbegäran mail.docx", "A 23050-2023")</f>
        <v/>
      </c>
    </row>
    <row r="79" ht="15" customHeight="1">
      <c r="A79" t="inlineStr">
        <is>
          <t>A 28111-2023</t>
        </is>
      </c>
      <c r="B79" s="1" t="n">
        <v>45099</v>
      </c>
      <c r="C79" s="1" t="n">
        <v>45627</v>
      </c>
      <c r="D79" t="inlineStr">
        <is>
          <t>HALLANDS LÄN</t>
        </is>
      </c>
      <c r="E79" t="inlineStr">
        <is>
          <t>HYLTE</t>
        </is>
      </c>
      <c r="G79" t="n">
        <v>1.2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Pärluggla</t>
        </is>
      </c>
      <c r="S79">
        <f>HYPERLINK("https://klasma.github.io/Logging_1315/artfynd/A 28111-2023 artfynd.xlsx", "A 28111-2023")</f>
        <v/>
      </c>
      <c r="T79">
        <f>HYPERLINK("https://klasma.github.io/Logging_1315/kartor/A 28111-2023 karta.png", "A 28111-2023")</f>
        <v/>
      </c>
      <c r="V79">
        <f>HYPERLINK("https://klasma.github.io/Logging_1315/klagomål/A 28111-2023 FSC-klagomål.docx", "A 28111-2023")</f>
        <v/>
      </c>
      <c r="W79">
        <f>HYPERLINK("https://klasma.github.io/Logging_1315/klagomålsmail/A 28111-2023 FSC-klagomål mail.docx", "A 28111-2023")</f>
        <v/>
      </c>
      <c r="X79">
        <f>HYPERLINK("https://klasma.github.io/Logging_1315/tillsyn/A 28111-2023 tillsynsbegäran.docx", "A 28111-2023")</f>
        <v/>
      </c>
      <c r="Y79">
        <f>HYPERLINK("https://klasma.github.io/Logging_1315/tillsynsmail/A 28111-2023 tillsynsbegäran mail.docx", "A 28111-2023")</f>
        <v/>
      </c>
      <c r="Z79">
        <f>HYPERLINK("https://klasma.github.io/Logging_1315/fåglar/A 28111-2023 prioriterade fågelarter.docx", "A 28111-2023")</f>
        <v/>
      </c>
    </row>
    <row r="80" ht="15" customHeight="1">
      <c r="A80" t="inlineStr">
        <is>
          <t>A 30046-2023</t>
        </is>
      </c>
      <c r="B80" s="1" t="n">
        <v>45099</v>
      </c>
      <c r="C80" s="1" t="n">
        <v>45627</v>
      </c>
      <c r="D80" t="inlineStr">
        <is>
          <t>HALLANDS LÄN</t>
        </is>
      </c>
      <c r="E80" t="inlineStr">
        <is>
          <t>HALMSTAD</t>
        </is>
      </c>
      <c r="G80" t="n">
        <v>5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Spillkråka</t>
        </is>
      </c>
      <c r="S80">
        <f>HYPERLINK("https://klasma.github.io/Logging_1380/artfynd/A 30046-2023 artfynd.xlsx", "A 30046-2023")</f>
        <v/>
      </c>
      <c r="T80">
        <f>HYPERLINK("https://klasma.github.io/Logging_1380/kartor/A 30046-2023 karta.png", "A 30046-2023")</f>
        <v/>
      </c>
      <c r="V80">
        <f>HYPERLINK("https://klasma.github.io/Logging_1380/klagomål/A 30046-2023 FSC-klagomål.docx", "A 30046-2023")</f>
        <v/>
      </c>
      <c r="W80">
        <f>HYPERLINK("https://klasma.github.io/Logging_1380/klagomålsmail/A 30046-2023 FSC-klagomål mail.docx", "A 30046-2023")</f>
        <v/>
      </c>
      <c r="X80">
        <f>HYPERLINK("https://klasma.github.io/Logging_1380/tillsyn/A 30046-2023 tillsynsbegäran.docx", "A 30046-2023")</f>
        <v/>
      </c>
      <c r="Y80">
        <f>HYPERLINK("https://klasma.github.io/Logging_1380/tillsynsmail/A 30046-2023 tillsynsbegäran mail.docx", "A 30046-2023")</f>
        <v/>
      </c>
      <c r="Z80">
        <f>HYPERLINK("https://klasma.github.io/Logging_1380/fåglar/A 30046-2023 prioriterade fågelarter.docx", "A 30046-2023")</f>
        <v/>
      </c>
    </row>
    <row r="81" ht="15" customHeight="1">
      <c r="A81" t="inlineStr">
        <is>
          <t>A 33757-2023</t>
        </is>
      </c>
      <c r="B81" s="1" t="n">
        <v>45120</v>
      </c>
      <c r="C81" s="1" t="n">
        <v>45627</v>
      </c>
      <c r="D81" t="inlineStr">
        <is>
          <t>HALLANDS LÄN</t>
        </is>
      </c>
      <c r="E81" t="inlineStr">
        <is>
          <t>HALMSTAD</t>
        </is>
      </c>
      <c r="G81" t="n">
        <v>2.2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Vanlig snok</t>
        </is>
      </c>
      <c r="S81">
        <f>HYPERLINK("https://klasma.github.io/Logging_1380/artfynd/A 33757-2023 artfynd.xlsx", "A 33757-2023")</f>
        <v/>
      </c>
      <c r="T81">
        <f>HYPERLINK("https://klasma.github.io/Logging_1380/kartor/A 33757-2023 karta.png", "A 33757-2023")</f>
        <v/>
      </c>
      <c r="V81">
        <f>HYPERLINK("https://klasma.github.io/Logging_1380/klagomål/A 33757-2023 FSC-klagomål.docx", "A 33757-2023")</f>
        <v/>
      </c>
      <c r="W81">
        <f>HYPERLINK("https://klasma.github.io/Logging_1380/klagomålsmail/A 33757-2023 FSC-klagomål mail.docx", "A 33757-2023")</f>
        <v/>
      </c>
      <c r="X81">
        <f>HYPERLINK("https://klasma.github.io/Logging_1380/tillsyn/A 33757-2023 tillsynsbegäran.docx", "A 33757-2023")</f>
        <v/>
      </c>
      <c r="Y81">
        <f>HYPERLINK("https://klasma.github.io/Logging_1380/tillsynsmail/A 33757-2023 tillsynsbegäran mail.docx", "A 33757-2023")</f>
        <v/>
      </c>
    </row>
    <row r="82" ht="15" customHeight="1">
      <c r="A82" t="inlineStr">
        <is>
          <t>A 34831-2023</t>
        </is>
      </c>
      <c r="B82" s="1" t="n">
        <v>45141</v>
      </c>
      <c r="C82" s="1" t="n">
        <v>45627</v>
      </c>
      <c r="D82" t="inlineStr">
        <is>
          <t>HALLANDS LÄN</t>
        </is>
      </c>
      <c r="E82" t="inlineStr">
        <is>
          <t>VARBERG</t>
        </is>
      </c>
      <c r="G82" t="n">
        <v>1.1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Kambräken</t>
        </is>
      </c>
      <c r="S82">
        <f>HYPERLINK("https://klasma.github.io/Logging_1383/artfynd/A 34831-2023 artfynd.xlsx", "A 34831-2023")</f>
        <v/>
      </c>
      <c r="T82">
        <f>HYPERLINK("https://klasma.github.io/Logging_1383/kartor/A 34831-2023 karta.png", "A 34831-2023")</f>
        <v/>
      </c>
      <c r="V82">
        <f>HYPERLINK("https://klasma.github.io/Logging_1383/klagomål/A 34831-2023 FSC-klagomål.docx", "A 34831-2023")</f>
        <v/>
      </c>
      <c r="W82">
        <f>HYPERLINK("https://klasma.github.io/Logging_1383/klagomålsmail/A 34831-2023 FSC-klagomål mail.docx", "A 34831-2023")</f>
        <v/>
      </c>
      <c r="X82">
        <f>HYPERLINK("https://klasma.github.io/Logging_1383/tillsyn/A 34831-2023 tillsynsbegäran.docx", "A 34831-2023")</f>
        <v/>
      </c>
      <c r="Y82">
        <f>HYPERLINK("https://klasma.github.io/Logging_1383/tillsynsmail/A 34831-2023 tillsynsbegäran mail.docx", "A 34831-2023")</f>
        <v/>
      </c>
    </row>
    <row r="83" ht="15" customHeight="1">
      <c r="A83" t="inlineStr">
        <is>
          <t>A 34833-2023</t>
        </is>
      </c>
      <c r="B83" s="1" t="n">
        <v>45141</v>
      </c>
      <c r="C83" s="1" t="n">
        <v>45627</v>
      </c>
      <c r="D83" t="inlineStr">
        <is>
          <t>HALLANDS LÄN</t>
        </is>
      </c>
      <c r="E83" t="inlineStr">
        <is>
          <t>VARBERG</t>
        </is>
      </c>
      <c r="G83" t="n">
        <v>0.9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Tibast</t>
        </is>
      </c>
      <c r="S83">
        <f>HYPERLINK("https://klasma.github.io/Logging_1383/artfynd/A 34833-2023 artfynd.xlsx", "A 34833-2023")</f>
        <v/>
      </c>
      <c r="T83">
        <f>HYPERLINK("https://klasma.github.io/Logging_1383/kartor/A 34833-2023 karta.png", "A 34833-2023")</f>
        <v/>
      </c>
      <c r="V83">
        <f>HYPERLINK("https://klasma.github.io/Logging_1383/klagomål/A 34833-2023 FSC-klagomål.docx", "A 34833-2023")</f>
        <v/>
      </c>
      <c r="W83">
        <f>HYPERLINK("https://klasma.github.io/Logging_1383/klagomålsmail/A 34833-2023 FSC-klagomål mail.docx", "A 34833-2023")</f>
        <v/>
      </c>
      <c r="X83">
        <f>HYPERLINK("https://klasma.github.io/Logging_1383/tillsyn/A 34833-2023 tillsynsbegäran.docx", "A 34833-2023")</f>
        <v/>
      </c>
      <c r="Y83">
        <f>HYPERLINK("https://klasma.github.io/Logging_1383/tillsynsmail/A 34833-2023 tillsynsbegäran mail.docx", "A 34833-2023")</f>
        <v/>
      </c>
    </row>
    <row r="84" ht="15" customHeight="1">
      <c r="A84" t="inlineStr">
        <is>
          <t>A 35453-2023</t>
        </is>
      </c>
      <c r="B84" s="1" t="n">
        <v>45146</v>
      </c>
      <c r="C84" s="1" t="n">
        <v>45627</v>
      </c>
      <c r="D84" t="inlineStr">
        <is>
          <t>HALLANDS LÄN</t>
        </is>
      </c>
      <c r="E84" t="inlineStr">
        <is>
          <t>LAHOLM</t>
        </is>
      </c>
      <c r="G84" t="n">
        <v>1.8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Svinrot</t>
        </is>
      </c>
      <c r="S84">
        <f>HYPERLINK("https://klasma.github.io/Logging_1381/artfynd/A 35453-2023 artfynd.xlsx", "A 35453-2023")</f>
        <v/>
      </c>
      <c r="T84">
        <f>HYPERLINK("https://klasma.github.io/Logging_1381/kartor/A 35453-2023 karta.png", "A 35453-2023")</f>
        <v/>
      </c>
      <c r="V84">
        <f>HYPERLINK("https://klasma.github.io/Logging_1381/klagomål/A 35453-2023 FSC-klagomål.docx", "A 35453-2023")</f>
        <v/>
      </c>
      <c r="W84">
        <f>HYPERLINK("https://klasma.github.io/Logging_1381/klagomålsmail/A 35453-2023 FSC-klagomål mail.docx", "A 35453-2023")</f>
        <v/>
      </c>
      <c r="X84">
        <f>HYPERLINK("https://klasma.github.io/Logging_1381/tillsyn/A 35453-2023 tillsynsbegäran.docx", "A 35453-2023")</f>
        <v/>
      </c>
      <c r="Y84">
        <f>HYPERLINK("https://klasma.github.io/Logging_1381/tillsynsmail/A 35453-2023 tillsynsbegäran mail.docx", "A 35453-2023")</f>
        <v/>
      </c>
    </row>
    <row r="85" ht="15" customHeight="1">
      <c r="A85" t="inlineStr">
        <is>
          <t>A 37556-2023</t>
        </is>
      </c>
      <c r="B85" s="1" t="n">
        <v>45159</v>
      </c>
      <c r="C85" s="1" t="n">
        <v>45627</v>
      </c>
      <c r="D85" t="inlineStr">
        <is>
          <t>HALLANDS LÄN</t>
        </is>
      </c>
      <c r="E85" t="inlineStr">
        <is>
          <t>LAHOLM</t>
        </is>
      </c>
      <c r="G85" t="n">
        <v>0.9</v>
      </c>
      <c r="H85" t="n">
        <v>0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Vildris</t>
        </is>
      </c>
      <c r="S85">
        <f>HYPERLINK("https://klasma.github.io/Logging_1381/artfynd/A 37556-2023 artfynd.xlsx", "A 37556-2023")</f>
        <v/>
      </c>
      <c r="T85">
        <f>HYPERLINK("https://klasma.github.io/Logging_1381/kartor/A 37556-2023 karta.png", "A 37556-2023")</f>
        <v/>
      </c>
      <c r="V85">
        <f>HYPERLINK("https://klasma.github.io/Logging_1381/klagomål/A 37556-2023 FSC-klagomål.docx", "A 37556-2023")</f>
        <v/>
      </c>
      <c r="W85">
        <f>HYPERLINK("https://klasma.github.io/Logging_1381/klagomålsmail/A 37556-2023 FSC-klagomål mail.docx", "A 37556-2023")</f>
        <v/>
      </c>
      <c r="X85">
        <f>HYPERLINK("https://klasma.github.io/Logging_1381/tillsyn/A 37556-2023 tillsynsbegäran.docx", "A 37556-2023")</f>
        <v/>
      </c>
      <c r="Y85">
        <f>HYPERLINK("https://klasma.github.io/Logging_1381/tillsynsmail/A 37556-2023 tillsynsbegäran mail.docx", "A 37556-2023")</f>
        <v/>
      </c>
    </row>
    <row r="86" ht="15" customHeight="1">
      <c r="A86" t="inlineStr">
        <is>
          <t>A 40523-2023</t>
        </is>
      </c>
      <c r="B86" s="1" t="n">
        <v>45168</v>
      </c>
      <c r="C86" s="1" t="n">
        <v>45627</v>
      </c>
      <c r="D86" t="inlineStr">
        <is>
          <t>HALLANDS LÄN</t>
        </is>
      </c>
      <c r="E86" t="inlineStr">
        <is>
          <t>HALMSTAD</t>
        </is>
      </c>
      <c r="F86" t="inlineStr">
        <is>
          <t>Kommuner</t>
        </is>
      </c>
      <c r="G86" t="n">
        <v>0.9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Spillkråka</t>
        </is>
      </c>
      <c r="S86">
        <f>HYPERLINK("https://klasma.github.io/Logging_1380/artfynd/A 40523-2023 artfynd.xlsx", "A 40523-2023")</f>
        <v/>
      </c>
      <c r="T86">
        <f>HYPERLINK("https://klasma.github.io/Logging_1380/kartor/A 40523-2023 karta.png", "A 40523-2023")</f>
        <v/>
      </c>
      <c r="V86">
        <f>HYPERLINK("https://klasma.github.io/Logging_1380/klagomål/A 40523-2023 FSC-klagomål.docx", "A 40523-2023")</f>
        <v/>
      </c>
      <c r="W86">
        <f>HYPERLINK("https://klasma.github.io/Logging_1380/klagomålsmail/A 40523-2023 FSC-klagomål mail.docx", "A 40523-2023")</f>
        <v/>
      </c>
      <c r="X86">
        <f>HYPERLINK("https://klasma.github.io/Logging_1380/tillsyn/A 40523-2023 tillsynsbegäran.docx", "A 40523-2023")</f>
        <v/>
      </c>
      <c r="Y86">
        <f>HYPERLINK("https://klasma.github.io/Logging_1380/tillsynsmail/A 40523-2023 tillsynsbegäran mail.docx", "A 40523-2023")</f>
        <v/>
      </c>
      <c r="Z86">
        <f>HYPERLINK("https://klasma.github.io/Logging_1380/fåglar/A 40523-2023 prioriterade fågelarter.docx", "A 40523-2023")</f>
        <v/>
      </c>
    </row>
    <row r="87" ht="15" customHeight="1">
      <c r="A87" t="inlineStr">
        <is>
          <t>A 40650-2023</t>
        </is>
      </c>
      <c r="B87" s="1" t="n">
        <v>45168</v>
      </c>
      <c r="C87" s="1" t="n">
        <v>45627</v>
      </c>
      <c r="D87" t="inlineStr">
        <is>
          <t>HALLANDS LÄN</t>
        </is>
      </c>
      <c r="E87" t="inlineStr">
        <is>
          <t>HALMSTAD</t>
        </is>
      </c>
      <c r="F87" t="inlineStr">
        <is>
          <t>Kommuner</t>
        </is>
      </c>
      <c r="G87" t="n">
        <v>14.7</v>
      </c>
      <c r="H87" t="n">
        <v>0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Slåttergubbe</t>
        </is>
      </c>
      <c r="S87">
        <f>HYPERLINK("https://klasma.github.io/Logging_1380/artfynd/A 40650-2023 artfynd.xlsx", "A 40650-2023")</f>
        <v/>
      </c>
      <c r="T87">
        <f>HYPERLINK("https://klasma.github.io/Logging_1380/kartor/A 40650-2023 karta.png", "A 40650-2023")</f>
        <v/>
      </c>
      <c r="V87">
        <f>HYPERLINK("https://klasma.github.io/Logging_1380/klagomål/A 40650-2023 FSC-klagomål.docx", "A 40650-2023")</f>
        <v/>
      </c>
      <c r="W87">
        <f>HYPERLINK("https://klasma.github.io/Logging_1380/klagomålsmail/A 40650-2023 FSC-klagomål mail.docx", "A 40650-2023")</f>
        <v/>
      </c>
      <c r="X87">
        <f>HYPERLINK("https://klasma.github.io/Logging_1380/tillsyn/A 40650-2023 tillsynsbegäran.docx", "A 40650-2023")</f>
        <v/>
      </c>
      <c r="Y87">
        <f>HYPERLINK("https://klasma.github.io/Logging_1380/tillsynsmail/A 40650-2023 tillsynsbegäran mail.docx", "A 40650-2023")</f>
        <v/>
      </c>
    </row>
    <row r="88" ht="15" customHeight="1">
      <c r="A88" t="inlineStr">
        <is>
          <t>A 40531-2023</t>
        </is>
      </c>
      <c r="B88" s="1" t="n">
        <v>45168</v>
      </c>
      <c r="C88" s="1" t="n">
        <v>45627</v>
      </c>
      <c r="D88" t="inlineStr">
        <is>
          <t>HALLANDS LÄN</t>
        </is>
      </c>
      <c r="E88" t="inlineStr">
        <is>
          <t>HALMSTAD</t>
        </is>
      </c>
      <c r="F88" t="inlineStr">
        <is>
          <t>Kommuner</t>
        </is>
      </c>
      <c r="G88" t="n">
        <v>4.2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Spillkråka</t>
        </is>
      </c>
      <c r="S88">
        <f>HYPERLINK("https://klasma.github.io/Logging_1380/artfynd/A 40531-2023 artfynd.xlsx", "A 40531-2023")</f>
        <v/>
      </c>
      <c r="T88">
        <f>HYPERLINK("https://klasma.github.io/Logging_1380/kartor/A 40531-2023 karta.png", "A 40531-2023")</f>
        <v/>
      </c>
      <c r="V88">
        <f>HYPERLINK("https://klasma.github.io/Logging_1380/klagomål/A 40531-2023 FSC-klagomål.docx", "A 40531-2023")</f>
        <v/>
      </c>
      <c r="W88">
        <f>HYPERLINK("https://klasma.github.io/Logging_1380/klagomålsmail/A 40531-2023 FSC-klagomål mail.docx", "A 40531-2023")</f>
        <v/>
      </c>
      <c r="X88">
        <f>HYPERLINK("https://klasma.github.io/Logging_1380/tillsyn/A 40531-2023 tillsynsbegäran.docx", "A 40531-2023")</f>
        <v/>
      </c>
      <c r="Y88">
        <f>HYPERLINK("https://klasma.github.io/Logging_1380/tillsynsmail/A 40531-2023 tillsynsbegäran mail.docx", "A 40531-2023")</f>
        <v/>
      </c>
      <c r="Z88">
        <f>HYPERLINK("https://klasma.github.io/Logging_1380/fåglar/A 40531-2023 prioriterade fågelarter.docx", "A 40531-2023")</f>
        <v/>
      </c>
    </row>
    <row r="89" ht="15" customHeight="1">
      <c r="A89" t="inlineStr">
        <is>
          <t>A 42311-2023</t>
        </is>
      </c>
      <c r="B89" s="1" t="n">
        <v>45175</v>
      </c>
      <c r="C89" s="1" t="n">
        <v>45627</v>
      </c>
      <c r="D89" t="inlineStr">
        <is>
          <t>HALLANDS LÄN</t>
        </is>
      </c>
      <c r="E89" t="inlineStr">
        <is>
          <t>HALMSTAD</t>
        </is>
      </c>
      <c r="G89" t="n">
        <v>3.5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Kambräken</t>
        </is>
      </c>
      <c r="S89">
        <f>HYPERLINK("https://klasma.github.io/Logging_1380/artfynd/A 42311-2023 artfynd.xlsx", "A 42311-2023")</f>
        <v/>
      </c>
      <c r="T89">
        <f>HYPERLINK("https://klasma.github.io/Logging_1380/kartor/A 42311-2023 karta.png", "A 42311-2023")</f>
        <v/>
      </c>
      <c r="V89">
        <f>HYPERLINK("https://klasma.github.io/Logging_1380/klagomål/A 42311-2023 FSC-klagomål.docx", "A 42311-2023")</f>
        <v/>
      </c>
      <c r="W89">
        <f>HYPERLINK("https://klasma.github.io/Logging_1380/klagomålsmail/A 42311-2023 FSC-klagomål mail.docx", "A 42311-2023")</f>
        <v/>
      </c>
      <c r="X89">
        <f>HYPERLINK("https://klasma.github.io/Logging_1380/tillsyn/A 42311-2023 tillsynsbegäran.docx", "A 42311-2023")</f>
        <v/>
      </c>
      <c r="Y89">
        <f>HYPERLINK("https://klasma.github.io/Logging_1380/tillsynsmail/A 42311-2023 tillsynsbegäran mail.docx", "A 42311-2023")</f>
        <v/>
      </c>
    </row>
    <row r="90" ht="15" customHeight="1">
      <c r="A90" t="inlineStr">
        <is>
          <t>A 46459-2023</t>
        </is>
      </c>
      <c r="B90" s="1" t="n">
        <v>45197</v>
      </c>
      <c r="C90" s="1" t="n">
        <v>45627</v>
      </c>
      <c r="D90" t="inlineStr">
        <is>
          <t>HALLANDS LÄN</t>
        </is>
      </c>
      <c r="E90" t="inlineStr">
        <is>
          <t>KUNGSBACKA</t>
        </is>
      </c>
      <c r="F90" t="inlineStr">
        <is>
          <t>Övriga Aktiebolag</t>
        </is>
      </c>
      <c r="G90" t="n">
        <v>5.4</v>
      </c>
      <c r="H90" t="n">
        <v>1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Drillsnäppa</t>
        </is>
      </c>
      <c r="S90">
        <f>HYPERLINK("https://klasma.github.io/Logging_1384/artfynd/A 46459-2023 artfynd.xlsx", "A 46459-2023")</f>
        <v/>
      </c>
      <c r="T90">
        <f>HYPERLINK("https://klasma.github.io/Logging_1384/kartor/A 46459-2023 karta.png", "A 46459-2023")</f>
        <v/>
      </c>
      <c r="V90">
        <f>HYPERLINK("https://klasma.github.io/Logging_1384/klagomål/A 46459-2023 FSC-klagomål.docx", "A 46459-2023")</f>
        <v/>
      </c>
      <c r="W90">
        <f>HYPERLINK("https://klasma.github.io/Logging_1384/klagomålsmail/A 46459-2023 FSC-klagomål mail.docx", "A 46459-2023")</f>
        <v/>
      </c>
      <c r="X90">
        <f>HYPERLINK("https://klasma.github.io/Logging_1384/tillsyn/A 46459-2023 tillsynsbegäran.docx", "A 46459-2023")</f>
        <v/>
      </c>
      <c r="Y90">
        <f>HYPERLINK("https://klasma.github.io/Logging_1384/tillsynsmail/A 46459-2023 tillsynsbegäran mail.docx", "A 46459-2023")</f>
        <v/>
      </c>
    </row>
    <row r="91" ht="15" customHeight="1">
      <c r="A91" t="inlineStr">
        <is>
          <t>A 47773-2023</t>
        </is>
      </c>
      <c r="B91" s="1" t="n">
        <v>45203</v>
      </c>
      <c r="C91" s="1" t="n">
        <v>45627</v>
      </c>
      <c r="D91" t="inlineStr">
        <is>
          <t>HALLANDS LÄN</t>
        </is>
      </c>
      <c r="E91" t="inlineStr">
        <is>
          <t>HALMSTAD</t>
        </is>
      </c>
      <c r="G91" t="n">
        <v>1.1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Tibast</t>
        </is>
      </c>
      <c r="S91">
        <f>HYPERLINK("https://klasma.github.io/Logging_1380/artfynd/A 47773-2023 artfynd.xlsx", "A 47773-2023")</f>
        <v/>
      </c>
      <c r="T91">
        <f>HYPERLINK("https://klasma.github.io/Logging_1380/kartor/A 47773-2023 karta.png", "A 47773-2023")</f>
        <v/>
      </c>
      <c r="V91">
        <f>HYPERLINK("https://klasma.github.io/Logging_1380/klagomål/A 47773-2023 FSC-klagomål.docx", "A 47773-2023")</f>
        <v/>
      </c>
      <c r="W91">
        <f>HYPERLINK("https://klasma.github.io/Logging_1380/klagomålsmail/A 47773-2023 FSC-klagomål mail.docx", "A 47773-2023")</f>
        <v/>
      </c>
      <c r="X91">
        <f>HYPERLINK("https://klasma.github.io/Logging_1380/tillsyn/A 47773-2023 tillsynsbegäran.docx", "A 47773-2023")</f>
        <v/>
      </c>
      <c r="Y91">
        <f>HYPERLINK("https://klasma.github.io/Logging_1380/tillsynsmail/A 47773-2023 tillsynsbegäran mail.docx", "A 47773-2023")</f>
        <v/>
      </c>
    </row>
    <row r="92" ht="15" customHeight="1">
      <c r="A92" t="inlineStr">
        <is>
          <t>A 48281-2023</t>
        </is>
      </c>
      <c r="B92" s="1" t="n">
        <v>45205</v>
      </c>
      <c r="C92" s="1" t="n">
        <v>45627</v>
      </c>
      <c r="D92" t="inlineStr">
        <is>
          <t>HALLANDS LÄN</t>
        </is>
      </c>
      <c r="E92" t="inlineStr">
        <is>
          <t>LAHOLM</t>
        </is>
      </c>
      <c r="G92" t="n">
        <v>3.1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Hårginst</t>
        </is>
      </c>
      <c r="S92">
        <f>HYPERLINK("https://klasma.github.io/Logging_1381/artfynd/A 48281-2023 artfynd.xlsx", "A 48281-2023")</f>
        <v/>
      </c>
      <c r="T92">
        <f>HYPERLINK("https://klasma.github.io/Logging_1381/kartor/A 48281-2023 karta.png", "A 48281-2023")</f>
        <v/>
      </c>
      <c r="V92">
        <f>HYPERLINK("https://klasma.github.io/Logging_1381/klagomål/A 48281-2023 FSC-klagomål.docx", "A 48281-2023")</f>
        <v/>
      </c>
      <c r="W92">
        <f>HYPERLINK("https://klasma.github.io/Logging_1381/klagomålsmail/A 48281-2023 FSC-klagomål mail.docx", "A 48281-2023")</f>
        <v/>
      </c>
      <c r="X92">
        <f>HYPERLINK("https://klasma.github.io/Logging_1381/tillsyn/A 48281-2023 tillsynsbegäran.docx", "A 48281-2023")</f>
        <v/>
      </c>
      <c r="Y92">
        <f>HYPERLINK("https://klasma.github.io/Logging_1381/tillsynsmail/A 48281-2023 tillsynsbegäran mail.docx", "A 48281-2023")</f>
        <v/>
      </c>
    </row>
    <row r="93" ht="15" customHeight="1">
      <c r="A93" t="inlineStr">
        <is>
          <t>A 55580-2023</t>
        </is>
      </c>
      <c r="B93" s="1" t="n">
        <v>45238</v>
      </c>
      <c r="C93" s="1" t="n">
        <v>45627</v>
      </c>
      <c r="D93" t="inlineStr">
        <is>
          <t>HALLANDS LÄN</t>
        </is>
      </c>
      <c r="E93" t="inlineStr">
        <is>
          <t>HALMSTAD</t>
        </is>
      </c>
      <c r="G93" t="n">
        <v>1.6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Hårginst</t>
        </is>
      </c>
      <c r="S93">
        <f>HYPERLINK("https://klasma.github.io/Logging_1380/artfynd/A 55580-2023 artfynd.xlsx", "A 55580-2023")</f>
        <v/>
      </c>
      <c r="T93">
        <f>HYPERLINK("https://klasma.github.io/Logging_1380/kartor/A 55580-2023 karta.png", "A 55580-2023")</f>
        <v/>
      </c>
      <c r="V93">
        <f>HYPERLINK("https://klasma.github.io/Logging_1380/klagomål/A 55580-2023 FSC-klagomål.docx", "A 55580-2023")</f>
        <v/>
      </c>
      <c r="W93">
        <f>HYPERLINK("https://klasma.github.io/Logging_1380/klagomålsmail/A 55580-2023 FSC-klagomål mail.docx", "A 55580-2023")</f>
        <v/>
      </c>
      <c r="X93">
        <f>HYPERLINK("https://klasma.github.io/Logging_1380/tillsyn/A 55580-2023 tillsynsbegäran.docx", "A 55580-2023")</f>
        <v/>
      </c>
      <c r="Y93">
        <f>HYPERLINK("https://klasma.github.io/Logging_1380/tillsynsmail/A 55580-2023 tillsynsbegäran mail.docx", "A 55580-2023")</f>
        <v/>
      </c>
    </row>
    <row r="94" ht="15" customHeight="1">
      <c r="A94" t="inlineStr">
        <is>
          <t>A 55880-2023</t>
        </is>
      </c>
      <c r="B94" s="1" t="n">
        <v>45239</v>
      </c>
      <c r="C94" s="1" t="n">
        <v>45627</v>
      </c>
      <c r="D94" t="inlineStr">
        <is>
          <t>HALLANDS LÄN</t>
        </is>
      </c>
      <c r="E94" t="inlineStr">
        <is>
          <t>FALKENBERG</t>
        </is>
      </c>
      <c r="G94" t="n">
        <v>2.4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Kopparödla</t>
        </is>
      </c>
      <c r="S94">
        <f>HYPERLINK("https://klasma.github.io/Logging_1382/artfynd/A 55880-2023 artfynd.xlsx", "A 55880-2023")</f>
        <v/>
      </c>
      <c r="T94">
        <f>HYPERLINK("https://klasma.github.io/Logging_1382/kartor/A 55880-2023 karta.png", "A 55880-2023")</f>
        <v/>
      </c>
      <c r="V94">
        <f>HYPERLINK("https://klasma.github.io/Logging_1382/klagomål/A 55880-2023 FSC-klagomål.docx", "A 55880-2023")</f>
        <v/>
      </c>
      <c r="W94">
        <f>HYPERLINK("https://klasma.github.io/Logging_1382/klagomålsmail/A 55880-2023 FSC-klagomål mail.docx", "A 55880-2023")</f>
        <v/>
      </c>
      <c r="X94">
        <f>HYPERLINK("https://klasma.github.io/Logging_1382/tillsyn/A 55880-2023 tillsynsbegäran.docx", "A 55880-2023")</f>
        <v/>
      </c>
      <c r="Y94">
        <f>HYPERLINK("https://klasma.github.io/Logging_1382/tillsynsmail/A 55880-2023 tillsynsbegäran mail.docx", "A 55880-2023")</f>
        <v/>
      </c>
    </row>
    <row r="95" ht="15" customHeight="1">
      <c r="A95" t="inlineStr">
        <is>
          <t>A 57230-2023</t>
        </is>
      </c>
      <c r="B95" s="1" t="n">
        <v>45245</v>
      </c>
      <c r="C95" s="1" t="n">
        <v>45627</v>
      </c>
      <c r="D95" t="inlineStr">
        <is>
          <t>HALLANDS LÄN</t>
        </is>
      </c>
      <c r="E95" t="inlineStr">
        <is>
          <t>HYLTE</t>
        </is>
      </c>
      <c r="G95" t="n">
        <v>0.5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Västlig hakmossa</t>
        </is>
      </c>
      <c r="S95">
        <f>HYPERLINK("https://klasma.github.io/Logging_1315/artfynd/A 57230-2023 artfynd.xlsx", "A 57230-2023")</f>
        <v/>
      </c>
      <c r="T95">
        <f>HYPERLINK("https://klasma.github.io/Logging_1315/kartor/A 57230-2023 karta.png", "A 57230-2023")</f>
        <v/>
      </c>
      <c r="V95">
        <f>HYPERLINK("https://klasma.github.io/Logging_1315/klagomål/A 57230-2023 FSC-klagomål.docx", "A 57230-2023")</f>
        <v/>
      </c>
      <c r="W95">
        <f>HYPERLINK("https://klasma.github.io/Logging_1315/klagomålsmail/A 57230-2023 FSC-klagomål mail.docx", "A 57230-2023")</f>
        <v/>
      </c>
      <c r="X95">
        <f>HYPERLINK("https://klasma.github.io/Logging_1315/tillsyn/A 57230-2023 tillsynsbegäran.docx", "A 57230-2023")</f>
        <v/>
      </c>
      <c r="Y95">
        <f>HYPERLINK("https://klasma.github.io/Logging_1315/tillsynsmail/A 57230-2023 tillsynsbegäran mail.docx", "A 57230-2023")</f>
        <v/>
      </c>
    </row>
    <row r="96" ht="15" customHeight="1">
      <c r="A96" t="inlineStr">
        <is>
          <t>A 58664-2023</t>
        </is>
      </c>
      <c r="B96" s="1" t="n">
        <v>45251</v>
      </c>
      <c r="C96" s="1" t="n">
        <v>45627</v>
      </c>
      <c r="D96" t="inlineStr">
        <is>
          <t>HALLANDS LÄN</t>
        </is>
      </c>
      <c r="E96" t="inlineStr">
        <is>
          <t>FALKENBERG</t>
        </is>
      </c>
      <c r="G96" t="n">
        <v>1.9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Revlummer</t>
        </is>
      </c>
      <c r="S96">
        <f>HYPERLINK("https://klasma.github.io/Logging_1382/artfynd/A 58664-2023 artfynd.xlsx", "A 58664-2023")</f>
        <v/>
      </c>
      <c r="T96">
        <f>HYPERLINK("https://klasma.github.io/Logging_1382/kartor/A 58664-2023 karta.png", "A 58664-2023")</f>
        <v/>
      </c>
      <c r="V96">
        <f>HYPERLINK("https://klasma.github.io/Logging_1382/klagomål/A 58664-2023 FSC-klagomål.docx", "A 58664-2023")</f>
        <v/>
      </c>
      <c r="W96">
        <f>HYPERLINK("https://klasma.github.io/Logging_1382/klagomålsmail/A 58664-2023 FSC-klagomål mail.docx", "A 58664-2023")</f>
        <v/>
      </c>
      <c r="X96">
        <f>HYPERLINK("https://klasma.github.io/Logging_1382/tillsyn/A 58664-2023 tillsynsbegäran.docx", "A 58664-2023")</f>
        <v/>
      </c>
      <c r="Y96">
        <f>HYPERLINK("https://klasma.github.io/Logging_1382/tillsynsmail/A 58664-2023 tillsynsbegäran mail.docx", "A 58664-2023")</f>
        <v/>
      </c>
    </row>
    <row r="97" ht="15" customHeight="1">
      <c r="A97" t="inlineStr">
        <is>
          <t>A 60387-2023</t>
        </is>
      </c>
      <c r="B97" s="1" t="n">
        <v>45259</v>
      </c>
      <c r="C97" s="1" t="n">
        <v>45627</v>
      </c>
      <c r="D97" t="inlineStr">
        <is>
          <t>HALLANDS LÄN</t>
        </is>
      </c>
      <c r="E97" t="inlineStr">
        <is>
          <t>HALMSTAD</t>
        </is>
      </c>
      <c r="G97" t="n">
        <v>3.9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Tjäder</t>
        </is>
      </c>
      <c r="S97">
        <f>HYPERLINK("https://klasma.github.io/Logging_1380/artfynd/A 60387-2023 artfynd.xlsx", "A 60387-2023")</f>
        <v/>
      </c>
      <c r="T97">
        <f>HYPERLINK("https://klasma.github.io/Logging_1380/kartor/A 60387-2023 karta.png", "A 60387-2023")</f>
        <v/>
      </c>
      <c r="V97">
        <f>HYPERLINK("https://klasma.github.io/Logging_1380/klagomål/A 60387-2023 FSC-klagomål.docx", "A 60387-2023")</f>
        <v/>
      </c>
      <c r="W97">
        <f>HYPERLINK("https://klasma.github.io/Logging_1380/klagomålsmail/A 60387-2023 FSC-klagomål mail.docx", "A 60387-2023")</f>
        <v/>
      </c>
      <c r="X97">
        <f>HYPERLINK("https://klasma.github.io/Logging_1380/tillsyn/A 60387-2023 tillsynsbegäran.docx", "A 60387-2023")</f>
        <v/>
      </c>
      <c r="Y97">
        <f>HYPERLINK("https://klasma.github.io/Logging_1380/tillsynsmail/A 60387-2023 tillsynsbegäran mail.docx", "A 60387-2023")</f>
        <v/>
      </c>
      <c r="Z97">
        <f>HYPERLINK("https://klasma.github.io/Logging_1380/fåglar/A 60387-2023 prioriterade fågelarter.docx", "A 60387-2023")</f>
        <v/>
      </c>
    </row>
    <row r="98" ht="15" customHeight="1">
      <c r="A98" t="inlineStr">
        <is>
          <t>A 61519-2023</t>
        </is>
      </c>
      <c r="B98" s="1" t="n">
        <v>45265</v>
      </c>
      <c r="C98" s="1" t="n">
        <v>45627</v>
      </c>
      <c r="D98" t="inlineStr">
        <is>
          <t>HALLANDS LÄN</t>
        </is>
      </c>
      <c r="E98" t="inlineStr">
        <is>
          <t>LAHOLM</t>
        </is>
      </c>
      <c r="F98" t="inlineStr">
        <is>
          <t>Sveaskog</t>
        </is>
      </c>
      <c r="G98" t="n">
        <v>15.9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Spillkråka</t>
        </is>
      </c>
      <c r="S98">
        <f>HYPERLINK("https://klasma.github.io/Logging_1381/artfynd/A 61519-2023 artfynd.xlsx", "A 61519-2023")</f>
        <v/>
      </c>
      <c r="T98">
        <f>HYPERLINK("https://klasma.github.io/Logging_1381/kartor/A 61519-2023 karta.png", "A 61519-2023")</f>
        <v/>
      </c>
      <c r="V98">
        <f>HYPERLINK("https://klasma.github.io/Logging_1381/klagomål/A 61519-2023 FSC-klagomål.docx", "A 61519-2023")</f>
        <v/>
      </c>
      <c r="W98">
        <f>HYPERLINK("https://klasma.github.io/Logging_1381/klagomålsmail/A 61519-2023 FSC-klagomål mail.docx", "A 61519-2023")</f>
        <v/>
      </c>
      <c r="X98">
        <f>HYPERLINK("https://klasma.github.io/Logging_1381/tillsyn/A 61519-2023 tillsynsbegäran.docx", "A 61519-2023")</f>
        <v/>
      </c>
      <c r="Y98">
        <f>HYPERLINK("https://klasma.github.io/Logging_1381/tillsynsmail/A 61519-2023 tillsynsbegäran mail.docx", "A 61519-2023")</f>
        <v/>
      </c>
      <c r="Z98">
        <f>HYPERLINK("https://klasma.github.io/Logging_1381/fåglar/A 61519-2023 prioriterade fågelarter.docx", "A 61519-2023")</f>
        <v/>
      </c>
    </row>
    <row r="99" ht="15" customHeight="1">
      <c r="A99" t="inlineStr">
        <is>
          <t>A 63247-2023</t>
        </is>
      </c>
      <c r="B99" s="1" t="n">
        <v>45273</v>
      </c>
      <c r="C99" s="1" t="n">
        <v>45627</v>
      </c>
      <c r="D99" t="inlineStr">
        <is>
          <t>HALLANDS LÄN</t>
        </is>
      </c>
      <c r="E99" t="inlineStr">
        <is>
          <t>FALKENBERG</t>
        </is>
      </c>
      <c r="G99" t="n">
        <v>6.8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Myskbock</t>
        </is>
      </c>
      <c r="S99">
        <f>HYPERLINK("https://klasma.github.io/Logging_1382/artfynd/A 63247-2023 artfynd.xlsx", "A 63247-2023")</f>
        <v/>
      </c>
      <c r="T99">
        <f>HYPERLINK("https://klasma.github.io/Logging_1382/kartor/A 63247-2023 karta.png", "A 63247-2023")</f>
        <v/>
      </c>
      <c r="V99">
        <f>HYPERLINK("https://klasma.github.io/Logging_1382/klagomål/A 63247-2023 FSC-klagomål.docx", "A 63247-2023")</f>
        <v/>
      </c>
      <c r="W99">
        <f>HYPERLINK("https://klasma.github.io/Logging_1382/klagomålsmail/A 63247-2023 FSC-klagomål mail.docx", "A 63247-2023")</f>
        <v/>
      </c>
      <c r="X99">
        <f>HYPERLINK("https://klasma.github.io/Logging_1382/tillsyn/A 63247-2023 tillsynsbegäran.docx", "A 63247-2023")</f>
        <v/>
      </c>
      <c r="Y99">
        <f>HYPERLINK("https://klasma.github.io/Logging_1382/tillsynsmail/A 63247-2023 tillsynsbegäran mail.docx", "A 63247-2023")</f>
        <v/>
      </c>
    </row>
    <row r="100" ht="15" customHeight="1">
      <c r="A100" t="inlineStr">
        <is>
          <t>A 2988-2024</t>
        </is>
      </c>
      <c r="B100" s="1" t="n">
        <v>45315</v>
      </c>
      <c r="C100" s="1" t="n">
        <v>45627</v>
      </c>
      <c r="D100" t="inlineStr">
        <is>
          <t>HALLANDS LÄN</t>
        </is>
      </c>
      <c r="E100" t="inlineStr">
        <is>
          <t>KUNGSBACKA</t>
        </is>
      </c>
      <c r="G100" t="n">
        <v>9.1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Kambräken</t>
        </is>
      </c>
      <c r="S100">
        <f>HYPERLINK("https://klasma.github.io/Logging_1384/artfynd/A 2988-2024 artfynd.xlsx", "A 2988-2024")</f>
        <v/>
      </c>
      <c r="T100">
        <f>HYPERLINK("https://klasma.github.io/Logging_1384/kartor/A 2988-2024 karta.png", "A 2988-2024")</f>
        <v/>
      </c>
      <c r="V100">
        <f>HYPERLINK("https://klasma.github.io/Logging_1384/klagomål/A 2988-2024 FSC-klagomål.docx", "A 2988-2024")</f>
        <v/>
      </c>
      <c r="W100">
        <f>HYPERLINK("https://klasma.github.io/Logging_1384/klagomålsmail/A 2988-2024 FSC-klagomål mail.docx", "A 2988-2024")</f>
        <v/>
      </c>
      <c r="X100">
        <f>HYPERLINK("https://klasma.github.io/Logging_1384/tillsyn/A 2988-2024 tillsynsbegäran.docx", "A 2988-2024")</f>
        <v/>
      </c>
      <c r="Y100">
        <f>HYPERLINK("https://klasma.github.io/Logging_1384/tillsynsmail/A 2988-2024 tillsynsbegäran mail.docx", "A 2988-2024")</f>
        <v/>
      </c>
    </row>
    <row r="101" ht="15" customHeight="1">
      <c r="A101" t="inlineStr">
        <is>
          <t>A 2994-2024</t>
        </is>
      </c>
      <c r="B101" s="1" t="n">
        <v>45315</v>
      </c>
      <c r="C101" s="1" t="n">
        <v>45627</v>
      </c>
      <c r="D101" t="inlineStr">
        <is>
          <t>HALLANDS LÄN</t>
        </is>
      </c>
      <c r="E101" t="inlineStr">
        <is>
          <t>HALMSTAD</t>
        </is>
      </c>
      <c r="G101" t="n">
        <v>7.9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Grönvit nattviol</t>
        </is>
      </c>
      <c r="S101">
        <f>HYPERLINK("https://klasma.github.io/Logging_1380/artfynd/A 2994-2024 artfynd.xlsx", "A 2994-2024")</f>
        <v/>
      </c>
      <c r="T101">
        <f>HYPERLINK("https://klasma.github.io/Logging_1380/kartor/A 2994-2024 karta.png", "A 2994-2024")</f>
        <v/>
      </c>
      <c r="V101">
        <f>HYPERLINK("https://klasma.github.io/Logging_1380/klagomål/A 2994-2024 FSC-klagomål.docx", "A 2994-2024")</f>
        <v/>
      </c>
      <c r="W101">
        <f>HYPERLINK("https://klasma.github.io/Logging_1380/klagomålsmail/A 2994-2024 FSC-klagomål mail.docx", "A 2994-2024")</f>
        <v/>
      </c>
      <c r="X101">
        <f>HYPERLINK("https://klasma.github.io/Logging_1380/tillsyn/A 2994-2024 tillsynsbegäran.docx", "A 2994-2024")</f>
        <v/>
      </c>
      <c r="Y101">
        <f>HYPERLINK("https://klasma.github.io/Logging_1380/tillsynsmail/A 2994-2024 tillsynsbegäran mail.docx", "A 2994-2024")</f>
        <v/>
      </c>
    </row>
    <row r="102" ht="15" customHeight="1">
      <c r="A102" t="inlineStr">
        <is>
          <t>A 3369-2024</t>
        </is>
      </c>
      <c r="B102" s="1" t="n">
        <v>45317</v>
      </c>
      <c r="C102" s="1" t="n">
        <v>45627</v>
      </c>
      <c r="D102" t="inlineStr">
        <is>
          <t>HALLANDS LÄN</t>
        </is>
      </c>
      <c r="E102" t="inlineStr">
        <is>
          <t>VARBERG</t>
        </is>
      </c>
      <c r="G102" t="n">
        <v>4.8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Brödmärgsticka</t>
        </is>
      </c>
      <c r="S102">
        <f>HYPERLINK("https://klasma.github.io/Logging_1383/artfynd/A 3369-2024 artfynd.xlsx", "A 3369-2024")</f>
        <v/>
      </c>
      <c r="T102">
        <f>HYPERLINK("https://klasma.github.io/Logging_1383/kartor/A 3369-2024 karta.png", "A 3369-2024")</f>
        <v/>
      </c>
      <c r="V102">
        <f>HYPERLINK("https://klasma.github.io/Logging_1383/klagomål/A 3369-2024 FSC-klagomål.docx", "A 3369-2024")</f>
        <v/>
      </c>
      <c r="W102">
        <f>HYPERLINK("https://klasma.github.io/Logging_1383/klagomålsmail/A 3369-2024 FSC-klagomål mail.docx", "A 3369-2024")</f>
        <v/>
      </c>
      <c r="X102">
        <f>HYPERLINK("https://klasma.github.io/Logging_1383/tillsyn/A 3369-2024 tillsynsbegäran.docx", "A 3369-2024")</f>
        <v/>
      </c>
      <c r="Y102">
        <f>HYPERLINK("https://klasma.github.io/Logging_1383/tillsynsmail/A 3369-2024 tillsynsbegäran mail.docx", "A 3369-2024")</f>
        <v/>
      </c>
    </row>
    <row r="103" ht="15" customHeight="1">
      <c r="A103" t="inlineStr">
        <is>
          <t>A 7006-2024</t>
        </is>
      </c>
      <c r="B103" s="1" t="n">
        <v>45343</v>
      </c>
      <c r="C103" s="1" t="n">
        <v>45627</v>
      </c>
      <c r="D103" t="inlineStr">
        <is>
          <t>HALLANDS LÄN</t>
        </is>
      </c>
      <c r="E103" t="inlineStr">
        <is>
          <t>HYLTE</t>
        </is>
      </c>
      <c r="G103" t="n">
        <v>2.2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Fläcknycklar</t>
        </is>
      </c>
      <c r="S103">
        <f>HYPERLINK("https://klasma.github.io/Logging_1315/artfynd/A 7006-2024 artfynd.xlsx", "A 7006-2024")</f>
        <v/>
      </c>
      <c r="T103">
        <f>HYPERLINK("https://klasma.github.io/Logging_1315/kartor/A 7006-2024 karta.png", "A 7006-2024")</f>
        <v/>
      </c>
      <c r="V103">
        <f>HYPERLINK("https://klasma.github.io/Logging_1315/klagomål/A 7006-2024 FSC-klagomål.docx", "A 7006-2024")</f>
        <v/>
      </c>
      <c r="W103">
        <f>HYPERLINK("https://klasma.github.io/Logging_1315/klagomålsmail/A 7006-2024 FSC-klagomål mail.docx", "A 7006-2024")</f>
        <v/>
      </c>
      <c r="X103">
        <f>HYPERLINK("https://klasma.github.io/Logging_1315/tillsyn/A 7006-2024 tillsynsbegäran.docx", "A 7006-2024")</f>
        <v/>
      </c>
      <c r="Y103">
        <f>HYPERLINK("https://klasma.github.io/Logging_1315/tillsynsmail/A 7006-2024 tillsynsbegäran mail.docx", "A 7006-2024")</f>
        <v/>
      </c>
    </row>
    <row r="104" ht="15" customHeight="1">
      <c r="A104" t="inlineStr">
        <is>
          <t>A 8102-2024</t>
        </is>
      </c>
      <c r="B104" s="1" t="n">
        <v>45351</v>
      </c>
      <c r="C104" s="1" t="n">
        <v>45627</v>
      </c>
      <c r="D104" t="inlineStr">
        <is>
          <t>HALLANDS LÄN</t>
        </is>
      </c>
      <c r="E104" t="inlineStr">
        <is>
          <t>HALMSTAD</t>
        </is>
      </c>
      <c r="G104" t="n">
        <v>7.6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Fjällvråk</t>
        </is>
      </c>
      <c r="S104">
        <f>HYPERLINK("https://klasma.github.io/Logging_1380/artfynd/A 8102-2024 artfynd.xlsx", "A 8102-2024")</f>
        <v/>
      </c>
      <c r="T104">
        <f>HYPERLINK("https://klasma.github.io/Logging_1380/kartor/A 8102-2024 karta.png", "A 8102-2024")</f>
        <v/>
      </c>
      <c r="V104">
        <f>HYPERLINK("https://klasma.github.io/Logging_1380/klagomål/A 8102-2024 FSC-klagomål.docx", "A 8102-2024")</f>
        <v/>
      </c>
      <c r="W104">
        <f>HYPERLINK("https://klasma.github.io/Logging_1380/klagomålsmail/A 8102-2024 FSC-klagomål mail.docx", "A 8102-2024")</f>
        <v/>
      </c>
      <c r="X104">
        <f>HYPERLINK("https://klasma.github.io/Logging_1380/tillsyn/A 8102-2024 tillsynsbegäran.docx", "A 8102-2024")</f>
        <v/>
      </c>
      <c r="Y104">
        <f>HYPERLINK("https://klasma.github.io/Logging_1380/tillsynsmail/A 8102-2024 tillsynsbegäran mail.docx", "A 8102-2024")</f>
        <v/>
      </c>
      <c r="Z104">
        <f>HYPERLINK("https://klasma.github.io/Logging_1380/fåglar/A 8102-2024 prioriterade fågelarter.docx", "A 8102-2024")</f>
        <v/>
      </c>
    </row>
    <row r="105" ht="15" customHeight="1">
      <c r="A105" t="inlineStr">
        <is>
          <t>A 9999-2024</t>
        </is>
      </c>
      <c r="B105" s="1" t="n">
        <v>45363</v>
      </c>
      <c r="C105" s="1" t="n">
        <v>45627</v>
      </c>
      <c r="D105" t="inlineStr">
        <is>
          <t>HALLANDS LÄN</t>
        </is>
      </c>
      <c r="E105" t="inlineStr">
        <is>
          <t>FALKENBERG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1</v>
      </c>
      <c r="P105" t="n">
        <v>1</v>
      </c>
      <c r="Q105" t="n">
        <v>1</v>
      </c>
      <c r="R105" s="2" t="inlineStr">
        <is>
          <t>Åkerfibbla</t>
        </is>
      </c>
      <c r="S105">
        <f>HYPERLINK("https://klasma.github.io/Logging_1382/artfynd/A 9999-2024 artfynd.xlsx", "A 9999-2024")</f>
        <v/>
      </c>
      <c r="T105">
        <f>HYPERLINK("https://klasma.github.io/Logging_1382/kartor/A 9999-2024 karta.png", "A 9999-2024")</f>
        <v/>
      </c>
      <c r="V105">
        <f>HYPERLINK("https://klasma.github.io/Logging_1382/klagomål/A 9999-2024 FSC-klagomål.docx", "A 9999-2024")</f>
        <v/>
      </c>
      <c r="W105">
        <f>HYPERLINK("https://klasma.github.io/Logging_1382/klagomålsmail/A 9999-2024 FSC-klagomål mail.docx", "A 9999-2024")</f>
        <v/>
      </c>
      <c r="X105">
        <f>HYPERLINK("https://klasma.github.io/Logging_1382/tillsyn/A 9999-2024 tillsynsbegäran.docx", "A 9999-2024")</f>
        <v/>
      </c>
      <c r="Y105">
        <f>HYPERLINK("https://klasma.github.io/Logging_1382/tillsynsmail/A 9999-2024 tillsynsbegäran mail.docx", "A 9999-2024")</f>
        <v/>
      </c>
    </row>
    <row r="106" ht="15" customHeight="1">
      <c r="A106" t="inlineStr">
        <is>
          <t>A 10229-2024</t>
        </is>
      </c>
      <c r="B106" s="1" t="n">
        <v>45365</v>
      </c>
      <c r="C106" s="1" t="n">
        <v>45627</v>
      </c>
      <c r="D106" t="inlineStr">
        <is>
          <t>HALLANDS LÄN</t>
        </is>
      </c>
      <c r="E106" t="inlineStr">
        <is>
          <t>HALMSTAD</t>
        </is>
      </c>
      <c r="G106" t="n">
        <v>3.5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Trind spretmossa</t>
        </is>
      </c>
      <c r="S106">
        <f>HYPERLINK("https://klasma.github.io/Logging_1380/artfynd/A 10229-2024 artfynd.xlsx", "A 10229-2024")</f>
        <v/>
      </c>
      <c r="T106">
        <f>HYPERLINK("https://klasma.github.io/Logging_1380/kartor/A 10229-2024 karta.png", "A 10229-2024")</f>
        <v/>
      </c>
      <c r="V106">
        <f>HYPERLINK("https://klasma.github.io/Logging_1380/klagomål/A 10229-2024 FSC-klagomål.docx", "A 10229-2024")</f>
        <v/>
      </c>
      <c r="W106">
        <f>HYPERLINK("https://klasma.github.io/Logging_1380/klagomålsmail/A 10229-2024 FSC-klagomål mail.docx", "A 10229-2024")</f>
        <v/>
      </c>
      <c r="X106">
        <f>HYPERLINK("https://klasma.github.io/Logging_1380/tillsyn/A 10229-2024 tillsynsbegäran.docx", "A 10229-2024")</f>
        <v/>
      </c>
      <c r="Y106">
        <f>HYPERLINK("https://klasma.github.io/Logging_1380/tillsynsmail/A 10229-2024 tillsynsbegäran mail.docx", "A 10229-2024")</f>
        <v/>
      </c>
    </row>
    <row r="107" ht="15" customHeight="1">
      <c r="A107" t="inlineStr">
        <is>
          <t>A 21622-2024</t>
        </is>
      </c>
      <c r="B107" s="1" t="n">
        <v>45442</v>
      </c>
      <c r="C107" s="1" t="n">
        <v>45627</v>
      </c>
      <c r="D107" t="inlineStr">
        <is>
          <t>HALLANDS LÄN</t>
        </is>
      </c>
      <c r="E107" t="inlineStr">
        <is>
          <t>HALMSTAD</t>
        </is>
      </c>
      <c r="G107" t="n">
        <v>1.9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Barbastell</t>
        </is>
      </c>
      <c r="S107">
        <f>HYPERLINK("https://klasma.github.io/Logging_1380/artfynd/A 21622-2024 artfynd.xlsx", "A 21622-2024")</f>
        <v/>
      </c>
      <c r="T107">
        <f>HYPERLINK("https://klasma.github.io/Logging_1380/kartor/A 21622-2024 karta.png", "A 21622-2024")</f>
        <v/>
      </c>
      <c r="V107">
        <f>HYPERLINK("https://klasma.github.io/Logging_1380/klagomål/A 21622-2024 FSC-klagomål.docx", "A 21622-2024")</f>
        <v/>
      </c>
      <c r="W107">
        <f>HYPERLINK("https://klasma.github.io/Logging_1380/klagomålsmail/A 21622-2024 FSC-klagomål mail.docx", "A 21622-2024")</f>
        <v/>
      </c>
      <c r="X107">
        <f>HYPERLINK("https://klasma.github.io/Logging_1380/tillsyn/A 21622-2024 tillsynsbegäran.docx", "A 21622-2024")</f>
        <v/>
      </c>
      <c r="Y107">
        <f>HYPERLINK("https://klasma.github.io/Logging_1380/tillsynsmail/A 21622-2024 tillsynsbegäran mail.docx", "A 21622-2024")</f>
        <v/>
      </c>
    </row>
    <row r="108" ht="15" customHeight="1">
      <c r="A108" t="inlineStr">
        <is>
          <t>A 24055-2024</t>
        </is>
      </c>
      <c r="B108" s="1" t="n">
        <v>45456</v>
      </c>
      <c r="C108" s="1" t="n">
        <v>45627</v>
      </c>
      <c r="D108" t="inlineStr">
        <is>
          <t>HALLANDS LÄN</t>
        </is>
      </c>
      <c r="E108" t="inlineStr">
        <is>
          <t>FALKENBERG</t>
        </is>
      </c>
      <c r="G108" t="n">
        <v>7.7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Revlummer</t>
        </is>
      </c>
      <c r="S108">
        <f>HYPERLINK("https://klasma.github.io/Logging_1382/artfynd/A 24055-2024 artfynd.xlsx", "A 24055-2024")</f>
        <v/>
      </c>
      <c r="T108">
        <f>HYPERLINK("https://klasma.github.io/Logging_1382/kartor/A 24055-2024 karta.png", "A 24055-2024")</f>
        <v/>
      </c>
      <c r="V108">
        <f>HYPERLINK("https://klasma.github.io/Logging_1382/klagomål/A 24055-2024 FSC-klagomål.docx", "A 24055-2024")</f>
        <v/>
      </c>
      <c r="W108">
        <f>HYPERLINK("https://klasma.github.io/Logging_1382/klagomålsmail/A 24055-2024 FSC-klagomål mail.docx", "A 24055-2024")</f>
        <v/>
      </c>
      <c r="X108">
        <f>HYPERLINK("https://klasma.github.io/Logging_1382/tillsyn/A 24055-2024 tillsynsbegäran.docx", "A 24055-2024")</f>
        <v/>
      </c>
      <c r="Y108">
        <f>HYPERLINK("https://klasma.github.io/Logging_1382/tillsynsmail/A 24055-2024 tillsynsbegäran mail.docx", "A 24055-2024")</f>
        <v/>
      </c>
    </row>
    <row r="109" ht="15" customHeight="1">
      <c r="A109" t="inlineStr">
        <is>
          <t>A 34740-2024</t>
        </is>
      </c>
      <c r="B109" s="1" t="n">
        <v>45526</v>
      </c>
      <c r="C109" s="1" t="n">
        <v>45627</v>
      </c>
      <c r="D109" t="inlineStr">
        <is>
          <t>HALLANDS LÄN</t>
        </is>
      </c>
      <c r="E109" t="inlineStr">
        <is>
          <t>KUNGSBACKA</t>
        </is>
      </c>
      <c r="G109" t="n">
        <v>7.3</v>
      </c>
      <c r="H109" t="n">
        <v>1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Revlummer</t>
        </is>
      </c>
      <c r="S109">
        <f>HYPERLINK("https://klasma.github.io/Logging_1384/artfynd/A 34740-2024 artfynd.xlsx", "A 34740-2024")</f>
        <v/>
      </c>
      <c r="T109">
        <f>HYPERLINK("https://klasma.github.io/Logging_1384/kartor/A 34740-2024 karta.png", "A 34740-2024")</f>
        <v/>
      </c>
      <c r="V109">
        <f>HYPERLINK("https://klasma.github.io/Logging_1384/klagomål/A 34740-2024 FSC-klagomål.docx", "A 34740-2024")</f>
        <v/>
      </c>
      <c r="W109">
        <f>HYPERLINK("https://klasma.github.io/Logging_1384/klagomålsmail/A 34740-2024 FSC-klagomål mail.docx", "A 34740-2024")</f>
        <v/>
      </c>
      <c r="X109">
        <f>HYPERLINK("https://klasma.github.io/Logging_1384/tillsyn/A 34740-2024 tillsynsbegäran.docx", "A 34740-2024")</f>
        <v/>
      </c>
      <c r="Y109">
        <f>HYPERLINK("https://klasma.github.io/Logging_1384/tillsynsmail/A 34740-2024 tillsynsbegäran mail.docx", "A 34740-2024")</f>
        <v/>
      </c>
    </row>
    <row r="110" ht="15" customHeight="1">
      <c r="A110" t="inlineStr">
        <is>
          <t>A 34772-2024</t>
        </is>
      </c>
      <c r="B110" s="1" t="n">
        <v>45526</v>
      </c>
      <c r="C110" s="1" t="n">
        <v>45627</v>
      </c>
      <c r="D110" t="inlineStr">
        <is>
          <t>HALLANDS LÄN</t>
        </is>
      </c>
      <c r="E110" t="inlineStr">
        <is>
          <t>KUNGSBACKA</t>
        </is>
      </c>
      <c r="G110" t="n">
        <v>13.2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Revlummer</t>
        </is>
      </c>
      <c r="S110">
        <f>HYPERLINK("https://klasma.github.io/Logging_1384/artfynd/A 34772-2024 artfynd.xlsx", "A 34772-2024")</f>
        <v/>
      </c>
      <c r="T110">
        <f>HYPERLINK("https://klasma.github.io/Logging_1384/kartor/A 34772-2024 karta.png", "A 34772-2024")</f>
        <v/>
      </c>
      <c r="V110">
        <f>HYPERLINK("https://klasma.github.io/Logging_1384/klagomål/A 34772-2024 FSC-klagomål.docx", "A 34772-2024")</f>
        <v/>
      </c>
      <c r="W110">
        <f>HYPERLINK("https://klasma.github.io/Logging_1384/klagomålsmail/A 34772-2024 FSC-klagomål mail.docx", "A 34772-2024")</f>
        <v/>
      </c>
      <c r="X110">
        <f>HYPERLINK("https://klasma.github.io/Logging_1384/tillsyn/A 34772-2024 tillsynsbegäran.docx", "A 34772-2024")</f>
        <v/>
      </c>
      <c r="Y110">
        <f>HYPERLINK("https://klasma.github.io/Logging_1384/tillsynsmail/A 34772-2024 tillsynsbegäran mail.docx", "A 34772-2024")</f>
        <v/>
      </c>
    </row>
    <row r="111" ht="15" customHeight="1">
      <c r="A111" t="inlineStr">
        <is>
          <t>A 37600-2024</t>
        </is>
      </c>
      <c r="B111" s="1" t="n">
        <v>45541</v>
      </c>
      <c r="C111" s="1" t="n">
        <v>45627</v>
      </c>
      <c r="D111" t="inlineStr">
        <is>
          <t>HALLANDS LÄN</t>
        </is>
      </c>
      <c r="E111" t="inlineStr">
        <is>
          <t>HALMSTAD</t>
        </is>
      </c>
      <c r="G111" t="n">
        <v>23.1</v>
      </c>
      <c r="H111" t="n">
        <v>0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Kambräken</t>
        </is>
      </c>
      <c r="S111">
        <f>HYPERLINK("https://klasma.github.io/Logging_1380/artfynd/A 37600-2024 artfynd.xlsx", "A 37600-2024")</f>
        <v/>
      </c>
      <c r="T111">
        <f>HYPERLINK("https://klasma.github.io/Logging_1380/kartor/A 37600-2024 karta.png", "A 37600-2024")</f>
        <v/>
      </c>
      <c r="V111">
        <f>HYPERLINK("https://klasma.github.io/Logging_1380/klagomål/A 37600-2024 FSC-klagomål.docx", "A 37600-2024")</f>
        <v/>
      </c>
      <c r="W111">
        <f>HYPERLINK("https://klasma.github.io/Logging_1380/klagomålsmail/A 37600-2024 FSC-klagomål mail.docx", "A 37600-2024")</f>
        <v/>
      </c>
      <c r="X111">
        <f>HYPERLINK("https://klasma.github.io/Logging_1380/tillsyn/A 37600-2024 tillsynsbegäran.docx", "A 37600-2024")</f>
        <v/>
      </c>
      <c r="Y111">
        <f>HYPERLINK("https://klasma.github.io/Logging_1380/tillsynsmail/A 37600-2024 tillsynsbegäran mail.docx", "A 37600-2024")</f>
        <v/>
      </c>
    </row>
    <row r="112" ht="15" customHeight="1">
      <c r="A112" t="inlineStr">
        <is>
          <t>A 38642-2024</t>
        </is>
      </c>
      <c r="B112" s="1" t="n">
        <v>45546</v>
      </c>
      <c r="C112" s="1" t="n">
        <v>45627</v>
      </c>
      <c r="D112" t="inlineStr">
        <is>
          <t>HALLANDS LÄN</t>
        </is>
      </c>
      <c r="E112" t="inlineStr">
        <is>
          <t>VARBERG</t>
        </is>
      </c>
      <c r="G112" t="n">
        <v>3.3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Åkergroda</t>
        </is>
      </c>
      <c r="S112">
        <f>HYPERLINK("https://klasma.github.io/Logging_1383/artfynd/A 38642-2024 artfynd.xlsx", "A 38642-2024")</f>
        <v/>
      </c>
      <c r="T112">
        <f>HYPERLINK("https://klasma.github.io/Logging_1383/kartor/A 38642-2024 karta.png", "A 38642-2024")</f>
        <v/>
      </c>
      <c r="V112">
        <f>HYPERLINK("https://klasma.github.io/Logging_1383/klagomål/A 38642-2024 FSC-klagomål.docx", "A 38642-2024")</f>
        <v/>
      </c>
      <c r="W112">
        <f>HYPERLINK("https://klasma.github.io/Logging_1383/klagomålsmail/A 38642-2024 FSC-klagomål mail.docx", "A 38642-2024")</f>
        <v/>
      </c>
      <c r="X112">
        <f>HYPERLINK("https://klasma.github.io/Logging_1383/tillsyn/A 38642-2024 tillsynsbegäran.docx", "A 38642-2024")</f>
        <v/>
      </c>
      <c r="Y112">
        <f>HYPERLINK("https://klasma.github.io/Logging_1383/tillsynsmail/A 38642-2024 tillsynsbegäran mail.docx", "A 38642-2024")</f>
        <v/>
      </c>
    </row>
    <row r="113" ht="15" customHeight="1">
      <c r="A113" t="inlineStr">
        <is>
          <t>A 42732-2024</t>
        </is>
      </c>
      <c r="B113" s="1" t="n">
        <v>45566</v>
      </c>
      <c r="C113" s="1" t="n">
        <v>45627</v>
      </c>
      <c r="D113" t="inlineStr">
        <is>
          <t>HALLANDS LÄN</t>
        </is>
      </c>
      <c r="E113" t="inlineStr">
        <is>
          <t>HALMSTAD</t>
        </is>
      </c>
      <c r="G113" t="n">
        <v>13.9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Kambräken</t>
        </is>
      </c>
      <c r="S113">
        <f>HYPERLINK("https://klasma.github.io/Logging_1380/artfynd/A 42732-2024 artfynd.xlsx", "A 42732-2024")</f>
        <v/>
      </c>
      <c r="T113">
        <f>HYPERLINK("https://klasma.github.io/Logging_1380/kartor/A 42732-2024 karta.png", "A 42732-2024")</f>
        <v/>
      </c>
      <c r="V113">
        <f>HYPERLINK("https://klasma.github.io/Logging_1380/klagomål/A 42732-2024 FSC-klagomål.docx", "A 42732-2024")</f>
        <v/>
      </c>
      <c r="W113">
        <f>HYPERLINK("https://klasma.github.io/Logging_1380/klagomålsmail/A 42732-2024 FSC-klagomål mail.docx", "A 42732-2024")</f>
        <v/>
      </c>
      <c r="X113">
        <f>HYPERLINK("https://klasma.github.io/Logging_1380/tillsyn/A 42732-2024 tillsynsbegäran.docx", "A 42732-2024")</f>
        <v/>
      </c>
      <c r="Y113">
        <f>HYPERLINK("https://klasma.github.io/Logging_1380/tillsynsmail/A 42732-2024 tillsynsbegäran mail.docx", "A 42732-2024")</f>
        <v/>
      </c>
    </row>
    <row r="114" ht="15" customHeight="1">
      <c r="A114" t="inlineStr">
        <is>
          <t>A 46562-2024</t>
        </is>
      </c>
      <c r="B114" s="1" t="n">
        <v>45582</v>
      </c>
      <c r="C114" s="1" t="n">
        <v>45627</v>
      </c>
      <c r="D114" t="inlineStr">
        <is>
          <t>HALLANDS LÄN</t>
        </is>
      </c>
      <c r="E114" t="inlineStr">
        <is>
          <t>LAHOLM</t>
        </is>
      </c>
      <c r="G114" t="n">
        <v>1.1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Hårginst</t>
        </is>
      </c>
      <c r="S114">
        <f>HYPERLINK("https://klasma.github.io/Logging_1381/artfynd/A 46562-2024 artfynd.xlsx", "A 46562-2024")</f>
        <v/>
      </c>
      <c r="T114">
        <f>HYPERLINK("https://klasma.github.io/Logging_1381/kartor/A 46562-2024 karta.png", "A 46562-2024")</f>
        <v/>
      </c>
      <c r="V114">
        <f>HYPERLINK("https://klasma.github.io/Logging_1381/klagomål/A 46562-2024 FSC-klagomål.docx", "A 46562-2024")</f>
        <v/>
      </c>
      <c r="W114">
        <f>HYPERLINK("https://klasma.github.io/Logging_1381/klagomålsmail/A 46562-2024 FSC-klagomål mail.docx", "A 46562-2024")</f>
        <v/>
      </c>
      <c r="X114">
        <f>HYPERLINK("https://klasma.github.io/Logging_1381/tillsyn/A 46562-2024 tillsynsbegäran.docx", "A 46562-2024")</f>
        <v/>
      </c>
      <c r="Y114">
        <f>HYPERLINK("https://klasma.github.io/Logging_1381/tillsynsmail/A 46562-2024 tillsynsbegäran mail.docx", "A 46562-2024")</f>
        <v/>
      </c>
    </row>
    <row r="115" ht="15" customHeight="1">
      <c r="A115" t="inlineStr">
        <is>
          <t>A 50273-2024</t>
        </is>
      </c>
      <c r="B115" s="1" t="n">
        <v>45600</v>
      </c>
      <c r="C115" s="1" t="n">
        <v>45627</v>
      </c>
      <c r="D115" t="inlineStr">
        <is>
          <t>HALLANDS LÄN</t>
        </is>
      </c>
      <c r="E115" t="inlineStr">
        <is>
          <t>FALKENBERG</t>
        </is>
      </c>
      <c r="G115" t="n">
        <v>2.7</v>
      </c>
      <c r="H115" t="n">
        <v>1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Revlummer</t>
        </is>
      </c>
      <c r="S115">
        <f>HYPERLINK("https://klasma.github.io/Logging_1382/artfynd/A 50273-2024 artfynd.xlsx", "A 50273-2024")</f>
        <v/>
      </c>
      <c r="T115">
        <f>HYPERLINK("https://klasma.github.io/Logging_1382/kartor/A 50273-2024 karta.png", "A 50273-2024")</f>
        <v/>
      </c>
      <c r="V115">
        <f>HYPERLINK("https://klasma.github.io/Logging_1382/klagomål/A 50273-2024 FSC-klagomål.docx", "A 50273-2024")</f>
        <v/>
      </c>
      <c r="W115">
        <f>HYPERLINK("https://klasma.github.io/Logging_1382/klagomålsmail/A 50273-2024 FSC-klagomål mail.docx", "A 50273-2024")</f>
        <v/>
      </c>
      <c r="X115">
        <f>HYPERLINK("https://klasma.github.io/Logging_1382/tillsyn/A 50273-2024 tillsynsbegäran.docx", "A 50273-2024")</f>
        <v/>
      </c>
      <c r="Y115">
        <f>HYPERLINK("https://klasma.github.io/Logging_1382/tillsynsmail/A 50273-2024 tillsynsbegäran mail.docx", "A 50273-2024")</f>
        <v/>
      </c>
    </row>
    <row r="116" ht="15" customHeight="1">
      <c r="A116" t="inlineStr">
        <is>
          <t>A 54338-2024</t>
        </is>
      </c>
      <c r="B116" s="1" t="n">
        <v>45617</v>
      </c>
      <c r="C116" s="1" t="n">
        <v>45627</v>
      </c>
      <c r="D116" t="inlineStr">
        <is>
          <t>HALLANDS LÄN</t>
        </is>
      </c>
      <c r="E116" t="inlineStr">
        <is>
          <t>LAHOLM</t>
        </is>
      </c>
      <c r="F116" t="inlineStr">
        <is>
          <t>Sveaskog</t>
        </is>
      </c>
      <c r="G116" t="n">
        <v>5.7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Sydfibbla</t>
        </is>
      </c>
      <c r="S116">
        <f>HYPERLINK("https://klasma.github.io/Logging_1381/artfynd/A 54338-2024 artfynd.xlsx", "A 54338-2024")</f>
        <v/>
      </c>
      <c r="T116">
        <f>HYPERLINK("https://klasma.github.io/Logging_1381/kartor/A 54338-2024 karta.png", "A 54338-2024")</f>
        <v/>
      </c>
      <c r="V116">
        <f>HYPERLINK("https://klasma.github.io/Logging_1381/klagomål/A 54338-2024 FSC-klagomål.docx", "A 54338-2024")</f>
        <v/>
      </c>
      <c r="W116">
        <f>HYPERLINK("https://klasma.github.io/Logging_1381/klagomålsmail/A 54338-2024 FSC-klagomål mail.docx", "A 54338-2024")</f>
        <v/>
      </c>
      <c r="X116">
        <f>HYPERLINK("https://klasma.github.io/Logging_1381/tillsyn/A 54338-2024 tillsynsbegäran.docx", "A 54338-2024")</f>
        <v/>
      </c>
      <c r="Y116">
        <f>HYPERLINK("https://klasma.github.io/Logging_1381/tillsynsmail/A 54338-2024 tillsynsbegäran mail.docx", "A 54338-2024")</f>
        <v/>
      </c>
    </row>
    <row r="117" ht="15" customHeight="1">
      <c r="A117" t="inlineStr">
        <is>
          <t>A 56034-2024</t>
        </is>
      </c>
      <c r="B117" s="1" t="n">
        <v>45624</v>
      </c>
      <c r="C117" s="1" t="n">
        <v>45627</v>
      </c>
      <c r="D117" t="inlineStr">
        <is>
          <t>HALLANDS LÄN</t>
        </is>
      </c>
      <c r="E117" t="inlineStr">
        <is>
          <t>FALKENBERG</t>
        </is>
      </c>
      <c r="G117" t="n">
        <v>2.1</v>
      </c>
      <c r="H117" t="n">
        <v>1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Större brunfladdermus</t>
        </is>
      </c>
      <c r="S117">
        <f>HYPERLINK("https://klasma.github.io/Logging_1382/artfynd/A 56034-2024 artfynd.xlsx", "A 56034-2024")</f>
        <v/>
      </c>
      <c r="T117">
        <f>HYPERLINK("https://klasma.github.io/Logging_1382/kartor/A 56034-2024 karta.png", "A 56034-2024")</f>
        <v/>
      </c>
      <c r="V117">
        <f>HYPERLINK("https://klasma.github.io/Logging_1382/klagomål/A 56034-2024 FSC-klagomål.docx", "A 56034-2024")</f>
        <v/>
      </c>
      <c r="W117">
        <f>HYPERLINK("https://klasma.github.io/Logging_1382/klagomålsmail/A 56034-2024 FSC-klagomål mail.docx", "A 56034-2024")</f>
        <v/>
      </c>
      <c r="X117">
        <f>HYPERLINK("https://klasma.github.io/Logging_1382/tillsyn/A 56034-2024 tillsynsbegäran.docx", "A 56034-2024")</f>
        <v/>
      </c>
      <c r="Y117">
        <f>HYPERLINK("https://klasma.github.io/Logging_1382/tillsynsmail/A 56034-2024 tillsynsbegäran mail.docx", "A 56034-2024")</f>
        <v/>
      </c>
    </row>
    <row r="118" ht="15" customHeight="1">
      <c r="A118" t="inlineStr">
        <is>
          <t>A 17740-2019</t>
        </is>
      </c>
      <c r="B118" s="1" t="n">
        <v>43556</v>
      </c>
      <c r="C118" s="1" t="n">
        <v>45627</v>
      </c>
      <c r="D118" t="inlineStr">
        <is>
          <t>HALLANDS LÄN</t>
        </is>
      </c>
      <c r="E118" t="inlineStr">
        <is>
          <t>HALMSTAD</t>
        </is>
      </c>
      <c r="G118" t="n">
        <v>5.8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17783-2019</t>
        </is>
      </c>
      <c r="B119" s="1" t="n">
        <v>43556</v>
      </c>
      <c r="C119" s="1" t="n">
        <v>45627</v>
      </c>
      <c r="D119" t="inlineStr">
        <is>
          <t>HALLANDS LÄN</t>
        </is>
      </c>
      <c r="E119" t="inlineStr">
        <is>
          <t>HALMSTAD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17776-2019</t>
        </is>
      </c>
      <c r="B120" s="1" t="n">
        <v>43556</v>
      </c>
      <c r="C120" s="1" t="n">
        <v>45627</v>
      </c>
      <c r="D120" t="inlineStr">
        <is>
          <t>HALLANDS LÄN</t>
        </is>
      </c>
      <c r="E120" t="inlineStr">
        <is>
          <t>HALMSTAD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18252-2019</t>
        </is>
      </c>
      <c r="B121" s="1" t="n">
        <v>43557</v>
      </c>
      <c r="C121" s="1" t="n">
        <v>45627</v>
      </c>
      <c r="D121" t="inlineStr">
        <is>
          <t>HALLANDS LÄN</t>
        </is>
      </c>
      <c r="E121" t="inlineStr">
        <is>
          <t>HYLTE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17886-2019</t>
        </is>
      </c>
      <c r="B122" s="1" t="n">
        <v>43557</v>
      </c>
      <c r="C122" s="1" t="n">
        <v>45627</v>
      </c>
      <c r="D122" t="inlineStr">
        <is>
          <t>HALLANDS LÄN</t>
        </is>
      </c>
      <c r="E122" t="inlineStr">
        <is>
          <t>KUNGSBACKA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18231-2019</t>
        </is>
      </c>
      <c r="B123" s="1" t="n">
        <v>43558</v>
      </c>
      <c r="C123" s="1" t="n">
        <v>45627</v>
      </c>
      <c r="D123" t="inlineStr">
        <is>
          <t>HALLANDS LÄN</t>
        </is>
      </c>
      <c r="E123" t="inlineStr">
        <is>
          <t>HYLTE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18248-2019</t>
        </is>
      </c>
      <c r="B124" s="1" t="n">
        <v>43558</v>
      </c>
      <c r="C124" s="1" t="n">
        <v>45627</v>
      </c>
      <c r="D124" t="inlineStr">
        <is>
          <t>HALLANDS LÄN</t>
        </is>
      </c>
      <c r="E124" t="inlineStr">
        <is>
          <t>FALKENBERG</t>
        </is>
      </c>
      <c r="G124" t="n">
        <v>3.8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18298-2019</t>
        </is>
      </c>
      <c r="B125" s="1" t="n">
        <v>43558</v>
      </c>
      <c r="C125" s="1" t="n">
        <v>45627</v>
      </c>
      <c r="D125" t="inlineStr">
        <is>
          <t>HALLANDS LÄN</t>
        </is>
      </c>
      <c r="E125" t="inlineStr">
        <is>
          <t>VARBERG</t>
        </is>
      </c>
      <c r="G125" t="n">
        <v>12.8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18297-2019</t>
        </is>
      </c>
      <c r="B126" s="1" t="n">
        <v>43558</v>
      </c>
      <c r="C126" s="1" t="n">
        <v>45627</v>
      </c>
      <c r="D126" t="inlineStr">
        <is>
          <t>HALLANDS LÄN</t>
        </is>
      </c>
      <c r="E126" t="inlineStr">
        <is>
          <t>VARBERG</t>
        </is>
      </c>
      <c r="G126" t="n">
        <v>13.6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18226-2019</t>
        </is>
      </c>
      <c r="B127" s="1" t="n">
        <v>43558</v>
      </c>
      <c r="C127" s="1" t="n">
        <v>45627</v>
      </c>
      <c r="D127" t="inlineStr">
        <is>
          <t>HALLANDS LÄN</t>
        </is>
      </c>
      <c r="E127" t="inlineStr">
        <is>
          <t>HYLTE</t>
        </is>
      </c>
      <c r="G127" t="n">
        <v>4.9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18296-2019</t>
        </is>
      </c>
      <c r="B128" s="1" t="n">
        <v>43558</v>
      </c>
      <c r="C128" s="1" t="n">
        <v>45627</v>
      </c>
      <c r="D128" t="inlineStr">
        <is>
          <t>HALLANDS LÄN</t>
        </is>
      </c>
      <c r="E128" t="inlineStr">
        <is>
          <t>VARBERG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18541-2019</t>
        </is>
      </c>
      <c r="B129" s="1" t="n">
        <v>43558</v>
      </c>
      <c r="C129" s="1" t="n">
        <v>45627</v>
      </c>
      <c r="D129" t="inlineStr">
        <is>
          <t>HALLANDS LÄN</t>
        </is>
      </c>
      <c r="E129" t="inlineStr">
        <is>
          <t>FALKENBERG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18306-2019</t>
        </is>
      </c>
      <c r="B130" s="1" t="n">
        <v>43558</v>
      </c>
      <c r="C130" s="1" t="n">
        <v>45627</v>
      </c>
      <c r="D130" t="inlineStr">
        <is>
          <t>HALLANDS LÄN</t>
        </is>
      </c>
      <c r="E130" t="inlineStr">
        <is>
          <t>VARBERG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18628-2019</t>
        </is>
      </c>
      <c r="B131" s="1" t="n">
        <v>43559</v>
      </c>
      <c r="C131" s="1" t="n">
        <v>45627</v>
      </c>
      <c r="D131" t="inlineStr">
        <is>
          <t>HALLANDS LÄN</t>
        </is>
      </c>
      <c r="E131" t="inlineStr">
        <is>
          <t>FALKENBERG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18661-2019</t>
        </is>
      </c>
      <c r="B132" s="1" t="n">
        <v>43560</v>
      </c>
      <c r="C132" s="1" t="n">
        <v>45627</v>
      </c>
      <c r="D132" t="inlineStr">
        <is>
          <t>HALLANDS LÄN</t>
        </is>
      </c>
      <c r="E132" t="inlineStr">
        <is>
          <t>HALMSTAD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18851-2019</t>
        </is>
      </c>
      <c r="B133" s="1" t="n">
        <v>43563</v>
      </c>
      <c r="C133" s="1" t="n">
        <v>45627</v>
      </c>
      <c r="D133" t="inlineStr">
        <is>
          <t>HALLANDS LÄN</t>
        </is>
      </c>
      <c r="E133" t="inlineStr">
        <is>
          <t>FALKENBERG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19013-2019</t>
        </is>
      </c>
      <c r="B134" s="1" t="n">
        <v>43563</v>
      </c>
      <c r="C134" s="1" t="n">
        <v>45627</v>
      </c>
      <c r="D134" t="inlineStr">
        <is>
          <t>HALLANDS LÄN</t>
        </is>
      </c>
      <c r="E134" t="inlineStr">
        <is>
          <t>KUNGSBACKA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18990-2019</t>
        </is>
      </c>
      <c r="B135" s="1" t="n">
        <v>43563</v>
      </c>
      <c r="C135" s="1" t="n">
        <v>45627</v>
      </c>
      <c r="D135" t="inlineStr">
        <is>
          <t>HALLANDS LÄN</t>
        </is>
      </c>
      <c r="E135" t="inlineStr">
        <is>
          <t>HYLTE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19188-2019</t>
        </is>
      </c>
      <c r="B136" s="1" t="n">
        <v>43564</v>
      </c>
      <c r="C136" s="1" t="n">
        <v>45627</v>
      </c>
      <c r="D136" t="inlineStr">
        <is>
          <t>HALLANDS LÄN</t>
        </is>
      </c>
      <c r="E136" t="inlineStr">
        <is>
          <t>HYLTE</t>
        </is>
      </c>
      <c r="G136" t="n">
        <v>4.5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19203-2019</t>
        </is>
      </c>
      <c r="B137" s="1" t="n">
        <v>43564</v>
      </c>
      <c r="C137" s="1" t="n">
        <v>45627</v>
      </c>
      <c r="D137" t="inlineStr">
        <is>
          <t>HALLANDS LÄN</t>
        </is>
      </c>
      <c r="E137" t="inlineStr">
        <is>
          <t>HALMSTAD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19223-2019</t>
        </is>
      </c>
      <c r="B138" s="1" t="n">
        <v>43564</v>
      </c>
      <c r="C138" s="1" t="n">
        <v>45627</v>
      </c>
      <c r="D138" t="inlineStr">
        <is>
          <t>HALLANDS LÄN</t>
        </is>
      </c>
      <c r="E138" t="inlineStr">
        <is>
          <t>HYLTE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19535-2019</t>
        </is>
      </c>
      <c r="B139" s="1" t="n">
        <v>43565</v>
      </c>
      <c r="C139" s="1" t="n">
        <v>45627</v>
      </c>
      <c r="D139" t="inlineStr">
        <is>
          <t>HALLANDS LÄN</t>
        </is>
      </c>
      <c r="E139" t="inlineStr">
        <is>
          <t>LAHOLM</t>
        </is>
      </c>
      <c r="G139" t="n">
        <v>4.7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19331-2019</t>
        </is>
      </c>
      <c r="B140" s="1" t="n">
        <v>43565</v>
      </c>
      <c r="C140" s="1" t="n">
        <v>45627</v>
      </c>
      <c r="D140" t="inlineStr">
        <is>
          <t>HALLANDS LÄN</t>
        </is>
      </c>
      <c r="E140" t="inlineStr">
        <is>
          <t>KUNGSBACKA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19284-2019</t>
        </is>
      </c>
      <c r="B141" s="1" t="n">
        <v>43565</v>
      </c>
      <c r="C141" s="1" t="n">
        <v>45627</v>
      </c>
      <c r="D141" t="inlineStr">
        <is>
          <t>HALLANDS LÄN</t>
        </is>
      </c>
      <c r="E141" t="inlineStr">
        <is>
          <t>HYLTE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19994-2019</t>
        </is>
      </c>
      <c r="B142" s="1" t="n">
        <v>43566</v>
      </c>
      <c r="C142" s="1" t="n">
        <v>45627</v>
      </c>
      <c r="D142" t="inlineStr">
        <is>
          <t>HALLANDS LÄN</t>
        </is>
      </c>
      <c r="E142" t="inlineStr">
        <is>
          <t>HYLTE</t>
        </is>
      </c>
      <c r="G142" t="n">
        <v>4.6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20022-2019</t>
        </is>
      </c>
      <c r="B143" s="1" t="n">
        <v>43570</v>
      </c>
      <c r="C143" s="1" t="n">
        <v>45627</v>
      </c>
      <c r="D143" t="inlineStr">
        <is>
          <t>HALLANDS LÄN</t>
        </is>
      </c>
      <c r="E143" t="inlineStr">
        <is>
          <t>VARBERG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20124-2019</t>
        </is>
      </c>
      <c r="B144" s="1" t="n">
        <v>43570</v>
      </c>
      <c r="C144" s="1" t="n">
        <v>45627</v>
      </c>
      <c r="D144" t="inlineStr">
        <is>
          <t>HALLANDS LÄN</t>
        </is>
      </c>
      <c r="E144" t="inlineStr">
        <is>
          <t>HYLTE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20122-2019</t>
        </is>
      </c>
      <c r="B145" s="1" t="n">
        <v>43570</v>
      </c>
      <c r="C145" s="1" t="n">
        <v>45627</v>
      </c>
      <c r="D145" t="inlineStr">
        <is>
          <t>HALLANDS LÄN</t>
        </is>
      </c>
      <c r="E145" t="inlineStr">
        <is>
          <t>LAHOLM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20146-2019</t>
        </is>
      </c>
      <c r="B146" s="1" t="n">
        <v>43570</v>
      </c>
      <c r="C146" s="1" t="n">
        <v>45627</v>
      </c>
      <c r="D146" t="inlineStr">
        <is>
          <t>HALLANDS LÄN</t>
        </is>
      </c>
      <c r="E146" t="inlineStr">
        <is>
          <t>VARBERG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20327-2019</t>
        </is>
      </c>
      <c r="B147" s="1" t="n">
        <v>43571</v>
      </c>
      <c r="C147" s="1" t="n">
        <v>45627</v>
      </c>
      <c r="D147" t="inlineStr">
        <is>
          <t>HALLANDS LÄN</t>
        </is>
      </c>
      <c r="E147" t="inlineStr">
        <is>
          <t>HALMSTAD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20554-2019</t>
        </is>
      </c>
      <c r="B148" s="1" t="n">
        <v>43572</v>
      </c>
      <c r="C148" s="1" t="n">
        <v>45627</v>
      </c>
      <c r="D148" t="inlineStr">
        <is>
          <t>HALLANDS LÄN</t>
        </is>
      </c>
      <c r="E148" t="inlineStr">
        <is>
          <t>HALMSTAD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20735-2019</t>
        </is>
      </c>
      <c r="B149" s="1" t="n">
        <v>43573</v>
      </c>
      <c r="C149" s="1" t="n">
        <v>45627</v>
      </c>
      <c r="D149" t="inlineStr">
        <is>
          <t>HALLANDS LÄN</t>
        </is>
      </c>
      <c r="E149" t="inlineStr">
        <is>
          <t>HYLTE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20882-2019</t>
        </is>
      </c>
      <c r="B150" s="1" t="n">
        <v>43578</v>
      </c>
      <c r="C150" s="1" t="n">
        <v>45627</v>
      </c>
      <c r="D150" t="inlineStr">
        <is>
          <t>HALLANDS LÄN</t>
        </is>
      </c>
      <c r="E150" t="inlineStr">
        <is>
          <t>VARBERG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21022-2019</t>
        </is>
      </c>
      <c r="B151" s="1" t="n">
        <v>43578</v>
      </c>
      <c r="C151" s="1" t="n">
        <v>45627</v>
      </c>
      <c r="D151" t="inlineStr">
        <is>
          <t>HALLANDS LÄN</t>
        </is>
      </c>
      <c r="E151" t="inlineStr">
        <is>
          <t>LAHOLM</t>
        </is>
      </c>
      <c r="G151" t="n">
        <v>5.4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21151-2019</t>
        </is>
      </c>
      <c r="B152" s="1" t="n">
        <v>43578</v>
      </c>
      <c r="C152" s="1" t="n">
        <v>45627</v>
      </c>
      <c r="D152" t="inlineStr">
        <is>
          <t>HALLANDS LÄN</t>
        </is>
      </c>
      <c r="E152" t="inlineStr">
        <is>
          <t>LAHOLM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21163-2019</t>
        </is>
      </c>
      <c r="B153" s="1" t="n">
        <v>43578</v>
      </c>
      <c r="C153" s="1" t="n">
        <v>45627</v>
      </c>
      <c r="D153" t="inlineStr">
        <is>
          <t>HALLANDS LÄN</t>
        </is>
      </c>
      <c r="E153" t="inlineStr">
        <is>
          <t>HALMSTAD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20878-2019</t>
        </is>
      </c>
      <c r="B154" s="1" t="n">
        <v>43578</v>
      </c>
      <c r="C154" s="1" t="n">
        <v>45627</v>
      </c>
      <c r="D154" t="inlineStr">
        <is>
          <t>HALLANDS LÄN</t>
        </is>
      </c>
      <c r="E154" t="inlineStr">
        <is>
          <t>VARBERG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21024-2019</t>
        </is>
      </c>
      <c r="B155" s="1" t="n">
        <v>43578</v>
      </c>
      <c r="C155" s="1" t="n">
        <v>45627</v>
      </c>
      <c r="D155" t="inlineStr">
        <is>
          <t>HALLANDS LÄN</t>
        </is>
      </c>
      <c r="E155" t="inlineStr">
        <is>
          <t>LAHOLM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21159-2019</t>
        </is>
      </c>
      <c r="B156" s="1" t="n">
        <v>43578</v>
      </c>
      <c r="C156" s="1" t="n">
        <v>45627</v>
      </c>
      <c r="D156" t="inlineStr">
        <is>
          <t>HALLANDS LÄN</t>
        </is>
      </c>
      <c r="E156" t="inlineStr">
        <is>
          <t>HALMSTAD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21135-2019</t>
        </is>
      </c>
      <c r="B157" s="1" t="n">
        <v>43579</v>
      </c>
      <c r="C157" s="1" t="n">
        <v>45627</v>
      </c>
      <c r="D157" t="inlineStr">
        <is>
          <t>HALLANDS LÄN</t>
        </is>
      </c>
      <c r="E157" t="inlineStr">
        <is>
          <t>FALKENBERG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21448-2019</t>
        </is>
      </c>
      <c r="B158" s="1" t="n">
        <v>43580</v>
      </c>
      <c r="C158" s="1" t="n">
        <v>45627</v>
      </c>
      <c r="D158" t="inlineStr">
        <is>
          <t>HALLANDS LÄN</t>
        </is>
      </c>
      <c r="E158" t="inlineStr">
        <is>
          <t>LAHOLM</t>
        </is>
      </c>
      <c r="G158" t="n">
        <v>4.4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21505-2019</t>
        </is>
      </c>
      <c r="B159" s="1" t="n">
        <v>43580</v>
      </c>
      <c r="C159" s="1" t="n">
        <v>45627</v>
      </c>
      <c r="D159" t="inlineStr">
        <is>
          <t>HALLANDS LÄN</t>
        </is>
      </c>
      <c r="E159" t="inlineStr">
        <is>
          <t>KUNGSBACKA</t>
        </is>
      </c>
      <c r="G159" t="n">
        <v>7.7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21536-2019</t>
        </is>
      </c>
      <c r="B160" s="1" t="n">
        <v>43580</v>
      </c>
      <c r="C160" s="1" t="n">
        <v>45627</v>
      </c>
      <c r="D160" t="inlineStr">
        <is>
          <t>HALLANDS LÄN</t>
        </is>
      </c>
      <c r="E160" t="inlineStr">
        <is>
          <t>HALMSTAD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21713-2019</t>
        </is>
      </c>
      <c r="B161" s="1" t="n">
        <v>43581</v>
      </c>
      <c r="C161" s="1" t="n">
        <v>45627</v>
      </c>
      <c r="D161" t="inlineStr">
        <is>
          <t>HALLANDS LÄN</t>
        </is>
      </c>
      <c r="E161" t="inlineStr">
        <is>
          <t>HALMSTAD</t>
        </is>
      </c>
      <c r="G161" t="n">
        <v>7.5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21664-2019</t>
        </is>
      </c>
      <c r="B162" s="1" t="n">
        <v>43581</v>
      </c>
      <c r="C162" s="1" t="n">
        <v>45627</v>
      </c>
      <c r="D162" t="inlineStr">
        <is>
          <t>HALLANDS LÄN</t>
        </is>
      </c>
      <c r="E162" t="inlineStr">
        <is>
          <t>LAHOLM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21649-2019</t>
        </is>
      </c>
      <c r="B163" s="1" t="n">
        <v>43581</v>
      </c>
      <c r="C163" s="1" t="n">
        <v>45627</v>
      </c>
      <c r="D163" t="inlineStr">
        <is>
          <t>HALLANDS LÄN</t>
        </is>
      </c>
      <c r="E163" t="inlineStr">
        <is>
          <t>HYLTE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21824-2019</t>
        </is>
      </c>
      <c r="B164" s="1" t="n">
        <v>43583</v>
      </c>
      <c r="C164" s="1" t="n">
        <v>45627</v>
      </c>
      <c r="D164" t="inlineStr">
        <is>
          <t>HALLANDS LÄN</t>
        </is>
      </c>
      <c r="E164" t="inlineStr">
        <is>
          <t>VARBERG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21944-2019</t>
        </is>
      </c>
      <c r="B165" s="1" t="n">
        <v>43584</v>
      </c>
      <c r="C165" s="1" t="n">
        <v>45627</v>
      </c>
      <c r="D165" t="inlineStr">
        <is>
          <t>HALLANDS LÄN</t>
        </is>
      </c>
      <c r="E165" t="inlineStr">
        <is>
          <t>VARBERG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21996-2019</t>
        </is>
      </c>
      <c r="B166" s="1" t="n">
        <v>43584</v>
      </c>
      <c r="C166" s="1" t="n">
        <v>45627</v>
      </c>
      <c r="D166" t="inlineStr">
        <is>
          <t>HALLANDS LÄN</t>
        </is>
      </c>
      <c r="E166" t="inlineStr">
        <is>
          <t>KUNGSBACKA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21988-2019</t>
        </is>
      </c>
      <c r="B167" s="1" t="n">
        <v>43584</v>
      </c>
      <c r="C167" s="1" t="n">
        <v>45627</v>
      </c>
      <c r="D167" t="inlineStr">
        <is>
          <t>HALLANDS LÄN</t>
        </is>
      </c>
      <c r="E167" t="inlineStr">
        <is>
          <t>HYLTE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22474-2019</t>
        </is>
      </c>
      <c r="B168" s="1" t="n">
        <v>43587</v>
      </c>
      <c r="C168" s="1" t="n">
        <v>45627</v>
      </c>
      <c r="D168" t="inlineStr">
        <is>
          <t>HALLANDS LÄN</t>
        </is>
      </c>
      <c r="E168" t="inlineStr">
        <is>
          <t>KUNGSBACKA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22488-2019</t>
        </is>
      </c>
      <c r="B169" s="1" t="n">
        <v>43587</v>
      </c>
      <c r="C169" s="1" t="n">
        <v>45627</v>
      </c>
      <c r="D169" t="inlineStr">
        <is>
          <t>HALLANDS LÄN</t>
        </is>
      </c>
      <c r="E169" t="inlineStr">
        <is>
          <t>LAHOLM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22407-2019</t>
        </is>
      </c>
      <c r="B170" s="1" t="n">
        <v>43587</v>
      </c>
      <c r="C170" s="1" t="n">
        <v>45627</v>
      </c>
      <c r="D170" t="inlineStr">
        <is>
          <t>HALLANDS LÄN</t>
        </is>
      </c>
      <c r="E170" t="inlineStr">
        <is>
          <t>HYLTE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22652-2019</t>
        </is>
      </c>
      <c r="B171" s="1" t="n">
        <v>43588</v>
      </c>
      <c r="C171" s="1" t="n">
        <v>45627</v>
      </c>
      <c r="D171" t="inlineStr">
        <is>
          <t>HALLANDS LÄN</t>
        </is>
      </c>
      <c r="E171" t="inlineStr">
        <is>
          <t>FALKENBERG</t>
        </is>
      </c>
      <c r="F171" t="inlineStr">
        <is>
          <t>Bergvik skog väst AB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22651-2019</t>
        </is>
      </c>
      <c r="B172" s="1" t="n">
        <v>43588</v>
      </c>
      <c r="C172" s="1" t="n">
        <v>45627</v>
      </c>
      <c r="D172" t="inlineStr">
        <is>
          <t>HALLANDS LÄN</t>
        </is>
      </c>
      <c r="E172" t="inlineStr">
        <is>
          <t>FALKENBERG</t>
        </is>
      </c>
      <c r="F172" t="inlineStr">
        <is>
          <t>Bergvik skog väst AB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22855-2019</t>
        </is>
      </c>
      <c r="B173" s="1" t="n">
        <v>43591</v>
      </c>
      <c r="C173" s="1" t="n">
        <v>45627</v>
      </c>
      <c r="D173" t="inlineStr">
        <is>
          <t>HALLANDS LÄN</t>
        </is>
      </c>
      <c r="E173" t="inlineStr">
        <is>
          <t>FALKENBERG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22856-2019</t>
        </is>
      </c>
      <c r="B174" s="1" t="n">
        <v>43591</v>
      </c>
      <c r="C174" s="1" t="n">
        <v>45627</v>
      </c>
      <c r="D174" t="inlineStr">
        <is>
          <t>HALLANDS LÄN</t>
        </is>
      </c>
      <c r="E174" t="inlineStr">
        <is>
          <t>FALKENBERG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23113-2019</t>
        </is>
      </c>
      <c r="B175" s="1" t="n">
        <v>43592</v>
      </c>
      <c r="C175" s="1" t="n">
        <v>45627</v>
      </c>
      <c r="D175" t="inlineStr">
        <is>
          <t>HALLANDS LÄN</t>
        </is>
      </c>
      <c r="E175" t="inlineStr">
        <is>
          <t>LAHOLM</t>
        </is>
      </c>
      <c r="G175" t="n">
        <v>11.4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23219-2019</t>
        </is>
      </c>
      <c r="B176" s="1" t="n">
        <v>43592</v>
      </c>
      <c r="C176" s="1" t="n">
        <v>45627</v>
      </c>
      <c r="D176" t="inlineStr">
        <is>
          <t>HALLANDS LÄN</t>
        </is>
      </c>
      <c r="E176" t="inlineStr">
        <is>
          <t>LAHOLM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23552-2019</t>
        </is>
      </c>
      <c r="B177" s="1" t="n">
        <v>43593</v>
      </c>
      <c r="C177" s="1" t="n">
        <v>45627</v>
      </c>
      <c r="D177" t="inlineStr">
        <is>
          <t>HALLANDS LÄN</t>
        </is>
      </c>
      <c r="E177" t="inlineStr">
        <is>
          <t>HALMSTAD</t>
        </is>
      </c>
      <c r="F177" t="inlineStr">
        <is>
          <t>Kyrkan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23522-2019</t>
        </is>
      </c>
      <c r="B178" s="1" t="n">
        <v>43593</v>
      </c>
      <c r="C178" s="1" t="n">
        <v>45627</v>
      </c>
      <c r="D178" t="inlineStr">
        <is>
          <t>HALLANDS LÄN</t>
        </is>
      </c>
      <c r="E178" t="inlineStr">
        <is>
          <t>HALMSTAD</t>
        </is>
      </c>
      <c r="F178" t="inlineStr">
        <is>
          <t>Kyrkan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23924-2019</t>
        </is>
      </c>
      <c r="B179" s="1" t="n">
        <v>43595</v>
      </c>
      <c r="C179" s="1" t="n">
        <v>45627</v>
      </c>
      <c r="D179" t="inlineStr">
        <is>
          <t>HALLANDS LÄN</t>
        </is>
      </c>
      <c r="E179" t="inlineStr">
        <is>
          <t>FALKENBERG</t>
        </is>
      </c>
      <c r="G179" t="n">
        <v>10.7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23857-2019</t>
        </is>
      </c>
      <c r="B180" s="1" t="n">
        <v>43595</v>
      </c>
      <c r="C180" s="1" t="n">
        <v>45627</v>
      </c>
      <c r="D180" t="inlineStr">
        <is>
          <t>HALLANDS LÄN</t>
        </is>
      </c>
      <c r="E180" t="inlineStr">
        <is>
          <t>KUNGSBACKA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24057-2019</t>
        </is>
      </c>
      <c r="B181" s="1" t="n">
        <v>43598</v>
      </c>
      <c r="C181" s="1" t="n">
        <v>45627</v>
      </c>
      <c r="D181" t="inlineStr">
        <is>
          <t>HALLANDS LÄN</t>
        </is>
      </c>
      <c r="E181" t="inlineStr">
        <is>
          <t>VARBERG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24047-2019</t>
        </is>
      </c>
      <c r="B182" s="1" t="n">
        <v>43598</v>
      </c>
      <c r="C182" s="1" t="n">
        <v>45627</v>
      </c>
      <c r="D182" t="inlineStr">
        <is>
          <t>HALLANDS LÄN</t>
        </is>
      </c>
      <c r="E182" t="inlineStr">
        <is>
          <t>LAHOLM</t>
        </is>
      </c>
      <c r="F182" t="inlineStr">
        <is>
          <t>Övriga statliga verk och myndigheter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24232-2019</t>
        </is>
      </c>
      <c r="B183" s="1" t="n">
        <v>43599</v>
      </c>
      <c r="C183" s="1" t="n">
        <v>45627</v>
      </c>
      <c r="D183" t="inlineStr">
        <is>
          <t>HALLANDS LÄN</t>
        </is>
      </c>
      <c r="E183" t="inlineStr">
        <is>
          <t>VARBERG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24264-2019</t>
        </is>
      </c>
      <c r="B184" s="1" t="n">
        <v>43599</v>
      </c>
      <c r="C184" s="1" t="n">
        <v>45627</v>
      </c>
      <c r="D184" t="inlineStr">
        <is>
          <t>HALLANDS LÄN</t>
        </is>
      </c>
      <c r="E184" t="inlineStr">
        <is>
          <t>VARBERG</t>
        </is>
      </c>
      <c r="G184" t="n">
        <v>4.2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24269-2019</t>
        </is>
      </c>
      <c r="B185" s="1" t="n">
        <v>43599</v>
      </c>
      <c r="C185" s="1" t="n">
        <v>45627</v>
      </c>
      <c r="D185" t="inlineStr">
        <is>
          <t>HALLANDS LÄN</t>
        </is>
      </c>
      <c r="E185" t="inlineStr">
        <is>
          <t>VARBERG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24480-2019</t>
        </is>
      </c>
      <c r="B186" s="1" t="n">
        <v>43600</v>
      </c>
      <c r="C186" s="1" t="n">
        <v>45627</v>
      </c>
      <c r="D186" t="inlineStr">
        <is>
          <t>HALLANDS LÄN</t>
        </is>
      </c>
      <c r="E186" t="inlineStr">
        <is>
          <t>HALMSTAD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24588-2019</t>
        </is>
      </c>
      <c r="B187" s="1" t="n">
        <v>43601</v>
      </c>
      <c r="C187" s="1" t="n">
        <v>45627</v>
      </c>
      <c r="D187" t="inlineStr">
        <is>
          <t>HALLANDS LÄN</t>
        </is>
      </c>
      <c r="E187" t="inlineStr">
        <is>
          <t>VARBERG</t>
        </is>
      </c>
      <c r="G187" t="n">
        <v>5.9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24587-2019</t>
        </is>
      </c>
      <c r="B188" s="1" t="n">
        <v>43601</v>
      </c>
      <c r="C188" s="1" t="n">
        <v>45627</v>
      </c>
      <c r="D188" t="inlineStr">
        <is>
          <t>HALLANDS LÄN</t>
        </is>
      </c>
      <c r="E188" t="inlineStr">
        <is>
          <t>VARBERG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25198-2019</t>
        </is>
      </c>
      <c r="B189" s="1" t="n">
        <v>43605</v>
      </c>
      <c r="C189" s="1" t="n">
        <v>45627</v>
      </c>
      <c r="D189" t="inlineStr">
        <is>
          <t>HALLANDS LÄN</t>
        </is>
      </c>
      <c r="E189" t="inlineStr">
        <is>
          <t>HALMSTAD</t>
        </is>
      </c>
      <c r="F189" t="inlineStr">
        <is>
          <t>Övriga statliga verk och myndigheter</t>
        </is>
      </c>
      <c r="G189" t="n">
        <v>8.4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25222-2019</t>
        </is>
      </c>
      <c r="B190" s="1" t="n">
        <v>43605</v>
      </c>
      <c r="C190" s="1" t="n">
        <v>45627</v>
      </c>
      <c r="D190" t="inlineStr">
        <is>
          <t>HALLANDS LÄN</t>
        </is>
      </c>
      <c r="E190" t="inlineStr">
        <is>
          <t>HALMSTAD</t>
        </is>
      </c>
      <c r="F190" t="inlineStr">
        <is>
          <t>Övriga statliga verk och myndigheter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26295-2019</t>
        </is>
      </c>
      <c r="B191" s="1" t="n">
        <v>43606</v>
      </c>
      <c r="C191" s="1" t="n">
        <v>45627</v>
      </c>
      <c r="D191" t="inlineStr">
        <is>
          <t>HALLANDS LÄN</t>
        </is>
      </c>
      <c r="E191" t="inlineStr">
        <is>
          <t>HALMSTAD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26354-2019</t>
        </is>
      </c>
      <c r="B192" s="1" t="n">
        <v>43606</v>
      </c>
      <c r="C192" s="1" t="n">
        <v>45627</v>
      </c>
      <c r="D192" t="inlineStr">
        <is>
          <t>HALLANDS LÄN</t>
        </is>
      </c>
      <c r="E192" t="inlineStr">
        <is>
          <t>HYLTE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25536-2019</t>
        </is>
      </c>
      <c r="B193" s="1" t="n">
        <v>43606</v>
      </c>
      <c r="C193" s="1" t="n">
        <v>45627</v>
      </c>
      <c r="D193" t="inlineStr">
        <is>
          <t>HALLANDS LÄN</t>
        </is>
      </c>
      <c r="E193" t="inlineStr">
        <is>
          <t>KUNGSBACKA</t>
        </is>
      </c>
      <c r="G193" t="n">
        <v>6.6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25571-2019</t>
        </is>
      </c>
      <c r="B194" s="1" t="n">
        <v>43607</v>
      </c>
      <c r="C194" s="1" t="n">
        <v>45627</v>
      </c>
      <c r="D194" t="inlineStr">
        <is>
          <t>HALLANDS LÄN</t>
        </is>
      </c>
      <c r="E194" t="inlineStr">
        <is>
          <t>FALKENBERG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25913-2019</t>
        </is>
      </c>
      <c r="B195" s="1" t="n">
        <v>43608</v>
      </c>
      <c r="C195" s="1" t="n">
        <v>45627</v>
      </c>
      <c r="D195" t="inlineStr">
        <is>
          <t>HALLANDS LÄN</t>
        </is>
      </c>
      <c r="E195" t="inlineStr">
        <is>
          <t>FALKENBERG</t>
        </is>
      </c>
      <c r="F195" t="inlineStr">
        <is>
          <t>Bergvik skog väst AB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26135-2019</t>
        </is>
      </c>
      <c r="B196" s="1" t="n">
        <v>43609</v>
      </c>
      <c r="C196" s="1" t="n">
        <v>45627</v>
      </c>
      <c r="D196" t="inlineStr">
        <is>
          <t>HALLANDS LÄN</t>
        </is>
      </c>
      <c r="E196" t="inlineStr">
        <is>
          <t>HALMSTAD</t>
        </is>
      </c>
      <c r="F196" t="inlineStr">
        <is>
          <t>Övriga statliga verk och myndigheter</t>
        </is>
      </c>
      <c r="G196" t="n">
        <v>4.7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26454-2019</t>
        </is>
      </c>
      <c r="B197" s="1" t="n">
        <v>43612</v>
      </c>
      <c r="C197" s="1" t="n">
        <v>45627</v>
      </c>
      <c r="D197" t="inlineStr">
        <is>
          <t>HALLANDS LÄN</t>
        </is>
      </c>
      <c r="E197" t="inlineStr">
        <is>
          <t>HYLTE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26392-2019</t>
        </is>
      </c>
      <c r="B198" s="1" t="n">
        <v>43612</v>
      </c>
      <c r="C198" s="1" t="n">
        <v>45627</v>
      </c>
      <c r="D198" t="inlineStr">
        <is>
          <t>HALLANDS LÄN</t>
        </is>
      </c>
      <c r="E198" t="inlineStr">
        <is>
          <t>FALKENBERG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26463-2019</t>
        </is>
      </c>
      <c r="B199" s="1" t="n">
        <v>43612</v>
      </c>
      <c r="C199" s="1" t="n">
        <v>45627</v>
      </c>
      <c r="D199" t="inlineStr">
        <is>
          <t>HALLANDS LÄN</t>
        </is>
      </c>
      <c r="E199" t="inlineStr">
        <is>
          <t>HYLTE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26455-2019</t>
        </is>
      </c>
      <c r="B200" s="1" t="n">
        <v>43612</v>
      </c>
      <c r="C200" s="1" t="n">
        <v>45627</v>
      </c>
      <c r="D200" t="inlineStr">
        <is>
          <t>HALLANDS LÄN</t>
        </is>
      </c>
      <c r="E200" t="inlineStr">
        <is>
          <t>HYLTE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26930-2019</t>
        </is>
      </c>
      <c r="B201" s="1" t="n">
        <v>43613</v>
      </c>
      <c r="C201" s="1" t="n">
        <v>45627</v>
      </c>
      <c r="D201" t="inlineStr">
        <is>
          <t>HALLANDS LÄN</t>
        </is>
      </c>
      <c r="E201" t="inlineStr">
        <is>
          <t>VARBERG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26744-2019</t>
        </is>
      </c>
      <c r="B202" s="1" t="n">
        <v>43613</v>
      </c>
      <c r="C202" s="1" t="n">
        <v>45627</v>
      </c>
      <c r="D202" t="inlineStr">
        <is>
          <t>HALLANDS LÄN</t>
        </is>
      </c>
      <c r="E202" t="inlineStr">
        <is>
          <t>LAHOLM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28901-2019</t>
        </is>
      </c>
      <c r="B203" s="1" t="n">
        <v>43616</v>
      </c>
      <c r="C203" s="1" t="n">
        <v>45627</v>
      </c>
      <c r="D203" t="inlineStr">
        <is>
          <t>HALLANDS LÄN</t>
        </is>
      </c>
      <c r="E203" t="inlineStr">
        <is>
          <t>HYLTE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27664-2019</t>
        </is>
      </c>
      <c r="B204" s="1" t="n">
        <v>43619</v>
      </c>
      <c r="C204" s="1" t="n">
        <v>45627</v>
      </c>
      <c r="D204" t="inlineStr">
        <is>
          <t>HALLANDS LÄN</t>
        </is>
      </c>
      <c r="E204" t="inlineStr">
        <is>
          <t>FALKENBERG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27675-2019</t>
        </is>
      </c>
      <c r="B205" s="1" t="n">
        <v>43619</v>
      </c>
      <c r="C205" s="1" t="n">
        <v>45627</v>
      </c>
      <c r="D205" t="inlineStr">
        <is>
          <t>HALLANDS LÄN</t>
        </is>
      </c>
      <c r="E205" t="inlineStr">
        <is>
          <t>FALKENBERG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27633-2019</t>
        </is>
      </c>
      <c r="B206" s="1" t="n">
        <v>43619</v>
      </c>
      <c r="C206" s="1" t="n">
        <v>45627</v>
      </c>
      <c r="D206" t="inlineStr">
        <is>
          <t>HALLANDS LÄN</t>
        </is>
      </c>
      <c r="E206" t="inlineStr">
        <is>
          <t>FALKENBERG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27555-2019</t>
        </is>
      </c>
      <c r="B207" s="1" t="n">
        <v>43619</v>
      </c>
      <c r="C207" s="1" t="n">
        <v>45627</v>
      </c>
      <c r="D207" t="inlineStr">
        <is>
          <t>HALLANDS LÄN</t>
        </is>
      </c>
      <c r="E207" t="inlineStr">
        <is>
          <t>FALKENBERG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27638-2019</t>
        </is>
      </c>
      <c r="B208" s="1" t="n">
        <v>43619</v>
      </c>
      <c r="C208" s="1" t="n">
        <v>45627</v>
      </c>
      <c r="D208" t="inlineStr">
        <is>
          <t>HALLANDS LÄN</t>
        </is>
      </c>
      <c r="E208" t="inlineStr">
        <is>
          <t>HYLTE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28926-2019</t>
        </is>
      </c>
      <c r="B209" s="1" t="n">
        <v>43619</v>
      </c>
      <c r="C209" s="1" t="n">
        <v>45627</v>
      </c>
      <c r="D209" t="inlineStr">
        <is>
          <t>HALLANDS LÄN</t>
        </is>
      </c>
      <c r="E209" t="inlineStr">
        <is>
          <t>FALKENBERG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27467-2019</t>
        </is>
      </c>
      <c r="B210" s="1" t="n">
        <v>43619</v>
      </c>
      <c r="C210" s="1" t="n">
        <v>45627</v>
      </c>
      <c r="D210" t="inlineStr">
        <is>
          <t>HALLANDS LÄN</t>
        </is>
      </c>
      <c r="E210" t="inlineStr">
        <is>
          <t>KUNGSBACKA</t>
        </is>
      </c>
      <c r="G210" t="n">
        <v>3.4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27666-2019</t>
        </is>
      </c>
      <c r="B211" s="1" t="n">
        <v>43619</v>
      </c>
      <c r="C211" s="1" t="n">
        <v>45627</v>
      </c>
      <c r="D211" t="inlineStr">
        <is>
          <t>HALLANDS LÄN</t>
        </is>
      </c>
      <c r="E211" t="inlineStr">
        <is>
          <t>FALKENBERG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27848-2019</t>
        </is>
      </c>
      <c r="B212" s="1" t="n">
        <v>43620</v>
      </c>
      <c r="C212" s="1" t="n">
        <v>45627</v>
      </c>
      <c r="D212" t="inlineStr">
        <is>
          <t>HALLANDS LÄN</t>
        </is>
      </c>
      <c r="E212" t="inlineStr">
        <is>
          <t>HYLTE</t>
        </is>
      </c>
      <c r="G212" t="n">
        <v>3.7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27854-2019</t>
        </is>
      </c>
      <c r="B213" s="1" t="n">
        <v>43620</v>
      </c>
      <c r="C213" s="1" t="n">
        <v>45627</v>
      </c>
      <c r="D213" t="inlineStr">
        <is>
          <t>HALLANDS LÄN</t>
        </is>
      </c>
      <c r="E213" t="inlineStr">
        <is>
          <t>HYLTE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27956-2019</t>
        </is>
      </c>
      <c r="B214" s="1" t="n">
        <v>43620</v>
      </c>
      <c r="C214" s="1" t="n">
        <v>45627</v>
      </c>
      <c r="D214" t="inlineStr">
        <is>
          <t>HALLANDS LÄN</t>
        </is>
      </c>
      <c r="E214" t="inlineStr">
        <is>
          <t>LAHOLM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27796-2019</t>
        </is>
      </c>
      <c r="B215" s="1" t="n">
        <v>43620</v>
      </c>
      <c r="C215" s="1" t="n">
        <v>45627</v>
      </c>
      <c r="D215" t="inlineStr">
        <is>
          <t>HALLANDS LÄN</t>
        </is>
      </c>
      <c r="E215" t="inlineStr">
        <is>
          <t>HALMSTAD</t>
        </is>
      </c>
      <c r="G215" t="n">
        <v>7.4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27853-2019</t>
        </is>
      </c>
      <c r="B216" s="1" t="n">
        <v>43620</v>
      </c>
      <c r="C216" s="1" t="n">
        <v>45627</v>
      </c>
      <c r="D216" t="inlineStr">
        <is>
          <t>HALLANDS LÄN</t>
        </is>
      </c>
      <c r="E216" t="inlineStr">
        <is>
          <t>LAHOLM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28032-2019</t>
        </is>
      </c>
      <c r="B217" s="1" t="n">
        <v>43621</v>
      </c>
      <c r="C217" s="1" t="n">
        <v>45627</v>
      </c>
      <c r="D217" t="inlineStr">
        <is>
          <t>HALLANDS LÄN</t>
        </is>
      </c>
      <c r="E217" t="inlineStr">
        <is>
          <t>KUNGSBACKA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28305-2019</t>
        </is>
      </c>
      <c r="B218" s="1" t="n">
        <v>43623</v>
      </c>
      <c r="C218" s="1" t="n">
        <v>45627</v>
      </c>
      <c r="D218" t="inlineStr">
        <is>
          <t>HALLANDS LÄN</t>
        </is>
      </c>
      <c r="E218" t="inlineStr">
        <is>
          <t>VARBERG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28459-2019</t>
        </is>
      </c>
      <c r="B219" s="1" t="n">
        <v>43626</v>
      </c>
      <c r="C219" s="1" t="n">
        <v>45627</v>
      </c>
      <c r="D219" t="inlineStr">
        <is>
          <t>HALLANDS LÄN</t>
        </is>
      </c>
      <c r="E219" t="inlineStr">
        <is>
          <t>KUNGSBACKA</t>
        </is>
      </c>
      <c r="G219" t="n">
        <v>11.2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28753-2019</t>
        </is>
      </c>
      <c r="B220" s="1" t="n">
        <v>43627</v>
      </c>
      <c r="C220" s="1" t="n">
        <v>45627</v>
      </c>
      <c r="D220" t="inlineStr">
        <is>
          <t>HALLANDS LÄN</t>
        </is>
      </c>
      <c r="E220" t="inlineStr">
        <is>
          <t>LAHOLM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28658-2019</t>
        </is>
      </c>
      <c r="B221" s="1" t="n">
        <v>43627</v>
      </c>
      <c r="C221" s="1" t="n">
        <v>45627</v>
      </c>
      <c r="D221" t="inlineStr">
        <is>
          <t>HALLANDS LÄN</t>
        </is>
      </c>
      <c r="E221" t="inlineStr">
        <is>
          <t>FALKENBERG</t>
        </is>
      </c>
      <c r="G221" t="n">
        <v>5.3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29059-2019</t>
        </is>
      </c>
      <c r="B222" s="1" t="n">
        <v>43628</v>
      </c>
      <c r="C222" s="1" t="n">
        <v>45627</v>
      </c>
      <c r="D222" t="inlineStr">
        <is>
          <t>HALLANDS LÄN</t>
        </is>
      </c>
      <c r="E222" t="inlineStr">
        <is>
          <t>VARBERG</t>
        </is>
      </c>
      <c r="G222" t="n">
        <v>6.6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28910-2019</t>
        </is>
      </c>
      <c r="B223" s="1" t="n">
        <v>43628</v>
      </c>
      <c r="C223" s="1" t="n">
        <v>45627</v>
      </c>
      <c r="D223" t="inlineStr">
        <is>
          <t>HALLANDS LÄN</t>
        </is>
      </c>
      <c r="E223" t="inlineStr">
        <is>
          <t>FALKENBERG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29819-2019</t>
        </is>
      </c>
      <c r="B224" s="1" t="n">
        <v>43633</v>
      </c>
      <c r="C224" s="1" t="n">
        <v>45627</v>
      </c>
      <c r="D224" t="inlineStr">
        <is>
          <t>HALLANDS LÄN</t>
        </is>
      </c>
      <c r="E224" t="inlineStr">
        <is>
          <t>FALKENBERG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29870-2019</t>
        </is>
      </c>
      <c r="B225" s="1" t="n">
        <v>43633</v>
      </c>
      <c r="C225" s="1" t="n">
        <v>45627</v>
      </c>
      <c r="D225" t="inlineStr">
        <is>
          <t>HALLANDS LÄN</t>
        </is>
      </c>
      <c r="E225" t="inlineStr">
        <is>
          <t>HALMSTAD</t>
        </is>
      </c>
      <c r="G225" t="n">
        <v>4.2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30422-2019</t>
        </is>
      </c>
      <c r="B226" s="1" t="n">
        <v>43633</v>
      </c>
      <c r="C226" s="1" t="n">
        <v>45627</v>
      </c>
      <c r="D226" t="inlineStr">
        <is>
          <t>HALLANDS LÄN</t>
        </is>
      </c>
      <c r="E226" t="inlineStr">
        <is>
          <t>HALMSTAD</t>
        </is>
      </c>
      <c r="F226" t="inlineStr">
        <is>
          <t>Kyrkan</t>
        </is>
      </c>
      <c r="G226" t="n">
        <v>3.5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30222-2019</t>
        </is>
      </c>
      <c r="B227" s="1" t="n">
        <v>43634</v>
      </c>
      <c r="C227" s="1" t="n">
        <v>45627</v>
      </c>
      <c r="D227" t="inlineStr">
        <is>
          <t>HALLANDS LÄN</t>
        </is>
      </c>
      <c r="E227" t="inlineStr">
        <is>
          <t>FALKENBERG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30224-2019</t>
        </is>
      </c>
      <c r="B228" s="1" t="n">
        <v>43634</v>
      </c>
      <c r="C228" s="1" t="n">
        <v>45627</v>
      </c>
      <c r="D228" t="inlineStr">
        <is>
          <t>HALLANDS LÄN</t>
        </is>
      </c>
      <c r="E228" t="inlineStr">
        <is>
          <t>FALKENBERG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30555-2019</t>
        </is>
      </c>
      <c r="B229" s="1" t="n">
        <v>43635</v>
      </c>
      <c r="C229" s="1" t="n">
        <v>45627</v>
      </c>
      <c r="D229" t="inlineStr">
        <is>
          <t>HALLANDS LÄN</t>
        </is>
      </c>
      <c r="E229" t="inlineStr">
        <is>
          <t>FALKENBERG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30560-2019</t>
        </is>
      </c>
      <c r="B230" s="1" t="n">
        <v>43635</v>
      </c>
      <c r="C230" s="1" t="n">
        <v>45627</v>
      </c>
      <c r="D230" t="inlineStr">
        <is>
          <t>HALLANDS LÄN</t>
        </is>
      </c>
      <c r="E230" t="inlineStr">
        <is>
          <t>FALKENBERG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30557-2019</t>
        </is>
      </c>
      <c r="B231" s="1" t="n">
        <v>43635</v>
      </c>
      <c r="C231" s="1" t="n">
        <v>45627</v>
      </c>
      <c r="D231" t="inlineStr">
        <is>
          <t>HALLANDS LÄN</t>
        </is>
      </c>
      <c r="E231" t="inlineStr">
        <is>
          <t>FALKENBERG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30490-2019</t>
        </is>
      </c>
      <c r="B232" s="1" t="n">
        <v>43635</v>
      </c>
      <c r="C232" s="1" t="n">
        <v>45627</v>
      </c>
      <c r="D232" t="inlineStr">
        <is>
          <t>HALLANDS LÄN</t>
        </is>
      </c>
      <c r="E232" t="inlineStr">
        <is>
          <t>HALMSTAD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30846-2019</t>
        </is>
      </c>
      <c r="B233" s="1" t="n">
        <v>43636</v>
      </c>
      <c r="C233" s="1" t="n">
        <v>45627</v>
      </c>
      <c r="D233" t="inlineStr">
        <is>
          <t>HALLANDS LÄN</t>
        </is>
      </c>
      <c r="E233" t="inlineStr">
        <is>
          <t>FALKENBERG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31498-2019</t>
        </is>
      </c>
      <c r="B234" s="1" t="n">
        <v>43641</v>
      </c>
      <c r="C234" s="1" t="n">
        <v>45627</v>
      </c>
      <c r="D234" t="inlineStr">
        <is>
          <t>HALLANDS LÄN</t>
        </is>
      </c>
      <c r="E234" t="inlineStr">
        <is>
          <t>KUNGSBACKA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31527-2019</t>
        </is>
      </c>
      <c r="B235" s="1" t="n">
        <v>43641</v>
      </c>
      <c r="C235" s="1" t="n">
        <v>45627</v>
      </c>
      <c r="D235" t="inlineStr">
        <is>
          <t>HALLANDS LÄN</t>
        </is>
      </c>
      <c r="E235" t="inlineStr">
        <is>
          <t>HALMSTAD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31367-2019</t>
        </is>
      </c>
      <c r="B236" s="1" t="n">
        <v>43641</v>
      </c>
      <c r="C236" s="1" t="n">
        <v>45627</v>
      </c>
      <c r="D236" t="inlineStr">
        <is>
          <t>HALLANDS LÄN</t>
        </is>
      </c>
      <c r="E236" t="inlineStr">
        <is>
          <t>HALMSTAD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31800-2019</t>
        </is>
      </c>
      <c r="B237" s="1" t="n">
        <v>43642</v>
      </c>
      <c r="C237" s="1" t="n">
        <v>45627</v>
      </c>
      <c r="D237" t="inlineStr">
        <is>
          <t>HALLANDS LÄN</t>
        </is>
      </c>
      <c r="E237" t="inlineStr">
        <is>
          <t>VARBERG</t>
        </is>
      </c>
      <c r="G237" t="n">
        <v>3.4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32059-2019</t>
        </is>
      </c>
      <c r="B238" s="1" t="n">
        <v>43643</v>
      </c>
      <c r="C238" s="1" t="n">
        <v>45627</v>
      </c>
      <c r="D238" t="inlineStr">
        <is>
          <t>HALLANDS LÄN</t>
        </is>
      </c>
      <c r="E238" t="inlineStr">
        <is>
          <t>KUNGSBACKA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32437-2019</t>
        </is>
      </c>
      <c r="B239" s="1" t="n">
        <v>43644</v>
      </c>
      <c r="C239" s="1" t="n">
        <v>45627</v>
      </c>
      <c r="D239" t="inlineStr">
        <is>
          <t>HALLANDS LÄN</t>
        </is>
      </c>
      <c r="E239" t="inlineStr">
        <is>
          <t>KUNGSBACKA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32265-2019</t>
        </is>
      </c>
      <c r="B240" s="1" t="n">
        <v>43644</v>
      </c>
      <c r="C240" s="1" t="n">
        <v>45627</v>
      </c>
      <c r="D240" t="inlineStr">
        <is>
          <t>HALLANDS LÄN</t>
        </is>
      </c>
      <c r="E240" t="inlineStr">
        <is>
          <t>HALMSTAD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32713-2019</t>
        </is>
      </c>
      <c r="B241" s="1" t="n">
        <v>43647</v>
      </c>
      <c r="C241" s="1" t="n">
        <v>45627</v>
      </c>
      <c r="D241" t="inlineStr">
        <is>
          <t>HALLANDS LÄN</t>
        </is>
      </c>
      <c r="E241" t="inlineStr">
        <is>
          <t>VARBERG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32803-2019</t>
        </is>
      </c>
      <c r="B242" s="1" t="n">
        <v>43648</v>
      </c>
      <c r="C242" s="1" t="n">
        <v>45627</v>
      </c>
      <c r="D242" t="inlineStr">
        <is>
          <t>HALLANDS LÄN</t>
        </is>
      </c>
      <c r="E242" t="inlineStr">
        <is>
          <t>FALKENBERG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32755-2019</t>
        </is>
      </c>
      <c r="B243" s="1" t="n">
        <v>43648</v>
      </c>
      <c r="C243" s="1" t="n">
        <v>45627</v>
      </c>
      <c r="D243" t="inlineStr">
        <is>
          <t>HALLANDS LÄN</t>
        </is>
      </c>
      <c r="E243" t="inlineStr">
        <is>
          <t>HALMSTAD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32802-2019</t>
        </is>
      </c>
      <c r="B244" s="1" t="n">
        <v>43648</v>
      </c>
      <c r="C244" s="1" t="n">
        <v>45627</v>
      </c>
      <c r="D244" t="inlineStr">
        <is>
          <t>HALLANDS LÄN</t>
        </is>
      </c>
      <c r="E244" t="inlineStr">
        <is>
          <t>FALKENBERG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33205-2019</t>
        </is>
      </c>
      <c r="B245" s="1" t="n">
        <v>43649</v>
      </c>
      <c r="C245" s="1" t="n">
        <v>45627</v>
      </c>
      <c r="D245" t="inlineStr">
        <is>
          <t>HALLANDS LÄN</t>
        </is>
      </c>
      <c r="E245" t="inlineStr">
        <is>
          <t>KUNGSBACKA</t>
        </is>
      </c>
      <c r="F245" t="inlineStr">
        <is>
          <t>Kyrkan</t>
        </is>
      </c>
      <c r="G245" t="n">
        <v>4.1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33945-2019</t>
        </is>
      </c>
      <c r="B246" s="1" t="n">
        <v>43654</v>
      </c>
      <c r="C246" s="1" t="n">
        <v>45627</v>
      </c>
      <c r="D246" t="inlineStr">
        <is>
          <t>HALLANDS LÄN</t>
        </is>
      </c>
      <c r="E246" t="inlineStr">
        <is>
          <t>HALMSTAD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34029-2019</t>
        </is>
      </c>
      <c r="B247" s="1" t="n">
        <v>43654</v>
      </c>
      <c r="C247" s="1" t="n">
        <v>45627</v>
      </c>
      <c r="D247" t="inlineStr">
        <is>
          <t>HALLANDS LÄN</t>
        </is>
      </c>
      <c r="E247" t="inlineStr">
        <is>
          <t>FALKENBERG</t>
        </is>
      </c>
      <c r="G247" t="n">
        <v>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34403-2019</t>
        </is>
      </c>
      <c r="B248" s="1" t="n">
        <v>43656</v>
      </c>
      <c r="C248" s="1" t="n">
        <v>45627</v>
      </c>
      <c r="D248" t="inlineStr">
        <is>
          <t>HALLANDS LÄN</t>
        </is>
      </c>
      <c r="E248" t="inlineStr">
        <is>
          <t>FALKENBERG</t>
        </is>
      </c>
      <c r="G248" t="n">
        <v>4.5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34479-2019</t>
        </is>
      </c>
      <c r="B249" s="1" t="n">
        <v>43656</v>
      </c>
      <c r="C249" s="1" t="n">
        <v>45627</v>
      </c>
      <c r="D249" t="inlineStr">
        <is>
          <t>HALLANDS LÄN</t>
        </is>
      </c>
      <c r="E249" t="inlineStr">
        <is>
          <t>HYLTE</t>
        </is>
      </c>
      <c r="G249" t="n">
        <v>3.7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34407-2019</t>
        </is>
      </c>
      <c r="B250" s="1" t="n">
        <v>43656</v>
      </c>
      <c r="C250" s="1" t="n">
        <v>45627</v>
      </c>
      <c r="D250" t="inlineStr">
        <is>
          <t>HALLANDS LÄN</t>
        </is>
      </c>
      <c r="E250" t="inlineStr">
        <is>
          <t>FALKENBERG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34730-2019</t>
        </is>
      </c>
      <c r="B251" s="1" t="n">
        <v>43657</v>
      </c>
      <c r="C251" s="1" t="n">
        <v>45627</v>
      </c>
      <c r="D251" t="inlineStr">
        <is>
          <t>HALLANDS LÄN</t>
        </is>
      </c>
      <c r="E251" t="inlineStr">
        <is>
          <t>FALKENBERG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34825-2019</t>
        </is>
      </c>
      <c r="B252" s="1" t="n">
        <v>43658</v>
      </c>
      <c r="C252" s="1" t="n">
        <v>45627</v>
      </c>
      <c r="D252" t="inlineStr">
        <is>
          <t>HALLANDS LÄN</t>
        </is>
      </c>
      <c r="E252" t="inlineStr">
        <is>
          <t>FALKENBERG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34835-2019</t>
        </is>
      </c>
      <c r="B253" s="1" t="n">
        <v>43658</v>
      </c>
      <c r="C253" s="1" t="n">
        <v>45627</v>
      </c>
      <c r="D253" t="inlineStr">
        <is>
          <t>HALLANDS LÄN</t>
        </is>
      </c>
      <c r="E253" t="inlineStr">
        <is>
          <t>HYLTE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34826-2019</t>
        </is>
      </c>
      <c r="B254" s="1" t="n">
        <v>43658</v>
      </c>
      <c r="C254" s="1" t="n">
        <v>45627</v>
      </c>
      <c r="D254" t="inlineStr">
        <is>
          <t>HALLANDS LÄN</t>
        </is>
      </c>
      <c r="E254" t="inlineStr">
        <is>
          <t>FALKENBERG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34849-2019</t>
        </is>
      </c>
      <c r="B255" s="1" t="n">
        <v>43658</v>
      </c>
      <c r="C255" s="1" t="n">
        <v>45627</v>
      </c>
      <c r="D255" t="inlineStr">
        <is>
          <t>HALLANDS LÄN</t>
        </is>
      </c>
      <c r="E255" t="inlineStr">
        <is>
          <t>HALMSTAD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34850-2019</t>
        </is>
      </c>
      <c r="B256" s="1" t="n">
        <v>43658</v>
      </c>
      <c r="C256" s="1" t="n">
        <v>45627</v>
      </c>
      <c r="D256" t="inlineStr">
        <is>
          <t>HALLANDS LÄN</t>
        </is>
      </c>
      <c r="E256" t="inlineStr">
        <is>
          <t>HALMSTAD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35077-2019</t>
        </is>
      </c>
      <c r="B257" s="1" t="n">
        <v>43661</v>
      </c>
      <c r="C257" s="1" t="n">
        <v>45627</v>
      </c>
      <c r="D257" t="inlineStr">
        <is>
          <t>HALLANDS LÄN</t>
        </is>
      </c>
      <c r="E257" t="inlineStr">
        <is>
          <t>LAHOLM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35274-2019</t>
        </is>
      </c>
      <c r="B258" s="1" t="n">
        <v>43662</v>
      </c>
      <c r="C258" s="1" t="n">
        <v>45627</v>
      </c>
      <c r="D258" t="inlineStr">
        <is>
          <t>HALLANDS LÄN</t>
        </is>
      </c>
      <c r="E258" t="inlineStr">
        <is>
          <t>KUNGSBACKA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35263-2019</t>
        </is>
      </c>
      <c r="B259" s="1" t="n">
        <v>43662</v>
      </c>
      <c r="C259" s="1" t="n">
        <v>45627</v>
      </c>
      <c r="D259" t="inlineStr">
        <is>
          <t>HALLANDS LÄN</t>
        </is>
      </c>
      <c r="E259" t="inlineStr">
        <is>
          <t>KUNGSBACKA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35265-2019</t>
        </is>
      </c>
      <c r="B260" s="1" t="n">
        <v>43662</v>
      </c>
      <c r="C260" s="1" t="n">
        <v>45627</v>
      </c>
      <c r="D260" t="inlineStr">
        <is>
          <t>HALLANDS LÄN</t>
        </is>
      </c>
      <c r="E260" t="inlineStr">
        <is>
          <t>KUNGSBACKA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35446-2019</t>
        </is>
      </c>
      <c r="B261" s="1" t="n">
        <v>43663</v>
      </c>
      <c r="C261" s="1" t="n">
        <v>45627</v>
      </c>
      <c r="D261" t="inlineStr">
        <is>
          <t>HALLANDS LÄN</t>
        </is>
      </c>
      <c r="E261" t="inlineStr">
        <is>
          <t>KUNGSBACKA</t>
        </is>
      </c>
      <c r="G261" t="n">
        <v>4.3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35435-2019</t>
        </is>
      </c>
      <c r="B262" s="1" t="n">
        <v>43663</v>
      </c>
      <c r="C262" s="1" t="n">
        <v>45627</v>
      </c>
      <c r="D262" t="inlineStr">
        <is>
          <t>HALLANDS LÄN</t>
        </is>
      </c>
      <c r="E262" t="inlineStr">
        <is>
          <t>HYLTE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35652-2019</t>
        </is>
      </c>
      <c r="B263" s="1" t="n">
        <v>43664</v>
      </c>
      <c r="C263" s="1" t="n">
        <v>45627</v>
      </c>
      <c r="D263" t="inlineStr">
        <is>
          <t>HALLANDS LÄN</t>
        </is>
      </c>
      <c r="E263" t="inlineStr">
        <is>
          <t>HYLTE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35774-2019</t>
        </is>
      </c>
      <c r="B264" s="1" t="n">
        <v>43665</v>
      </c>
      <c r="C264" s="1" t="n">
        <v>45627</v>
      </c>
      <c r="D264" t="inlineStr">
        <is>
          <t>HALLANDS LÄN</t>
        </is>
      </c>
      <c r="E264" t="inlineStr">
        <is>
          <t>HYLTE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35892-2019</t>
        </is>
      </c>
      <c r="B265" s="1" t="n">
        <v>43665</v>
      </c>
      <c r="C265" s="1" t="n">
        <v>45627</v>
      </c>
      <c r="D265" t="inlineStr">
        <is>
          <t>HALLANDS LÄN</t>
        </is>
      </c>
      <c r="E265" t="inlineStr">
        <is>
          <t>FALKENBERG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35881-2019</t>
        </is>
      </c>
      <c r="B266" s="1" t="n">
        <v>43665</v>
      </c>
      <c r="C266" s="1" t="n">
        <v>45627</v>
      </c>
      <c r="D266" t="inlineStr">
        <is>
          <t>HALLANDS LÄN</t>
        </is>
      </c>
      <c r="E266" t="inlineStr">
        <is>
          <t>FALKENBERG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35874-2019</t>
        </is>
      </c>
      <c r="B267" s="1" t="n">
        <v>43665</v>
      </c>
      <c r="C267" s="1" t="n">
        <v>45627</v>
      </c>
      <c r="D267" t="inlineStr">
        <is>
          <t>HALLANDS LÄN</t>
        </is>
      </c>
      <c r="E267" t="inlineStr">
        <is>
          <t>HYLTE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35889-2019</t>
        </is>
      </c>
      <c r="B268" s="1" t="n">
        <v>43665</v>
      </c>
      <c r="C268" s="1" t="n">
        <v>45627</v>
      </c>
      <c r="D268" t="inlineStr">
        <is>
          <t>HALLANDS LÄN</t>
        </is>
      </c>
      <c r="E268" t="inlineStr">
        <is>
          <t>FALKENBERG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35866-2019</t>
        </is>
      </c>
      <c r="B269" s="1" t="n">
        <v>43665</v>
      </c>
      <c r="C269" s="1" t="n">
        <v>45627</v>
      </c>
      <c r="D269" t="inlineStr">
        <is>
          <t>HALLANDS LÄN</t>
        </is>
      </c>
      <c r="E269" t="inlineStr">
        <is>
          <t>FALKENBERG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36035-2019</t>
        </is>
      </c>
      <c r="B270" s="1" t="n">
        <v>43668</v>
      </c>
      <c r="C270" s="1" t="n">
        <v>45627</v>
      </c>
      <c r="D270" t="inlineStr">
        <is>
          <t>HALLANDS LÄN</t>
        </is>
      </c>
      <c r="E270" t="inlineStr">
        <is>
          <t>HYLTE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36033-2019</t>
        </is>
      </c>
      <c r="B271" s="1" t="n">
        <v>43668</v>
      </c>
      <c r="C271" s="1" t="n">
        <v>45627</v>
      </c>
      <c r="D271" t="inlineStr">
        <is>
          <t>HALLANDS LÄN</t>
        </is>
      </c>
      <c r="E271" t="inlineStr">
        <is>
          <t>HYLTE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36173-2019</t>
        </is>
      </c>
      <c r="B272" s="1" t="n">
        <v>43668</v>
      </c>
      <c r="C272" s="1" t="n">
        <v>45627</v>
      </c>
      <c r="D272" t="inlineStr">
        <is>
          <t>HALLANDS LÄN</t>
        </is>
      </c>
      <c r="E272" t="inlineStr">
        <is>
          <t>FALKENBERG</t>
        </is>
      </c>
      <c r="G272" t="n">
        <v>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36036-2019</t>
        </is>
      </c>
      <c r="B273" s="1" t="n">
        <v>43668</v>
      </c>
      <c r="C273" s="1" t="n">
        <v>45627</v>
      </c>
      <c r="D273" t="inlineStr">
        <is>
          <t>HALLANDS LÄN</t>
        </is>
      </c>
      <c r="E273" t="inlineStr">
        <is>
          <t>HYLTE</t>
        </is>
      </c>
      <c r="G273" t="n">
        <v>0.3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36030-2019</t>
        </is>
      </c>
      <c r="B274" s="1" t="n">
        <v>43668</v>
      </c>
      <c r="C274" s="1" t="n">
        <v>45627</v>
      </c>
      <c r="D274" t="inlineStr">
        <is>
          <t>HALLANDS LÄN</t>
        </is>
      </c>
      <c r="E274" t="inlineStr">
        <is>
          <t>HYLTE</t>
        </is>
      </c>
      <c r="G274" t="n">
        <v>6.3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36172-2019</t>
        </is>
      </c>
      <c r="B275" s="1" t="n">
        <v>43668</v>
      </c>
      <c r="C275" s="1" t="n">
        <v>45627</v>
      </c>
      <c r="D275" t="inlineStr">
        <is>
          <t>HALLANDS LÄN</t>
        </is>
      </c>
      <c r="E275" t="inlineStr">
        <is>
          <t>FALKENBERG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36216-2019</t>
        </is>
      </c>
      <c r="B276" s="1" t="n">
        <v>43669</v>
      </c>
      <c r="C276" s="1" t="n">
        <v>45627</v>
      </c>
      <c r="D276" t="inlineStr">
        <is>
          <t>HALLANDS LÄN</t>
        </is>
      </c>
      <c r="E276" t="inlineStr">
        <is>
          <t>FALKENBERG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36757-2019</t>
        </is>
      </c>
      <c r="B277" s="1" t="n">
        <v>43672</v>
      </c>
      <c r="C277" s="1" t="n">
        <v>45627</v>
      </c>
      <c r="D277" t="inlineStr">
        <is>
          <t>HALLANDS LÄN</t>
        </is>
      </c>
      <c r="E277" t="inlineStr">
        <is>
          <t>HALMSTAD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37692-2019</t>
        </is>
      </c>
      <c r="B278" s="1" t="n">
        <v>43682</v>
      </c>
      <c r="C278" s="1" t="n">
        <v>45627</v>
      </c>
      <c r="D278" t="inlineStr">
        <is>
          <t>HALLANDS LÄN</t>
        </is>
      </c>
      <c r="E278" t="inlineStr">
        <is>
          <t>HYLTE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37739-2019</t>
        </is>
      </c>
      <c r="B279" s="1" t="n">
        <v>43682</v>
      </c>
      <c r="C279" s="1" t="n">
        <v>45627</v>
      </c>
      <c r="D279" t="inlineStr">
        <is>
          <t>HALLANDS LÄN</t>
        </is>
      </c>
      <c r="E279" t="inlineStr">
        <is>
          <t>LAHOLM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37686-2019</t>
        </is>
      </c>
      <c r="B280" s="1" t="n">
        <v>43682</v>
      </c>
      <c r="C280" s="1" t="n">
        <v>45627</v>
      </c>
      <c r="D280" t="inlineStr">
        <is>
          <t>HALLANDS LÄN</t>
        </is>
      </c>
      <c r="E280" t="inlineStr">
        <is>
          <t>HYLTE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37672-2019</t>
        </is>
      </c>
      <c r="B281" s="1" t="n">
        <v>43682</v>
      </c>
      <c r="C281" s="1" t="n">
        <v>45627</v>
      </c>
      <c r="D281" t="inlineStr">
        <is>
          <t>HALLANDS LÄN</t>
        </is>
      </c>
      <c r="E281" t="inlineStr">
        <is>
          <t>HYLTE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37690-2019</t>
        </is>
      </c>
      <c r="B282" s="1" t="n">
        <v>43682</v>
      </c>
      <c r="C282" s="1" t="n">
        <v>45627</v>
      </c>
      <c r="D282" t="inlineStr">
        <is>
          <t>HALLANDS LÄN</t>
        </is>
      </c>
      <c r="E282" t="inlineStr">
        <is>
          <t>HYLTE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37682-2019</t>
        </is>
      </c>
      <c r="B283" s="1" t="n">
        <v>43682</v>
      </c>
      <c r="C283" s="1" t="n">
        <v>45627</v>
      </c>
      <c r="D283" t="inlineStr">
        <is>
          <t>HALLANDS LÄN</t>
        </is>
      </c>
      <c r="E283" t="inlineStr">
        <is>
          <t>HYLTE</t>
        </is>
      </c>
      <c r="G283" t="n">
        <v>0.4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38397-2019</t>
        </is>
      </c>
      <c r="B284" s="1" t="n">
        <v>43685</v>
      </c>
      <c r="C284" s="1" t="n">
        <v>45627</v>
      </c>
      <c r="D284" t="inlineStr">
        <is>
          <t>HALLANDS LÄN</t>
        </is>
      </c>
      <c r="E284" t="inlineStr">
        <is>
          <t>LAHOLM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38402-2019</t>
        </is>
      </c>
      <c r="B285" s="1" t="n">
        <v>43685</v>
      </c>
      <c r="C285" s="1" t="n">
        <v>45627</v>
      </c>
      <c r="D285" t="inlineStr">
        <is>
          <t>HALLANDS LÄN</t>
        </is>
      </c>
      <c r="E285" t="inlineStr">
        <is>
          <t>LAHOLM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38958-2019</t>
        </is>
      </c>
      <c r="B286" s="1" t="n">
        <v>43685</v>
      </c>
      <c r="C286" s="1" t="n">
        <v>45627</v>
      </c>
      <c r="D286" t="inlineStr">
        <is>
          <t>HALLANDS LÄN</t>
        </is>
      </c>
      <c r="E286" t="inlineStr">
        <is>
          <t>HALMSTAD</t>
        </is>
      </c>
      <c r="G286" t="n">
        <v>6.9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38962-2019</t>
        </is>
      </c>
      <c r="B287" s="1" t="n">
        <v>43685</v>
      </c>
      <c r="C287" s="1" t="n">
        <v>45627</v>
      </c>
      <c r="D287" t="inlineStr">
        <is>
          <t>HALLANDS LÄN</t>
        </is>
      </c>
      <c r="E287" t="inlineStr">
        <is>
          <t>HALMSTAD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38933-2019</t>
        </is>
      </c>
      <c r="B288" s="1" t="n">
        <v>43689</v>
      </c>
      <c r="C288" s="1" t="n">
        <v>45627</v>
      </c>
      <c r="D288" t="inlineStr">
        <is>
          <t>HALLANDS LÄN</t>
        </is>
      </c>
      <c r="E288" t="inlineStr">
        <is>
          <t>HYLTE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38968-2019</t>
        </is>
      </c>
      <c r="B289" s="1" t="n">
        <v>43689</v>
      </c>
      <c r="C289" s="1" t="n">
        <v>45627</v>
      </c>
      <c r="D289" t="inlineStr">
        <is>
          <t>HALLANDS LÄN</t>
        </is>
      </c>
      <c r="E289" t="inlineStr">
        <is>
          <t>FALKENBERG</t>
        </is>
      </c>
      <c r="G289" t="n">
        <v>6.4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39657-2019</t>
        </is>
      </c>
      <c r="B290" s="1" t="n">
        <v>43691</v>
      </c>
      <c r="C290" s="1" t="n">
        <v>45627</v>
      </c>
      <c r="D290" t="inlineStr">
        <is>
          <t>HALLANDS LÄN</t>
        </is>
      </c>
      <c r="E290" t="inlineStr">
        <is>
          <t>HALMSTAD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39792-2019</t>
        </is>
      </c>
      <c r="B291" s="1" t="n">
        <v>43692</v>
      </c>
      <c r="C291" s="1" t="n">
        <v>45627</v>
      </c>
      <c r="D291" t="inlineStr">
        <is>
          <t>HALLANDS LÄN</t>
        </is>
      </c>
      <c r="E291" t="inlineStr">
        <is>
          <t>FALKENBERG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39820-2019</t>
        </is>
      </c>
      <c r="B292" s="1" t="n">
        <v>43692</v>
      </c>
      <c r="C292" s="1" t="n">
        <v>45627</v>
      </c>
      <c r="D292" t="inlineStr">
        <is>
          <t>HALLANDS LÄN</t>
        </is>
      </c>
      <c r="E292" t="inlineStr">
        <is>
          <t>HALMSTAD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40574-2019</t>
        </is>
      </c>
      <c r="B293" s="1" t="n">
        <v>43696</v>
      </c>
      <c r="C293" s="1" t="n">
        <v>45627</v>
      </c>
      <c r="D293" t="inlineStr">
        <is>
          <t>HALLANDS LÄN</t>
        </is>
      </c>
      <c r="E293" t="inlineStr">
        <is>
          <t>LAHOLM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41810-2019</t>
        </is>
      </c>
      <c r="B294" s="1" t="n">
        <v>43697</v>
      </c>
      <c r="C294" s="1" t="n">
        <v>45627</v>
      </c>
      <c r="D294" t="inlineStr">
        <is>
          <t>HALLANDS LÄN</t>
        </is>
      </c>
      <c r="E294" t="inlineStr">
        <is>
          <t>VARBERG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41813-2019</t>
        </is>
      </c>
      <c r="B295" s="1" t="n">
        <v>43697</v>
      </c>
      <c r="C295" s="1" t="n">
        <v>45627</v>
      </c>
      <c r="D295" t="inlineStr">
        <is>
          <t>HALLANDS LÄN</t>
        </is>
      </c>
      <c r="E295" t="inlineStr">
        <is>
          <t>VARBERG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41064-2019</t>
        </is>
      </c>
      <c r="B296" s="1" t="n">
        <v>43698</v>
      </c>
      <c r="C296" s="1" t="n">
        <v>45627</v>
      </c>
      <c r="D296" t="inlineStr">
        <is>
          <t>HALLANDS LÄN</t>
        </is>
      </c>
      <c r="E296" t="inlineStr">
        <is>
          <t>HALMSTAD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41093-2019</t>
        </is>
      </c>
      <c r="B297" s="1" t="n">
        <v>43698</v>
      </c>
      <c r="C297" s="1" t="n">
        <v>45627</v>
      </c>
      <c r="D297" t="inlineStr">
        <is>
          <t>HALLANDS LÄN</t>
        </is>
      </c>
      <c r="E297" t="inlineStr">
        <is>
          <t>LAHOLM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41177-2019</t>
        </is>
      </c>
      <c r="B298" s="1" t="n">
        <v>43698</v>
      </c>
      <c r="C298" s="1" t="n">
        <v>45627</v>
      </c>
      <c r="D298" t="inlineStr">
        <is>
          <t>HALLANDS LÄN</t>
        </is>
      </c>
      <c r="E298" t="inlineStr">
        <is>
          <t>HALMSTAD</t>
        </is>
      </c>
      <c r="G298" t="n">
        <v>10.1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41295-2019</t>
        </is>
      </c>
      <c r="B299" s="1" t="n">
        <v>43698</v>
      </c>
      <c r="C299" s="1" t="n">
        <v>45627</v>
      </c>
      <c r="D299" t="inlineStr">
        <is>
          <t>HALLANDS LÄN</t>
        </is>
      </c>
      <c r="E299" t="inlineStr">
        <is>
          <t>HALMSTAD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41302-2019</t>
        </is>
      </c>
      <c r="B300" s="1" t="n">
        <v>43698</v>
      </c>
      <c r="C300" s="1" t="n">
        <v>45627</v>
      </c>
      <c r="D300" t="inlineStr">
        <is>
          <t>HALLANDS LÄN</t>
        </is>
      </c>
      <c r="E300" t="inlineStr">
        <is>
          <t>HALMSTAD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41301-2019</t>
        </is>
      </c>
      <c r="B301" s="1" t="n">
        <v>43698</v>
      </c>
      <c r="C301" s="1" t="n">
        <v>45627</v>
      </c>
      <c r="D301" t="inlineStr">
        <is>
          <t>HALLANDS LÄN</t>
        </is>
      </c>
      <c r="E301" t="inlineStr">
        <is>
          <t>HALMSTAD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42194-2019</t>
        </is>
      </c>
      <c r="B302" s="1" t="n">
        <v>43698</v>
      </c>
      <c r="C302" s="1" t="n">
        <v>45627</v>
      </c>
      <c r="D302" t="inlineStr">
        <is>
          <t>HALLANDS LÄN</t>
        </is>
      </c>
      <c r="E302" t="inlineStr">
        <is>
          <t>VARBERG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42233-2019</t>
        </is>
      </c>
      <c r="B303" s="1" t="n">
        <v>43703</v>
      </c>
      <c r="C303" s="1" t="n">
        <v>45627</v>
      </c>
      <c r="D303" t="inlineStr">
        <is>
          <t>HALLANDS LÄN</t>
        </is>
      </c>
      <c r="E303" t="inlineStr">
        <is>
          <t>KUNGSBACKA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42189-2019</t>
        </is>
      </c>
      <c r="B304" s="1" t="n">
        <v>43703</v>
      </c>
      <c r="C304" s="1" t="n">
        <v>45627</v>
      </c>
      <c r="D304" t="inlineStr">
        <is>
          <t>HALLANDS LÄN</t>
        </is>
      </c>
      <c r="E304" t="inlineStr">
        <is>
          <t>LAHOLM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42465-2019</t>
        </is>
      </c>
      <c r="B305" s="1" t="n">
        <v>43704</v>
      </c>
      <c r="C305" s="1" t="n">
        <v>45627</v>
      </c>
      <c r="D305" t="inlineStr">
        <is>
          <t>HALLANDS LÄN</t>
        </is>
      </c>
      <c r="E305" t="inlineStr">
        <is>
          <t>LAHOLM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43453-2019</t>
        </is>
      </c>
      <c r="B306" s="1" t="n">
        <v>43704</v>
      </c>
      <c r="C306" s="1" t="n">
        <v>45627</v>
      </c>
      <c r="D306" t="inlineStr">
        <is>
          <t>HALLANDS LÄN</t>
        </is>
      </c>
      <c r="E306" t="inlineStr">
        <is>
          <t>KUNGSBACKA</t>
        </is>
      </c>
      <c r="G306" t="n">
        <v>4.1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42738-2019</t>
        </is>
      </c>
      <c r="B307" s="1" t="n">
        <v>43704</v>
      </c>
      <c r="C307" s="1" t="n">
        <v>45627</v>
      </c>
      <c r="D307" t="inlineStr">
        <is>
          <t>HALLANDS LÄN</t>
        </is>
      </c>
      <c r="E307" t="inlineStr">
        <is>
          <t>LAHOLM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42876-2019</t>
        </is>
      </c>
      <c r="B308" s="1" t="n">
        <v>43705</v>
      </c>
      <c r="C308" s="1" t="n">
        <v>45627</v>
      </c>
      <c r="D308" t="inlineStr">
        <is>
          <t>HALLANDS LÄN</t>
        </is>
      </c>
      <c r="E308" t="inlineStr">
        <is>
          <t>LAHOLM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42934-2019</t>
        </is>
      </c>
      <c r="B309" s="1" t="n">
        <v>43705</v>
      </c>
      <c r="C309" s="1" t="n">
        <v>45627</v>
      </c>
      <c r="D309" t="inlineStr">
        <is>
          <t>HALLANDS LÄN</t>
        </is>
      </c>
      <c r="E309" t="inlineStr">
        <is>
          <t>FALKENBERG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42989-2019</t>
        </is>
      </c>
      <c r="B310" s="1" t="n">
        <v>43705</v>
      </c>
      <c r="C310" s="1" t="n">
        <v>45627</v>
      </c>
      <c r="D310" t="inlineStr">
        <is>
          <t>HALLANDS LÄN</t>
        </is>
      </c>
      <c r="E310" t="inlineStr">
        <is>
          <t>HYLTE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43497-2019</t>
        </is>
      </c>
      <c r="B311" s="1" t="n">
        <v>43706</v>
      </c>
      <c r="C311" s="1" t="n">
        <v>45627</v>
      </c>
      <c r="D311" t="inlineStr">
        <is>
          <t>HALLANDS LÄN</t>
        </is>
      </c>
      <c r="E311" t="inlineStr">
        <is>
          <t>HYLTE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43888-2019</t>
        </is>
      </c>
      <c r="B312" s="1" t="n">
        <v>43707</v>
      </c>
      <c r="C312" s="1" t="n">
        <v>45627</v>
      </c>
      <c r="D312" t="inlineStr">
        <is>
          <t>HALLANDS LÄN</t>
        </is>
      </c>
      <c r="E312" t="inlineStr">
        <is>
          <t>VARBERG</t>
        </is>
      </c>
      <c r="G312" t="n">
        <v>17.6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43936-2019</t>
        </is>
      </c>
      <c r="B313" s="1" t="n">
        <v>43707</v>
      </c>
      <c r="C313" s="1" t="n">
        <v>45627</v>
      </c>
      <c r="D313" t="inlineStr">
        <is>
          <t>HALLANDS LÄN</t>
        </is>
      </c>
      <c r="E313" t="inlineStr">
        <is>
          <t>KUNGSBACKA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44084-2019</t>
        </is>
      </c>
      <c r="B314" s="1" t="n">
        <v>43710</v>
      </c>
      <c r="C314" s="1" t="n">
        <v>45627</v>
      </c>
      <c r="D314" t="inlineStr">
        <is>
          <t>HALLANDS LÄN</t>
        </is>
      </c>
      <c r="E314" t="inlineStr">
        <is>
          <t>FALKENBERG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44159-2019</t>
        </is>
      </c>
      <c r="B315" s="1" t="n">
        <v>43710</v>
      </c>
      <c r="C315" s="1" t="n">
        <v>45627</v>
      </c>
      <c r="D315" t="inlineStr">
        <is>
          <t>HALLANDS LÄN</t>
        </is>
      </c>
      <c r="E315" t="inlineStr">
        <is>
          <t>LAHOLM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44258-2019</t>
        </is>
      </c>
      <c r="B316" s="1" t="n">
        <v>43710</v>
      </c>
      <c r="C316" s="1" t="n">
        <v>45627</v>
      </c>
      <c r="D316" t="inlineStr">
        <is>
          <t>HALLANDS LÄN</t>
        </is>
      </c>
      <c r="E316" t="inlineStr">
        <is>
          <t>FALKENBERG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44257-2019</t>
        </is>
      </c>
      <c r="B317" s="1" t="n">
        <v>43710</v>
      </c>
      <c r="C317" s="1" t="n">
        <v>45627</v>
      </c>
      <c r="D317" t="inlineStr">
        <is>
          <t>HALLANDS LÄN</t>
        </is>
      </c>
      <c r="E317" t="inlineStr">
        <is>
          <t>FALKENBERG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44175-2019</t>
        </is>
      </c>
      <c r="B318" s="1" t="n">
        <v>43710</v>
      </c>
      <c r="C318" s="1" t="n">
        <v>45627</v>
      </c>
      <c r="D318" t="inlineStr">
        <is>
          <t>HALLANDS LÄN</t>
        </is>
      </c>
      <c r="E318" t="inlineStr">
        <is>
          <t>HALMSTAD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44170-2019</t>
        </is>
      </c>
      <c r="B319" s="1" t="n">
        <v>43710</v>
      </c>
      <c r="C319" s="1" t="n">
        <v>45627</v>
      </c>
      <c r="D319" t="inlineStr">
        <is>
          <t>HALLANDS LÄN</t>
        </is>
      </c>
      <c r="E319" t="inlineStr">
        <is>
          <t>HALMSTAD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45821-2019</t>
        </is>
      </c>
      <c r="B320" s="1" t="n">
        <v>43712</v>
      </c>
      <c r="C320" s="1" t="n">
        <v>45627</v>
      </c>
      <c r="D320" t="inlineStr">
        <is>
          <t>HALLANDS LÄN</t>
        </is>
      </c>
      <c r="E320" t="inlineStr">
        <is>
          <t>HYLTE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46065-2019</t>
        </is>
      </c>
      <c r="B321" s="1" t="n">
        <v>43712</v>
      </c>
      <c r="C321" s="1" t="n">
        <v>45627</v>
      </c>
      <c r="D321" t="inlineStr">
        <is>
          <t>HALLANDS LÄN</t>
        </is>
      </c>
      <c r="E321" t="inlineStr">
        <is>
          <t>HYLTE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46034-2019</t>
        </is>
      </c>
      <c r="B322" s="1" t="n">
        <v>43712</v>
      </c>
      <c r="C322" s="1" t="n">
        <v>45627</v>
      </c>
      <c r="D322" t="inlineStr">
        <is>
          <t>HALLANDS LÄN</t>
        </is>
      </c>
      <c r="E322" t="inlineStr">
        <is>
          <t>HYLTE</t>
        </is>
      </c>
      <c r="G322" t="n">
        <v>3.7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44927-2019</t>
        </is>
      </c>
      <c r="B323" s="1" t="n">
        <v>43713</v>
      </c>
      <c r="C323" s="1" t="n">
        <v>45627</v>
      </c>
      <c r="D323" t="inlineStr">
        <is>
          <t>HALLANDS LÄN</t>
        </is>
      </c>
      <c r="E323" t="inlineStr">
        <is>
          <t>VARBERG</t>
        </is>
      </c>
      <c r="G323" t="n">
        <v>5.6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46188-2019</t>
        </is>
      </c>
      <c r="B324" s="1" t="n">
        <v>43718</v>
      </c>
      <c r="C324" s="1" t="n">
        <v>45627</v>
      </c>
      <c r="D324" t="inlineStr">
        <is>
          <t>HALLANDS LÄN</t>
        </is>
      </c>
      <c r="E324" t="inlineStr">
        <is>
          <t>VARBERG</t>
        </is>
      </c>
      <c r="G324" t="n">
        <v>7.8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46030-2019</t>
        </is>
      </c>
      <c r="B325" s="1" t="n">
        <v>43718</v>
      </c>
      <c r="C325" s="1" t="n">
        <v>45627</v>
      </c>
      <c r="D325" t="inlineStr">
        <is>
          <t>HALLANDS LÄN</t>
        </is>
      </c>
      <c r="E325" t="inlineStr">
        <is>
          <t>HALMSTAD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46181-2019</t>
        </is>
      </c>
      <c r="B326" s="1" t="n">
        <v>43718</v>
      </c>
      <c r="C326" s="1" t="n">
        <v>45627</v>
      </c>
      <c r="D326" t="inlineStr">
        <is>
          <t>HALLANDS LÄN</t>
        </is>
      </c>
      <c r="E326" t="inlineStr">
        <is>
          <t>VARBERG</t>
        </is>
      </c>
      <c r="G326" t="n">
        <v>2.6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46041-2019</t>
        </is>
      </c>
      <c r="B327" s="1" t="n">
        <v>43718</v>
      </c>
      <c r="C327" s="1" t="n">
        <v>45627</v>
      </c>
      <c r="D327" t="inlineStr">
        <is>
          <t>HALLANDS LÄN</t>
        </is>
      </c>
      <c r="E327" t="inlineStr">
        <is>
          <t>HALMSTAD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46035-2019</t>
        </is>
      </c>
      <c r="B328" s="1" t="n">
        <v>43718</v>
      </c>
      <c r="C328" s="1" t="n">
        <v>45627</v>
      </c>
      <c r="D328" t="inlineStr">
        <is>
          <t>HALLANDS LÄN</t>
        </is>
      </c>
      <c r="E328" t="inlineStr">
        <is>
          <t>HALMSTAD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46042-2019</t>
        </is>
      </c>
      <c r="B329" s="1" t="n">
        <v>43718</v>
      </c>
      <c r="C329" s="1" t="n">
        <v>45627</v>
      </c>
      <c r="D329" t="inlineStr">
        <is>
          <t>HALLANDS LÄN</t>
        </is>
      </c>
      <c r="E329" t="inlineStr">
        <is>
          <t>HALMSTAD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46082-2019</t>
        </is>
      </c>
      <c r="B330" s="1" t="n">
        <v>43718</v>
      </c>
      <c r="C330" s="1" t="n">
        <v>45627</v>
      </c>
      <c r="D330" t="inlineStr">
        <is>
          <t>HALLANDS LÄN</t>
        </is>
      </c>
      <c r="E330" t="inlineStr">
        <is>
          <t>LAHOLM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46088-2019</t>
        </is>
      </c>
      <c r="B331" s="1" t="n">
        <v>43718</v>
      </c>
      <c r="C331" s="1" t="n">
        <v>45627</v>
      </c>
      <c r="D331" t="inlineStr">
        <is>
          <t>HALLANDS LÄN</t>
        </is>
      </c>
      <c r="E331" t="inlineStr">
        <is>
          <t>FALKENBERG</t>
        </is>
      </c>
      <c r="G331" t="n">
        <v>3.5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46025-2019</t>
        </is>
      </c>
      <c r="B332" s="1" t="n">
        <v>43718</v>
      </c>
      <c r="C332" s="1" t="n">
        <v>45627</v>
      </c>
      <c r="D332" t="inlineStr">
        <is>
          <t>HALLANDS LÄN</t>
        </is>
      </c>
      <c r="E332" t="inlineStr">
        <is>
          <t>HALMSTAD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46861-2019</t>
        </is>
      </c>
      <c r="B333" s="1" t="n">
        <v>43719</v>
      </c>
      <c r="C333" s="1" t="n">
        <v>45627</v>
      </c>
      <c r="D333" t="inlineStr">
        <is>
          <t>HALLANDS LÄN</t>
        </is>
      </c>
      <c r="E333" t="inlineStr">
        <is>
          <t>VARBERG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46846-2019</t>
        </is>
      </c>
      <c r="B334" s="1" t="n">
        <v>43720</v>
      </c>
      <c r="C334" s="1" t="n">
        <v>45627</v>
      </c>
      <c r="D334" t="inlineStr">
        <is>
          <t>HALLANDS LÄN</t>
        </is>
      </c>
      <c r="E334" t="inlineStr">
        <is>
          <t>LAHOLM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47139-2019</t>
        </is>
      </c>
      <c r="B335" s="1" t="n">
        <v>43721</v>
      </c>
      <c r="C335" s="1" t="n">
        <v>45627</v>
      </c>
      <c r="D335" t="inlineStr">
        <is>
          <t>HALLANDS LÄN</t>
        </is>
      </c>
      <c r="E335" t="inlineStr">
        <is>
          <t>HALMSTAD</t>
        </is>
      </c>
      <c r="G335" t="n">
        <v>4.2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47480-2019</t>
        </is>
      </c>
      <c r="B336" s="1" t="n">
        <v>43724</v>
      </c>
      <c r="C336" s="1" t="n">
        <v>45627</v>
      </c>
      <c r="D336" t="inlineStr">
        <is>
          <t>HALLANDS LÄN</t>
        </is>
      </c>
      <c r="E336" t="inlineStr">
        <is>
          <t>HALMSTAD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47597-2019</t>
        </is>
      </c>
      <c r="B337" s="1" t="n">
        <v>43724</v>
      </c>
      <c r="C337" s="1" t="n">
        <v>45627</v>
      </c>
      <c r="D337" t="inlineStr">
        <is>
          <t>HALLANDS LÄN</t>
        </is>
      </c>
      <c r="E337" t="inlineStr">
        <is>
          <t>VARBERG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47711-2019</t>
        </is>
      </c>
      <c r="B338" s="1" t="n">
        <v>43724</v>
      </c>
      <c r="C338" s="1" t="n">
        <v>45627</v>
      </c>
      <c r="D338" t="inlineStr">
        <is>
          <t>HALLANDS LÄN</t>
        </is>
      </c>
      <c r="E338" t="inlineStr">
        <is>
          <t>LAHOLM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48619-2019</t>
        </is>
      </c>
      <c r="B339" s="1" t="n">
        <v>43727</v>
      </c>
      <c r="C339" s="1" t="n">
        <v>45627</v>
      </c>
      <c r="D339" t="inlineStr">
        <is>
          <t>HALLANDS LÄN</t>
        </is>
      </c>
      <c r="E339" t="inlineStr">
        <is>
          <t>HALMSTAD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48694-2019</t>
        </is>
      </c>
      <c r="B340" s="1" t="n">
        <v>43728</v>
      </c>
      <c r="C340" s="1" t="n">
        <v>45627</v>
      </c>
      <c r="D340" t="inlineStr">
        <is>
          <t>HALLANDS LÄN</t>
        </is>
      </c>
      <c r="E340" t="inlineStr">
        <is>
          <t>VARBERG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49072-2019</t>
        </is>
      </c>
      <c r="B341" s="1" t="n">
        <v>43731</v>
      </c>
      <c r="C341" s="1" t="n">
        <v>45627</v>
      </c>
      <c r="D341" t="inlineStr">
        <is>
          <t>HALLANDS LÄN</t>
        </is>
      </c>
      <c r="E341" t="inlineStr">
        <is>
          <t>VARBERG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50041-2019</t>
        </is>
      </c>
      <c r="B342" s="1" t="n">
        <v>43731</v>
      </c>
      <c r="C342" s="1" t="n">
        <v>45627</v>
      </c>
      <c r="D342" t="inlineStr">
        <is>
          <t>HALLANDS LÄN</t>
        </is>
      </c>
      <c r="E342" t="inlineStr">
        <is>
          <t>HYLTE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50043-2019</t>
        </is>
      </c>
      <c r="B343" s="1" t="n">
        <v>43731</v>
      </c>
      <c r="C343" s="1" t="n">
        <v>45627</v>
      </c>
      <c r="D343" t="inlineStr">
        <is>
          <t>HALLANDS LÄN</t>
        </is>
      </c>
      <c r="E343" t="inlineStr">
        <is>
          <t>HYLTE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51527-2019</t>
        </is>
      </c>
      <c r="B344" s="1" t="n">
        <v>43732</v>
      </c>
      <c r="C344" s="1" t="n">
        <v>45627</v>
      </c>
      <c r="D344" t="inlineStr">
        <is>
          <t>HALLANDS LÄN</t>
        </is>
      </c>
      <c r="E344" t="inlineStr">
        <is>
          <t>FALKENBERG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49394-2019</t>
        </is>
      </c>
      <c r="B345" s="1" t="n">
        <v>43732</v>
      </c>
      <c r="C345" s="1" t="n">
        <v>45627</v>
      </c>
      <c r="D345" t="inlineStr">
        <is>
          <t>HALLANDS LÄN</t>
        </is>
      </c>
      <c r="E345" t="inlineStr">
        <is>
          <t>HYLTE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49479-2019</t>
        </is>
      </c>
      <c r="B346" s="1" t="n">
        <v>43732</v>
      </c>
      <c r="C346" s="1" t="n">
        <v>45627</v>
      </c>
      <c r="D346" t="inlineStr">
        <is>
          <t>HALLANDS LÄN</t>
        </is>
      </c>
      <c r="E346" t="inlineStr">
        <is>
          <t>FALKENBERG</t>
        </is>
      </c>
      <c r="G346" t="n">
        <v>10.1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49405-2019</t>
        </is>
      </c>
      <c r="B347" s="1" t="n">
        <v>43732</v>
      </c>
      <c r="C347" s="1" t="n">
        <v>45627</v>
      </c>
      <c r="D347" t="inlineStr">
        <is>
          <t>HALLANDS LÄN</t>
        </is>
      </c>
      <c r="E347" t="inlineStr">
        <is>
          <t>HYLTE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49808-2019</t>
        </is>
      </c>
      <c r="B348" s="1" t="n">
        <v>43733</v>
      </c>
      <c r="C348" s="1" t="n">
        <v>45627</v>
      </c>
      <c r="D348" t="inlineStr">
        <is>
          <t>HALLANDS LÄN</t>
        </is>
      </c>
      <c r="E348" t="inlineStr">
        <is>
          <t>HALMSTAD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52070-2019</t>
        </is>
      </c>
      <c r="B349" s="1" t="n">
        <v>43734</v>
      </c>
      <c r="C349" s="1" t="n">
        <v>45627</v>
      </c>
      <c r="D349" t="inlineStr">
        <is>
          <t>HALLANDS LÄN</t>
        </is>
      </c>
      <c r="E349" t="inlineStr">
        <is>
          <t>VARBERG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52666-2019</t>
        </is>
      </c>
      <c r="B350" s="1" t="n">
        <v>43738</v>
      </c>
      <c r="C350" s="1" t="n">
        <v>45627</v>
      </c>
      <c r="D350" t="inlineStr">
        <is>
          <t>HALLANDS LÄN</t>
        </is>
      </c>
      <c r="E350" t="inlineStr">
        <is>
          <t>HYLTE</t>
        </is>
      </c>
      <c r="G350" t="n">
        <v>4.2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51308-2019</t>
        </is>
      </c>
      <c r="B351" s="1" t="n">
        <v>43739</v>
      </c>
      <c r="C351" s="1" t="n">
        <v>45627</v>
      </c>
      <c r="D351" t="inlineStr">
        <is>
          <t>HALLANDS LÄN</t>
        </is>
      </c>
      <c r="E351" t="inlineStr">
        <is>
          <t>HYLTE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51306-2019</t>
        </is>
      </c>
      <c r="B352" s="1" t="n">
        <v>43739</v>
      </c>
      <c r="C352" s="1" t="n">
        <v>45627</v>
      </c>
      <c r="D352" t="inlineStr">
        <is>
          <t>HALLANDS LÄN</t>
        </is>
      </c>
      <c r="E352" t="inlineStr">
        <is>
          <t>HYLTE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51495-2019</t>
        </is>
      </c>
      <c r="B353" s="1" t="n">
        <v>43740</v>
      </c>
      <c r="C353" s="1" t="n">
        <v>45627</v>
      </c>
      <c r="D353" t="inlineStr">
        <is>
          <t>HALLANDS LÄN</t>
        </is>
      </c>
      <c r="E353" t="inlineStr">
        <is>
          <t>KUNGSBACKA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51792-2019</t>
        </is>
      </c>
      <c r="B354" s="1" t="n">
        <v>43741</v>
      </c>
      <c r="C354" s="1" t="n">
        <v>45627</v>
      </c>
      <c r="D354" t="inlineStr">
        <is>
          <t>HALLANDS LÄN</t>
        </is>
      </c>
      <c r="E354" t="inlineStr">
        <is>
          <t>LAHOLM</t>
        </is>
      </c>
      <c r="G354" t="n">
        <v>3.8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51807-2019</t>
        </is>
      </c>
      <c r="B355" s="1" t="n">
        <v>43741</v>
      </c>
      <c r="C355" s="1" t="n">
        <v>45627</v>
      </c>
      <c r="D355" t="inlineStr">
        <is>
          <t>HALLANDS LÄN</t>
        </is>
      </c>
      <c r="E355" t="inlineStr">
        <is>
          <t>HYLTE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51965-2019</t>
        </is>
      </c>
      <c r="B356" s="1" t="n">
        <v>43742</v>
      </c>
      <c r="C356" s="1" t="n">
        <v>45627</v>
      </c>
      <c r="D356" t="inlineStr">
        <is>
          <t>HALLANDS LÄN</t>
        </is>
      </c>
      <c r="E356" t="inlineStr">
        <is>
          <t>VARBERG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52007-2019</t>
        </is>
      </c>
      <c r="B357" s="1" t="n">
        <v>43742</v>
      </c>
      <c r="C357" s="1" t="n">
        <v>45627</v>
      </c>
      <c r="D357" t="inlineStr">
        <is>
          <t>HALLANDS LÄN</t>
        </is>
      </c>
      <c r="E357" t="inlineStr">
        <is>
          <t>KUNGSBACKA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52003-2019</t>
        </is>
      </c>
      <c r="B358" s="1" t="n">
        <v>43742</v>
      </c>
      <c r="C358" s="1" t="n">
        <v>45627</v>
      </c>
      <c r="D358" t="inlineStr">
        <is>
          <t>HALLANDS LÄN</t>
        </is>
      </c>
      <c r="E358" t="inlineStr">
        <is>
          <t>HYLTE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51977-2019</t>
        </is>
      </c>
      <c r="B359" s="1" t="n">
        <v>43742</v>
      </c>
      <c r="C359" s="1" t="n">
        <v>45627</v>
      </c>
      <c r="D359" t="inlineStr">
        <is>
          <t>HALLANDS LÄN</t>
        </is>
      </c>
      <c r="E359" t="inlineStr">
        <is>
          <t>HYLTE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52002-2019</t>
        </is>
      </c>
      <c r="B360" s="1" t="n">
        <v>43742</v>
      </c>
      <c r="C360" s="1" t="n">
        <v>45627</v>
      </c>
      <c r="D360" t="inlineStr">
        <is>
          <t>HALLANDS LÄN</t>
        </is>
      </c>
      <c r="E360" t="inlineStr">
        <is>
          <t>HYLTE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52133-2019</t>
        </is>
      </c>
      <c r="B361" s="1" t="n">
        <v>43742</v>
      </c>
      <c r="C361" s="1" t="n">
        <v>45627</v>
      </c>
      <c r="D361" t="inlineStr">
        <is>
          <t>HALLANDS LÄN</t>
        </is>
      </c>
      <c r="E361" t="inlineStr">
        <is>
          <t>VARBERG</t>
        </is>
      </c>
      <c r="G361" t="n">
        <v>3.8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52108-2019</t>
        </is>
      </c>
      <c r="B362" s="1" t="n">
        <v>43742</v>
      </c>
      <c r="C362" s="1" t="n">
        <v>45627</v>
      </c>
      <c r="D362" t="inlineStr">
        <is>
          <t>HALLANDS LÄN</t>
        </is>
      </c>
      <c r="E362" t="inlineStr">
        <is>
          <t>HALMSTAD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53861-2019</t>
        </is>
      </c>
      <c r="B363" s="1" t="n">
        <v>43742</v>
      </c>
      <c r="C363" s="1" t="n">
        <v>45627</v>
      </c>
      <c r="D363" t="inlineStr">
        <is>
          <t>HALLANDS LÄN</t>
        </is>
      </c>
      <c r="E363" t="inlineStr">
        <is>
          <t>HALMSTAD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52106-2019</t>
        </is>
      </c>
      <c r="B364" s="1" t="n">
        <v>43742</v>
      </c>
      <c r="C364" s="1" t="n">
        <v>45627</v>
      </c>
      <c r="D364" t="inlineStr">
        <is>
          <t>HALLANDS LÄN</t>
        </is>
      </c>
      <c r="E364" t="inlineStr">
        <is>
          <t>HALMSTAD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52118-2019</t>
        </is>
      </c>
      <c r="B365" s="1" t="n">
        <v>43742</v>
      </c>
      <c r="C365" s="1" t="n">
        <v>45627</v>
      </c>
      <c r="D365" t="inlineStr">
        <is>
          <t>HALLANDS LÄN</t>
        </is>
      </c>
      <c r="E365" t="inlineStr">
        <is>
          <t>HALMSTAD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51964-2019</t>
        </is>
      </c>
      <c r="B366" s="1" t="n">
        <v>43742</v>
      </c>
      <c r="C366" s="1" t="n">
        <v>45627</v>
      </c>
      <c r="D366" t="inlineStr">
        <is>
          <t>HALLANDS LÄN</t>
        </is>
      </c>
      <c r="E366" t="inlineStr">
        <is>
          <t>VARBERG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52749-2019</t>
        </is>
      </c>
      <c r="B367" s="1" t="n">
        <v>43746</v>
      </c>
      <c r="C367" s="1" t="n">
        <v>45627</v>
      </c>
      <c r="D367" t="inlineStr">
        <is>
          <t>HALLANDS LÄN</t>
        </is>
      </c>
      <c r="E367" t="inlineStr">
        <is>
          <t>LAHOLM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53053-2019</t>
        </is>
      </c>
      <c r="B368" s="1" t="n">
        <v>43747</v>
      </c>
      <c r="C368" s="1" t="n">
        <v>45627</v>
      </c>
      <c r="D368" t="inlineStr">
        <is>
          <t>HALLANDS LÄN</t>
        </is>
      </c>
      <c r="E368" t="inlineStr">
        <is>
          <t>VARBERG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54444-2019</t>
        </is>
      </c>
      <c r="B369" s="1" t="n">
        <v>43747</v>
      </c>
      <c r="C369" s="1" t="n">
        <v>45627</v>
      </c>
      <c r="D369" t="inlineStr">
        <is>
          <t>HALLANDS LÄN</t>
        </is>
      </c>
      <c r="E369" t="inlineStr">
        <is>
          <t>VARBERG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54439-2019</t>
        </is>
      </c>
      <c r="B370" s="1" t="n">
        <v>43747</v>
      </c>
      <c r="C370" s="1" t="n">
        <v>45627</v>
      </c>
      <c r="D370" t="inlineStr">
        <is>
          <t>HALLANDS LÄN</t>
        </is>
      </c>
      <c r="E370" t="inlineStr">
        <is>
          <t>VARBERG</t>
        </is>
      </c>
      <c r="G370" t="n">
        <v>8.300000000000001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53283-2019</t>
        </is>
      </c>
      <c r="B371" s="1" t="n">
        <v>43748</v>
      </c>
      <c r="C371" s="1" t="n">
        <v>45627</v>
      </c>
      <c r="D371" t="inlineStr">
        <is>
          <t>HALLANDS LÄN</t>
        </is>
      </c>
      <c r="E371" t="inlineStr">
        <is>
          <t>HALMSTAD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54623-2019</t>
        </is>
      </c>
      <c r="B372" s="1" t="n">
        <v>43748</v>
      </c>
      <c r="C372" s="1" t="n">
        <v>45627</v>
      </c>
      <c r="D372" t="inlineStr">
        <is>
          <t>HALLANDS LÄN</t>
        </is>
      </c>
      <c r="E372" t="inlineStr">
        <is>
          <t>FALKENBERG</t>
        </is>
      </c>
      <c r="G372" t="n">
        <v>0.2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54646-2019</t>
        </is>
      </c>
      <c r="B373" s="1" t="n">
        <v>43748</v>
      </c>
      <c r="C373" s="1" t="n">
        <v>45627</v>
      </c>
      <c r="D373" t="inlineStr">
        <is>
          <t>HALLANDS LÄN</t>
        </is>
      </c>
      <c r="E373" t="inlineStr">
        <is>
          <t>VARBERG</t>
        </is>
      </c>
      <c r="G373" t="n">
        <v>5.6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53288-2019</t>
        </is>
      </c>
      <c r="B374" s="1" t="n">
        <v>43748</v>
      </c>
      <c r="C374" s="1" t="n">
        <v>45627</v>
      </c>
      <c r="D374" t="inlineStr">
        <is>
          <t>HALLANDS LÄN</t>
        </is>
      </c>
      <c r="E374" t="inlineStr">
        <is>
          <t>KUNGSBACKA</t>
        </is>
      </c>
      <c r="G374" t="n">
        <v>7.6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53587-2019</t>
        </is>
      </c>
      <c r="B375" s="1" t="n">
        <v>43749</v>
      </c>
      <c r="C375" s="1" t="n">
        <v>45627</v>
      </c>
      <c r="D375" t="inlineStr">
        <is>
          <t>HALLANDS LÄN</t>
        </is>
      </c>
      <c r="E375" t="inlineStr">
        <is>
          <t>FALKENBERG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53880-2019</t>
        </is>
      </c>
      <c r="B376" s="1" t="n">
        <v>43752</v>
      </c>
      <c r="C376" s="1" t="n">
        <v>45627</v>
      </c>
      <c r="D376" t="inlineStr">
        <is>
          <t>HALLANDS LÄN</t>
        </is>
      </c>
      <c r="E376" t="inlineStr">
        <is>
          <t>FALKENBERG</t>
        </is>
      </c>
      <c r="G376" t="n">
        <v>3.8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54016-2019</t>
        </is>
      </c>
      <c r="B377" s="1" t="n">
        <v>43752</v>
      </c>
      <c r="C377" s="1" t="n">
        <v>45627</v>
      </c>
      <c r="D377" t="inlineStr">
        <is>
          <t>HALLANDS LÄN</t>
        </is>
      </c>
      <c r="E377" t="inlineStr">
        <is>
          <t>LAHOLM</t>
        </is>
      </c>
      <c r="F377" t="inlineStr">
        <is>
          <t>Kommuner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53882-2019</t>
        </is>
      </c>
      <c r="B378" s="1" t="n">
        <v>43752</v>
      </c>
      <c r="C378" s="1" t="n">
        <v>45627</v>
      </c>
      <c r="D378" t="inlineStr">
        <is>
          <t>HALLANDS LÄN</t>
        </is>
      </c>
      <c r="E378" t="inlineStr">
        <is>
          <t>FALKENBERG</t>
        </is>
      </c>
      <c r="G378" t="n">
        <v>3.2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53966-2019</t>
        </is>
      </c>
      <c r="B379" s="1" t="n">
        <v>43752</v>
      </c>
      <c r="C379" s="1" t="n">
        <v>45627</v>
      </c>
      <c r="D379" t="inlineStr">
        <is>
          <t>HALLANDS LÄN</t>
        </is>
      </c>
      <c r="E379" t="inlineStr">
        <is>
          <t>VARBERG</t>
        </is>
      </c>
      <c r="G379" t="n">
        <v>5.6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54537-2019</t>
        </is>
      </c>
      <c r="B380" s="1" t="n">
        <v>43754</v>
      </c>
      <c r="C380" s="1" t="n">
        <v>45627</v>
      </c>
      <c r="D380" t="inlineStr">
        <is>
          <t>HALLANDS LÄN</t>
        </is>
      </c>
      <c r="E380" t="inlineStr">
        <is>
          <t>KUNGSBACKA</t>
        </is>
      </c>
      <c r="F380" t="inlineStr">
        <is>
          <t>Sveaskog</t>
        </is>
      </c>
      <c r="G380" t="n">
        <v>5.9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54535-2019</t>
        </is>
      </c>
      <c r="B381" s="1" t="n">
        <v>43754</v>
      </c>
      <c r="C381" s="1" t="n">
        <v>45627</v>
      </c>
      <c r="D381" t="inlineStr">
        <is>
          <t>HALLANDS LÄN</t>
        </is>
      </c>
      <c r="E381" t="inlineStr">
        <is>
          <t>KUNGSBACKA</t>
        </is>
      </c>
      <c r="F381" t="inlineStr">
        <is>
          <t>Sveaskog</t>
        </is>
      </c>
      <c r="G381" t="n">
        <v>3.8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54626-2019</t>
        </is>
      </c>
      <c r="B382" s="1" t="n">
        <v>43754</v>
      </c>
      <c r="C382" s="1" t="n">
        <v>45627</v>
      </c>
      <c r="D382" t="inlineStr">
        <is>
          <t>HALLANDS LÄN</t>
        </is>
      </c>
      <c r="E382" t="inlineStr">
        <is>
          <t>FALKENBERG</t>
        </is>
      </c>
      <c r="G382" t="n">
        <v>0.3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54461-2019</t>
        </is>
      </c>
      <c r="B383" s="1" t="n">
        <v>43754</v>
      </c>
      <c r="C383" s="1" t="n">
        <v>45627</v>
      </c>
      <c r="D383" t="inlineStr">
        <is>
          <t>HALLANDS LÄN</t>
        </is>
      </c>
      <c r="E383" t="inlineStr">
        <is>
          <t>HALMSTAD</t>
        </is>
      </c>
      <c r="G383" t="n">
        <v>4.8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54432-2019</t>
        </is>
      </c>
      <c r="B384" s="1" t="n">
        <v>43754</v>
      </c>
      <c r="C384" s="1" t="n">
        <v>45627</v>
      </c>
      <c r="D384" t="inlineStr">
        <is>
          <t>HALLANDS LÄN</t>
        </is>
      </c>
      <c r="E384" t="inlineStr">
        <is>
          <t>FALKENBERG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54530-2019</t>
        </is>
      </c>
      <c r="B385" s="1" t="n">
        <v>43754</v>
      </c>
      <c r="C385" s="1" t="n">
        <v>45627</v>
      </c>
      <c r="D385" t="inlineStr">
        <is>
          <t>HALLANDS LÄN</t>
        </is>
      </c>
      <c r="E385" t="inlineStr">
        <is>
          <t>KUNGSBACKA</t>
        </is>
      </c>
      <c r="F385" t="inlineStr">
        <is>
          <t>Sveaskog</t>
        </is>
      </c>
      <c r="G385" t="n">
        <v>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54543-2019</t>
        </is>
      </c>
      <c r="B386" s="1" t="n">
        <v>43754</v>
      </c>
      <c r="C386" s="1" t="n">
        <v>45627</v>
      </c>
      <c r="D386" t="inlineStr">
        <is>
          <t>HALLANDS LÄN</t>
        </is>
      </c>
      <c r="E386" t="inlineStr">
        <is>
          <t>LAHOLM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54533-2019</t>
        </is>
      </c>
      <c r="B387" s="1" t="n">
        <v>43754</v>
      </c>
      <c r="C387" s="1" t="n">
        <v>45627</v>
      </c>
      <c r="D387" t="inlineStr">
        <is>
          <t>HALLANDS LÄN</t>
        </is>
      </c>
      <c r="E387" t="inlineStr">
        <is>
          <t>KUNGSBACKA</t>
        </is>
      </c>
      <c r="F387" t="inlineStr">
        <is>
          <t>Sveaskog</t>
        </is>
      </c>
      <c r="G387" t="n">
        <v>8.5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55036-2019</t>
        </is>
      </c>
      <c r="B388" s="1" t="n">
        <v>43755</v>
      </c>
      <c r="C388" s="1" t="n">
        <v>45627</v>
      </c>
      <c r="D388" t="inlineStr">
        <is>
          <t>HALLANDS LÄN</t>
        </is>
      </c>
      <c r="E388" t="inlineStr">
        <is>
          <t>FALKENBERG</t>
        </is>
      </c>
      <c r="G388" t="n">
        <v>7.5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55035-2019</t>
        </is>
      </c>
      <c r="B389" s="1" t="n">
        <v>43755</v>
      </c>
      <c r="C389" s="1" t="n">
        <v>45627</v>
      </c>
      <c r="D389" t="inlineStr">
        <is>
          <t>HALLANDS LÄN</t>
        </is>
      </c>
      <c r="E389" t="inlineStr">
        <is>
          <t>FALKENBERG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55037-2019</t>
        </is>
      </c>
      <c r="B390" s="1" t="n">
        <v>43755</v>
      </c>
      <c r="C390" s="1" t="n">
        <v>45627</v>
      </c>
      <c r="D390" t="inlineStr">
        <is>
          <t>HALLANDS LÄN</t>
        </is>
      </c>
      <c r="E390" t="inlineStr">
        <is>
          <t>FALKENBERG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55584-2019</t>
        </is>
      </c>
      <c r="B391" s="1" t="n">
        <v>43760</v>
      </c>
      <c r="C391" s="1" t="n">
        <v>45627</v>
      </c>
      <c r="D391" t="inlineStr">
        <is>
          <t>HALLANDS LÄN</t>
        </is>
      </c>
      <c r="E391" t="inlineStr">
        <is>
          <t>LAHOLM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56020-2019</t>
        </is>
      </c>
      <c r="B392" s="1" t="n">
        <v>43761</v>
      </c>
      <c r="C392" s="1" t="n">
        <v>45627</v>
      </c>
      <c r="D392" t="inlineStr">
        <is>
          <t>HALLANDS LÄN</t>
        </is>
      </c>
      <c r="E392" t="inlineStr">
        <is>
          <t>FALKENBERG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56226-2019</t>
        </is>
      </c>
      <c r="B393" s="1" t="n">
        <v>43762</v>
      </c>
      <c r="C393" s="1" t="n">
        <v>45627</v>
      </c>
      <c r="D393" t="inlineStr">
        <is>
          <t>HALLANDS LÄN</t>
        </is>
      </c>
      <c r="E393" t="inlineStr">
        <is>
          <t>FALKENBERG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56247-2019</t>
        </is>
      </c>
      <c r="B394" s="1" t="n">
        <v>43762</v>
      </c>
      <c r="C394" s="1" t="n">
        <v>45627</v>
      </c>
      <c r="D394" t="inlineStr">
        <is>
          <t>HALLANDS LÄN</t>
        </is>
      </c>
      <c r="E394" t="inlineStr">
        <is>
          <t>VARBERG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56390-2019</t>
        </is>
      </c>
      <c r="B395" s="1" t="n">
        <v>43762</v>
      </c>
      <c r="C395" s="1" t="n">
        <v>45627</v>
      </c>
      <c r="D395" t="inlineStr">
        <is>
          <t>HALLANDS LÄN</t>
        </is>
      </c>
      <c r="E395" t="inlineStr">
        <is>
          <t>FALKENBERG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57817-2019</t>
        </is>
      </c>
      <c r="B396" s="1" t="n">
        <v>43762</v>
      </c>
      <c r="C396" s="1" t="n">
        <v>45627</v>
      </c>
      <c r="D396" t="inlineStr">
        <is>
          <t>HALLANDS LÄN</t>
        </is>
      </c>
      <c r="E396" t="inlineStr">
        <is>
          <t>LAHOLM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56782-2019</t>
        </is>
      </c>
      <c r="B397" s="1" t="n">
        <v>43763</v>
      </c>
      <c r="C397" s="1" t="n">
        <v>45627</v>
      </c>
      <c r="D397" t="inlineStr">
        <is>
          <t>HALLANDS LÄN</t>
        </is>
      </c>
      <c r="E397" t="inlineStr">
        <is>
          <t>VARBERG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57076-2019</t>
        </is>
      </c>
      <c r="B398" s="1" t="n">
        <v>43766</v>
      </c>
      <c r="C398" s="1" t="n">
        <v>45627</v>
      </c>
      <c r="D398" t="inlineStr">
        <is>
          <t>HALLANDS LÄN</t>
        </is>
      </c>
      <c r="E398" t="inlineStr">
        <is>
          <t>VARBERG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57709-2019</t>
        </is>
      </c>
      <c r="B399" s="1" t="n">
        <v>43768</v>
      </c>
      <c r="C399" s="1" t="n">
        <v>45627</v>
      </c>
      <c r="D399" t="inlineStr">
        <is>
          <t>HALLANDS LÄN</t>
        </is>
      </c>
      <c r="E399" t="inlineStr">
        <is>
          <t>FALKENBERG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57707-2019</t>
        </is>
      </c>
      <c r="B400" s="1" t="n">
        <v>43768</v>
      </c>
      <c r="C400" s="1" t="n">
        <v>45627</v>
      </c>
      <c r="D400" t="inlineStr">
        <is>
          <t>HALLANDS LÄN</t>
        </is>
      </c>
      <c r="E400" t="inlineStr">
        <is>
          <t>FALKENBERG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57699-2019</t>
        </is>
      </c>
      <c r="B401" s="1" t="n">
        <v>43768</v>
      </c>
      <c r="C401" s="1" t="n">
        <v>45627</v>
      </c>
      <c r="D401" t="inlineStr">
        <is>
          <t>HALLANDS LÄN</t>
        </is>
      </c>
      <c r="E401" t="inlineStr">
        <is>
          <t>HYLTE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58297-2019</t>
        </is>
      </c>
      <c r="B402" s="1" t="n">
        <v>43770</v>
      </c>
      <c r="C402" s="1" t="n">
        <v>45627</v>
      </c>
      <c r="D402" t="inlineStr">
        <is>
          <t>HALLANDS LÄN</t>
        </is>
      </c>
      <c r="E402" t="inlineStr">
        <is>
          <t>HYLTE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58277-2019</t>
        </is>
      </c>
      <c r="B403" s="1" t="n">
        <v>43770</v>
      </c>
      <c r="C403" s="1" t="n">
        <v>45627</v>
      </c>
      <c r="D403" t="inlineStr">
        <is>
          <t>HALLANDS LÄN</t>
        </is>
      </c>
      <c r="E403" t="inlineStr">
        <is>
          <t>HALMSTAD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58578-2019</t>
        </is>
      </c>
      <c r="B404" s="1" t="n">
        <v>43773</v>
      </c>
      <c r="C404" s="1" t="n">
        <v>45627</v>
      </c>
      <c r="D404" t="inlineStr">
        <is>
          <t>HALLANDS LÄN</t>
        </is>
      </c>
      <c r="E404" t="inlineStr">
        <is>
          <t>FALKENBERG</t>
        </is>
      </c>
      <c r="G404" t="n">
        <v>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58728-2019</t>
        </is>
      </c>
      <c r="B405" s="1" t="n">
        <v>43773</v>
      </c>
      <c r="C405" s="1" t="n">
        <v>45627</v>
      </c>
      <c r="D405" t="inlineStr">
        <is>
          <t>HALLANDS LÄN</t>
        </is>
      </c>
      <c r="E405" t="inlineStr">
        <is>
          <t>FALKENBERG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58690-2019</t>
        </is>
      </c>
      <c r="B406" s="1" t="n">
        <v>43773</v>
      </c>
      <c r="C406" s="1" t="n">
        <v>45627</v>
      </c>
      <c r="D406" t="inlineStr">
        <is>
          <t>HALLANDS LÄN</t>
        </is>
      </c>
      <c r="E406" t="inlineStr">
        <is>
          <t>FALKENBERG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58782-2019</t>
        </is>
      </c>
      <c r="B407" s="1" t="n">
        <v>43773</v>
      </c>
      <c r="C407" s="1" t="n">
        <v>45627</v>
      </c>
      <c r="D407" t="inlineStr">
        <is>
          <t>HALLANDS LÄN</t>
        </is>
      </c>
      <c r="E407" t="inlineStr">
        <is>
          <t>LAHOLM</t>
        </is>
      </c>
      <c r="G407" t="n">
        <v>5.8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58737-2019</t>
        </is>
      </c>
      <c r="B408" s="1" t="n">
        <v>43773</v>
      </c>
      <c r="C408" s="1" t="n">
        <v>45627</v>
      </c>
      <c r="D408" t="inlineStr">
        <is>
          <t>HALLANDS LÄN</t>
        </is>
      </c>
      <c r="E408" t="inlineStr">
        <is>
          <t>FALKENBERG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58884-2019</t>
        </is>
      </c>
      <c r="B409" s="1" t="n">
        <v>43774</v>
      </c>
      <c r="C409" s="1" t="n">
        <v>45627</v>
      </c>
      <c r="D409" t="inlineStr">
        <is>
          <t>HALLANDS LÄN</t>
        </is>
      </c>
      <c r="E409" t="inlineStr">
        <is>
          <t>HYLTE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59161-2019</t>
        </is>
      </c>
      <c r="B410" s="1" t="n">
        <v>43775</v>
      </c>
      <c r="C410" s="1" t="n">
        <v>45627</v>
      </c>
      <c r="D410" t="inlineStr">
        <is>
          <t>HALLANDS LÄN</t>
        </is>
      </c>
      <c r="E410" t="inlineStr">
        <is>
          <t>FALKENBERG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59162-2019</t>
        </is>
      </c>
      <c r="B411" s="1" t="n">
        <v>43775</v>
      </c>
      <c r="C411" s="1" t="n">
        <v>45627</v>
      </c>
      <c r="D411" t="inlineStr">
        <is>
          <t>HALLANDS LÄN</t>
        </is>
      </c>
      <c r="E411" t="inlineStr">
        <is>
          <t>FALKENBERG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59403-2019</t>
        </is>
      </c>
      <c r="B412" s="1" t="n">
        <v>43775</v>
      </c>
      <c r="C412" s="1" t="n">
        <v>45627</v>
      </c>
      <c r="D412" t="inlineStr">
        <is>
          <t>HALLANDS LÄN</t>
        </is>
      </c>
      <c r="E412" t="inlineStr">
        <is>
          <t>HYLTE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59406-2019</t>
        </is>
      </c>
      <c r="B413" s="1" t="n">
        <v>43775</v>
      </c>
      <c r="C413" s="1" t="n">
        <v>45627</v>
      </c>
      <c r="D413" t="inlineStr">
        <is>
          <t>HALLANDS LÄN</t>
        </is>
      </c>
      <c r="E413" t="inlineStr">
        <is>
          <t>HALMSTAD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59398-2019</t>
        </is>
      </c>
      <c r="B414" s="1" t="n">
        <v>43775</v>
      </c>
      <c r="C414" s="1" t="n">
        <v>45627</v>
      </c>
      <c r="D414" t="inlineStr">
        <is>
          <t>HALLANDS LÄN</t>
        </is>
      </c>
      <c r="E414" t="inlineStr">
        <is>
          <t>HYLTE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59410-2019</t>
        </is>
      </c>
      <c r="B415" s="1" t="n">
        <v>43775</v>
      </c>
      <c r="C415" s="1" t="n">
        <v>45627</v>
      </c>
      <c r="D415" t="inlineStr">
        <is>
          <t>HALLANDS LÄN</t>
        </is>
      </c>
      <c r="E415" t="inlineStr">
        <is>
          <t>HALMSTAD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59205-2019</t>
        </is>
      </c>
      <c r="B416" s="1" t="n">
        <v>43775</v>
      </c>
      <c r="C416" s="1" t="n">
        <v>45627</v>
      </c>
      <c r="D416" t="inlineStr">
        <is>
          <t>HALLANDS LÄN</t>
        </is>
      </c>
      <c r="E416" t="inlineStr">
        <is>
          <t>HYLTE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59407-2019</t>
        </is>
      </c>
      <c r="B417" s="1" t="n">
        <v>43775</v>
      </c>
      <c r="C417" s="1" t="n">
        <v>45627</v>
      </c>
      <c r="D417" t="inlineStr">
        <is>
          <t>HALLANDS LÄN</t>
        </is>
      </c>
      <c r="E417" t="inlineStr">
        <is>
          <t>HALMSTAD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59348-2019</t>
        </is>
      </c>
      <c r="B418" s="1" t="n">
        <v>43775</v>
      </c>
      <c r="C418" s="1" t="n">
        <v>45627</v>
      </c>
      <c r="D418" t="inlineStr">
        <is>
          <t>HALLANDS LÄN</t>
        </is>
      </c>
      <c r="E418" t="inlineStr">
        <is>
          <t>HALMSTAD</t>
        </is>
      </c>
      <c r="G418" t="n">
        <v>5.4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59798-2019</t>
        </is>
      </c>
      <c r="B419" s="1" t="n">
        <v>43777</v>
      </c>
      <c r="C419" s="1" t="n">
        <v>45627</v>
      </c>
      <c r="D419" t="inlineStr">
        <is>
          <t>HALLANDS LÄN</t>
        </is>
      </c>
      <c r="E419" t="inlineStr">
        <is>
          <t>FALKENBERG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60076-2019</t>
        </is>
      </c>
      <c r="B420" s="1" t="n">
        <v>43777</v>
      </c>
      <c r="C420" s="1" t="n">
        <v>45627</v>
      </c>
      <c r="D420" t="inlineStr">
        <is>
          <t>HALLANDS LÄN</t>
        </is>
      </c>
      <c r="E420" t="inlineStr">
        <is>
          <t>VARBERG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60712-2019</t>
        </is>
      </c>
      <c r="B421" s="1" t="n">
        <v>43781</v>
      </c>
      <c r="C421" s="1" t="n">
        <v>45627</v>
      </c>
      <c r="D421" t="inlineStr">
        <is>
          <t>HALLANDS LÄN</t>
        </is>
      </c>
      <c r="E421" t="inlineStr">
        <is>
          <t>LAHOLM</t>
        </is>
      </c>
      <c r="F421" t="inlineStr">
        <is>
          <t>Övriga statliga verk och myndigheter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60734-2019</t>
        </is>
      </c>
      <c r="B422" s="1" t="n">
        <v>43781</v>
      </c>
      <c r="C422" s="1" t="n">
        <v>45627</v>
      </c>
      <c r="D422" t="inlineStr">
        <is>
          <t>HALLANDS LÄN</t>
        </is>
      </c>
      <c r="E422" t="inlineStr">
        <is>
          <t>LAHOLM</t>
        </is>
      </c>
      <c r="F422" t="inlineStr">
        <is>
          <t>Övriga statliga verk och myndigheter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60823-2019</t>
        </is>
      </c>
      <c r="B423" s="1" t="n">
        <v>43781</v>
      </c>
      <c r="C423" s="1" t="n">
        <v>45627</v>
      </c>
      <c r="D423" t="inlineStr">
        <is>
          <t>HALLANDS LÄN</t>
        </is>
      </c>
      <c r="E423" t="inlineStr">
        <is>
          <t>LAHOLM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61426-2019</t>
        </is>
      </c>
      <c r="B424" s="1" t="n">
        <v>43783</v>
      </c>
      <c r="C424" s="1" t="n">
        <v>45627</v>
      </c>
      <c r="D424" t="inlineStr">
        <is>
          <t>HALLANDS LÄN</t>
        </is>
      </c>
      <c r="E424" t="inlineStr">
        <is>
          <t>LAHOLM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61434-2019</t>
        </is>
      </c>
      <c r="B425" s="1" t="n">
        <v>43783</v>
      </c>
      <c r="C425" s="1" t="n">
        <v>45627</v>
      </c>
      <c r="D425" t="inlineStr">
        <is>
          <t>HALLANDS LÄN</t>
        </is>
      </c>
      <c r="E425" t="inlineStr">
        <is>
          <t>LAHOLM</t>
        </is>
      </c>
      <c r="G425" t="n">
        <v>2.8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61225-2019</t>
        </is>
      </c>
      <c r="B426" s="1" t="n">
        <v>43783</v>
      </c>
      <c r="C426" s="1" t="n">
        <v>45627</v>
      </c>
      <c r="D426" t="inlineStr">
        <is>
          <t>HALLANDS LÄN</t>
        </is>
      </c>
      <c r="E426" t="inlineStr">
        <is>
          <t>FALKENBERG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61429-2019</t>
        </is>
      </c>
      <c r="B427" s="1" t="n">
        <v>43783</v>
      </c>
      <c r="C427" s="1" t="n">
        <v>45627</v>
      </c>
      <c r="D427" t="inlineStr">
        <is>
          <t>HALLANDS LÄN</t>
        </is>
      </c>
      <c r="E427" t="inlineStr">
        <is>
          <t>LAHOLM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61590-2019</t>
        </is>
      </c>
      <c r="B428" s="1" t="n">
        <v>43784</v>
      </c>
      <c r="C428" s="1" t="n">
        <v>45627</v>
      </c>
      <c r="D428" t="inlineStr">
        <is>
          <t>HALLANDS LÄN</t>
        </is>
      </c>
      <c r="E428" t="inlineStr">
        <is>
          <t>FALKENBERG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62365-2019</t>
        </is>
      </c>
      <c r="B429" s="1" t="n">
        <v>43788</v>
      </c>
      <c r="C429" s="1" t="n">
        <v>45627</v>
      </c>
      <c r="D429" t="inlineStr">
        <is>
          <t>HALLANDS LÄN</t>
        </is>
      </c>
      <c r="E429" t="inlineStr">
        <is>
          <t>HALMSTAD</t>
        </is>
      </c>
      <c r="G429" t="n">
        <v>4.7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62408-2019</t>
        </is>
      </c>
      <c r="B430" s="1" t="n">
        <v>43788</v>
      </c>
      <c r="C430" s="1" t="n">
        <v>45627</v>
      </c>
      <c r="D430" t="inlineStr">
        <is>
          <t>HALLANDS LÄN</t>
        </is>
      </c>
      <c r="E430" t="inlineStr">
        <is>
          <t>HALMSTAD</t>
        </is>
      </c>
      <c r="G430" t="n">
        <v>12.8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62601-2019</t>
        </is>
      </c>
      <c r="B431" s="1" t="n">
        <v>43789</v>
      </c>
      <c r="C431" s="1" t="n">
        <v>45627</v>
      </c>
      <c r="D431" t="inlineStr">
        <is>
          <t>HALLANDS LÄN</t>
        </is>
      </c>
      <c r="E431" t="inlineStr">
        <is>
          <t>HALMSTAD</t>
        </is>
      </c>
      <c r="G431" t="n">
        <v>13.5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62533-2019</t>
        </is>
      </c>
      <c r="B432" s="1" t="n">
        <v>43789</v>
      </c>
      <c r="C432" s="1" t="n">
        <v>45627</v>
      </c>
      <c r="D432" t="inlineStr">
        <is>
          <t>HALLANDS LÄN</t>
        </is>
      </c>
      <c r="E432" t="inlineStr">
        <is>
          <t>FALKENBERG</t>
        </is>
      </c>
      <c r="G432" t="n">
        <v>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63797-2019</t>
        </is>
      </c>
      <c r="B433" s="1" t="n">
        <v>43790</v>
      </c>
      <c r="C433" s="1" t="n">
        <v>45627</v>
      </c>
      <c r="D433" t="inlineStr">
        <is>
          <t>HALLANDS LÄN</t>
        </is>
      </c>
      <c r="E433" t="inlineStr">
        <is>
          <t>HYLTE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64877-2019</t>
        </is>
      </c>
      <c r="B434" s="1" t="n">
        <v>43795</v>
      </c>
      <c r="C434" s="1" t="n">
        <v>45627</v>
      </c>
      <c r="D434" t="inlineStr">
        <is>
          <t>HALLANDS LÄN</t>
        </is>
      </c>
      <c r="E434" t="inlineStr">
        <is>
          <t>HALMSTAD</t>
        </is>
      </c>
      <c r="G434" t="n">
        <v>11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64033-2019</t>
        </is>
      </c>
      <c r="B435" s="1" t="n">
        <v>43795</v>
      </c>
      <c r="C435" s="1" t="n">
        <v>45627</v>
      </c>
      <c r="D435" t="inlineStr">
        <is>
          <t>HALLANDS LÄN</t>
        </is>
      </c>
      <c r="E435" t="inlineStr">
        <is>
          <t>HALMSTAD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63858-2019</t>
        </is>
      </c>
      <c r="B436" s="1" t="n">
        <v>43796</v>
      </c>
      <c r="C436" s="1" t="n">
        <v>45627</v>
      </c>
      <c r="D436" t="inlineStr">
        <is>
          <t>HALLANDS LÄN</t>
        </is>
      </c>
      <c r="E436" t="inlineStr">
        <is>
          <t>HALMSTAD</t>
        </is>
      </c>
      <c r="G436" t="n">
        <v>5.7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63907-2019</t>
        </is>
      </c>
      <c r="B437" s="1" t="n">
        <v>43796</v>
      </c>
      <c r="C437" s="1" t="n">
        <v>45627</v>
      </c>
      <c r="D437" t="inlineStr">
        <is>
          <t>HALLANDS LÄN</t>
        </is>
      </c>
      <c r="E437" t="inlineStr">
        <is>
          <t>HALMSTAD</t>
        </is>
      </c>
      <c r="G437" t="n">
        <v>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63975-2019</t>
        </is>
      </c>
      <c r="B438" s="1" t="n">
        <v>43796</v>
      </c>
      <c r="C438" s="1" t="n">
        <v>45627</v>
      </c>
      <c r="D438" t="inlineStr">
        <is>
          <t>HALLANDS LÄN</t>
        </is>
      </c>
      <c r="E438" t="inlineStr">
        <is>
          <t>HALMSTAD</t>
        </is>
      </c>
      <c r="G438" t="n">
        <v>4.5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64065-2019</t>
        </is>
      </c>
      <c r="B439" s="1" t="n">
        <v>43796</v>
      </c>
      <c r="C439" s="1" t="n">
        <v>45627</v>
      </c>
      <c r="D439" t="inlineStr">
        <is>
          <t>HALLANDS LÄN</t>
        </is>
      </c>
      <c r="E439" t="inlineStr">
        <is>
          <t>HYLTE</t>
        </is>
      </c>
      <c r="G439" t="n">
        <v>4.3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65339-2019</t>
        </is>
      </c>
      <c r="B440" s="1" t="n">
        <v>43803</v>
      </c>
      <c r="C440" s="1" t="n">
        <v>45627</v>
      </c>
      <c r="D440" t="inlineStr">
        <is>
          <t>HALLANDS LÄN</t>
        </is>
      </c>
      <c r="E440" t="inlineStr">
        <is>
          <t>LAHOLM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65478-2019</t>
        </is>
      </c>
      <c r="B441" s="1" t="n">
        <v>43803</v>
      </c>
      <c r="C441" s="1" t="n">
        <v>45627</v>
      </c>
      <c r="D441" t="inlineStr">
        <is>
          <t>HALLANDS LÄN</t>
        </is>
      </c>
      <c r="E441" t="inlineStr">
        <is>
          <t>HYLTE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66247-2019</t>
        </is>
      </c>
      <c r="B442" s="1" t="n">
        <v>43805</v>
      </c>
      <c r="C442" s="1" t="n">
        <v>45627</v>
      </c>
      <c r="D442" t="inlineStr">
        <is>
          <t>HALLANDS LÄN</t>
        </is>
      </c>
      <c r="E442" t="inlineStr">
        <is>
          <t>FALKENBERG</t>
        </is>
      </c>
      <c r="F442" t="inlineStr">
        <is>
          <t>Kyrkan</t>
        </is>
      </c>
      <c r="G442" t="n">
        <v>9.4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66249-2019</t>
        </is>
      </c>
      <c r="B443" s="1" t="n">
        <v>43805</v>
      </c>
      <c r="C443" s="1" t="n">
        <v>45627</v>
      </c>
      <c r="D443" t="inlineStr">
        <is>
          <t>HALLANDS LÄN</t>
        </is>
      </c>
      <c r="E443" t="inlineStr">
        <is>
          <t>FALKENBERG</t>
        </is>
      </c>
      <c r="F443" t="inlineStr">
        <is>
          <t>Kyrkan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66210-2019</t>
        </is>
      </c>
      <c r="B444" s="1" t="n">
        <v>43808</v>
      </c>
      <c r="C444" s="1" t="n">
        <v>45627</v>
      </c>
      <c r="D444" t="inlineStr">
        <is>
          <t>HALLANDS LÄN</t>
        </is>
      </c>
      <c r="E444" t="inlineStr">
        <is>
          <t>VARBERG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66726-2019</t>
        </is>
      </c>
      <c r="B445" s="1" t="n">
        <v>43810</v>
      </c>
      <c r="C445" s="1" t="n">
        <v>45627</v>
      </c>
      <c r="D445" t="inlineStr">
        <is>
          <t>HALLANDS LÄN</t>
        </is>
      </c>
      <c r="E445" t="inlineStr">
        <is>
          <t>VARBERG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66779-2019</t>
        </is>
      </c>
      <c r="B446" s="1" t="n">
        <v>43810</v>
      </c>
      <c r="C446" s="1" t="n">
        <v>45627</v>
      </c>
      <c r="D446" t="inlineStr">
        <is>
          <t>HALLANDS LÄN</t>
        </is>
      </c>
      <c r="E446" t="inlineStr">
        <is>
          <t>HALMSTAD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66778-2019</t>
        </is>
      </c>
      <c r="B447" s="1" t="n">
        <v>43810</v>
      </c>
      <c r="C447" s="1" t="n">
        <v>45627</v>
      </c>
      <c r="D447" t="inlineStr">
        <is>
          <t>HALLANDS LÄN</t>
        </is>
      </c>
      <c r="E447" t="inlineStr">
        <is>
          <t>HALMSTAD</t>
        </is>
      </c>
      <c r="G447" t="n">
        <v>2.5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67180-2019</t>
        </is>
      </c>
      <c r="B448" s="1" t="n">
        <v>43811</v>
      </c>
      <c r="C448" s="1" t="n">
        <v>45627</v>
      </c>
      <c r="D448" t="inlineStr">
        <is>
          <t>HALLANDS LÄN</t>
        </is>
      </c>
      <c r="E448" t="inlineStr">
        <is>
          <t>VARBERG</t>
        </is>
      </c>
      <c r="G448" t="n">
        <v>5.8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67209-2019</t>
        </is>
      </c>
      <c r="B449" s="1" t="n">
        <v>43811</v>
      </c>
      <c r="C449" s="1" t="n">
        <v>45627</v>
      </c>
      <c r="D449" t="inlineStr">
        <is>
          <t>HALLANDS LÄN</t>
        </is>
      </c>
      <c r="E449" t="inlineStr">
        <is>
          <t>HALMSTAD</t>
        </is>
      </c>
      <c r="F449" t="inlineStr">
        <is>
          <t>Övriga statliga verk och myndigheter</t>
        </is>
      </c>
      <c r="G449" t="n">
        <v>4.5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67210-2019</t>
        </is>
      </c>
      <c r="B450" s="1" t="n">
        <v>43811</v>
      </c>
      <c r="C450" s="1" t="n">
        <v>45627</v>
      </c>
      <c r="D450" t="inlineStr">
        <is>
          <t>HALLANDS LÄN</t>
        </is>
      </c>
      <c r="E450" t="inlineStr">
        <is>
          <t>LAHOLM</t>
        </is>
      </c>
      <c r="F450" t="inlineStr">
        <is>
          <t>Övriga statliga verk och myndigheter</t>
        </is>
      </c>
      <c r="G450" t="n">
        <v>3.8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67552-2019</t>
        </is>
      </c>
      <c r="B451" s="1" t="n">
        <v>43815</v>
      </c>
      <c r="C451" s="1" t="n">
        <v>45627</v>
      </c>
      <c r="D451" t="inlineStr">
        <is>
          <t>HALLANDS LÄN</t>
        </is>
      </c>
      <c r="E451" t="inlineStr">
        <is>
          <t>VARBERG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67551-2019</t>
        </is>
      </c>
      <c r="B452" s="1" t="n">
        <v>43815</v>
      </c>
      <c r="C452" s="1" t="n">
        <v>45627</v>
      </c>
      <c r="D452" t="inlineStr">
        <is>
          <t>HALLANDS LÄN</t>
        </is>
      </c>
      <c r="E452" t="inlineStr">
        <is>
          <t>VARBERG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575-2020</t>
        </is>
      </c>
      <c r="B453" s="1" t="n">
        <v>43817</v>
      </c>
      <c r="C453" s="1" t="n">
        <v>45627</v>
      </c>
      <c r="D453" t="inlineStr">
        <is>
          <t>HALLANDS LÄN</t>
        </is>
      </c>
      <c r="E453" t="inlineStr">
        <is>
          <t>LAHOLM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583-2020</t>
        </is>
      </c>
      <c r="B454" s="1" t="n">
        <v>43817</v>
      </c>
      <c r="C454" s="1" t="n">
        <v>45627</v>
      </c>
      <c r="D454" t="inlineStr">
        <is>
          <t>HALLANDS LÄN</t>
        </is>
      </c>
      <c r="E454" t="inlineStr">
        <is>
          <t>LAHOLM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581-2020</t>
        </is>
      </c>
      <c r="B455" s="1" t="n">
        <v>43817</v>
      </c>
      <c r="C455" s="1" t="n">
        <v>45627</v>
      </c>
      <c r="D455" t="inlineStr">
        <is>
          <t>HALLANDS LÄN</t>
        </is>
      </c>
      <c r="E455" t="inlineStr">
        <is>
          <t>LAHOLM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68385-2019</t>
        </is>
      </c>
      <c r="B456" s="1" t="n">
        <v>43818</v>
      </c>
      <c r="C456" s="1" t="n">
        <v>45627</v>
      </c>
      <c r="D456" t="inlineStr">
        <is>
          <t>HALLANDS LÄN</t>
        </is>
      </c>
      <c r="E456" t="inlineStr">
        <is>
          <t>VARBERG</t>
        </is>
      </c>
      <c r="G456" t="n">
        <v>3.6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68378-2019</t>
        </is>
      </c>
      <c r="B457" s="1" t="n">
        <v>43818</v>
      </c>
      <c r="C457" s="1" t="n">
        <v>45627</v>
      </c>
      <c r="D457" t="inlineStr">
        <is>
          <t>HALLANDS LÄN</t>
        </is>
      </c>
      <c r="E457" t="inlineStr">
        <is>
          <t>VARBERG</t>
        </is>
      </c>
      <c r="G457" t="n">
        <v>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1117-2020</t>
        </is>
      </c>
      <c r="B458" s="1" t="n">
        <v>43819</v>
      </c>
      <c r="C458" s="1" t="n">
        <v>45627</v>
      </c>
      <c r="D458" t="inlineStr">
        <is>
          <t>HALLANDS LÄN</t>
        </is>
      </c>
      <c r="E458" t="inlineStr">
        <is>
          <t>FALKENBERG</t>
        </is>
      </c>
      <c r="G458" t="n">
        <v>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68970-2019</t>
        </is>
      </c>
      <c r="B459" s="1" t="n">
        <v>43822</v>
      </c>
      <c r="C459" s="1" t="n">
        <v>45627</v>
      </c>
      <c r="D459" t="inlineStr">
        <is>
          <t>HALLANDS LÄN</t>
        </is>
      </c>
      <c r="E459" t="inlineStr">
        <is>
          <t>FALKENBERG</t>
        </is>
      </c>
      <c r="F459" t="inlineStr">
        <is>
          <t>Kyrkan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69110-2019</t>
        </is>
      </c>
      <c r="B460" s="1" t="n">
        <v>43829</v>
      </c>
      <c r="C460" s="1" t="n">
        <v>45627</v>
      </c>
      <c r="D460" t="inlineStr">
        <is>
          <t>HALLANDS LÄN</t>
        </is>
      </c>
      <c r="E460" t="inlineStr">
        <is>
          <t>FALKENBERG</t>
        </is>
      </c>
      <c r="F460" t="inlineStr">
        <is>
          <t>Kyrkan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1620-2020</t>
        </is>
      </c>
      <c r="B461" s="1" t="n">
        <v>43829</v>
      </c>
      <c r="C461" s="1" t="n">
        <v>45627</v>
      </c>
      <c r="D461" t="inlineStr">
        <is>
          <t>HALLANDS LÄN</t>
        </is>
      </c>
      <c r="E461" t="inlineStr">
        <is>
          <t>VARBERG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69108-2019</t>
        </is>
      </c>
      <c r="B462" s="1" t="n">
        <v>43829</v>
      </c>
      <c r="C462" s="1" t="n">
        <v>45627</v>
      </c>
      <c r="D462" t="inlineStr">
        <is>
          <t>HALLANDS LÄN</t>
        </is>
      </c>
      <c r="E462" t="inlineStr">
        <is>
          <t>FALKENBERG</t>
        </is>
      </c>
      <c r="F462" t="inlineStr">
        <is>
          <t>Kyrkan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69161-2019</t>
        </is>
      </c>
      <c r="B463" s="1" t="n">
        <v>43829</v>
      </c>
      <c r="C463" s="1" t="n">
        <v>45627</v>
      </c>
      <c r="D463" t="inlineStr">
        <is>
          <t>HALLANDS LÄN</t>
        </is>
      </c>
      <c r="E463" t="inlineStr">
        <is>
          <t>FALKENBERG</t>
        </is>
      </c>
      <c r="G463" t="n">
        <v>2.9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368-2020</t>
        </is>
      </c>
      <c r="B464" s="1" t="n">
        <v>43837</v>
      </c>
      <c r="C464" s="1" t="n">
        <v>45627</v>
      </c>
      <c r="D464" t="inlineStr">
        <is>
          <t>HALLANDS LÄN</t>
        </is>
      </c>
      <c r="E464" t="inlineStr">
        <is>
          <t>HYLTE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394-2020</t>
        </is>
      </c>
      <c r="B465" s="1" t="n">
        <v>43837</v>
      </c>
      <c r="C465" s="1" t="n">
        <v>45627</v>
      </c>
      <c r="D465" t="inlineStr">
        <is>
          <t>HALLANDS LÄN</t>
        </is>
      </c>
      <c r="E465" t="inlineStr">
        <is>
          <t>LAHOLM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353-2020</t>
        </is>
      </c>
      <c r="B466" s="1" t="n">
        <v>43837</v>
      </c>
      <c r="C466" s="1" t="n">
        <v>45627</v>
      </c>
      <c r="D466" t="inlineStr">
        <is>
          <t>HALLANDS LÄN</t>
        </is>
      </c>
      <c r="E466" t="inlineStr">
        <is>
          <t>HYLTE</t>
        </is>
      </c>
      <c r="G466" t="n">
        <v>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1242-2020</t>
        </is>
      </c>
      <c r="B467" s="1" t="n">
        <v>43838</v>
      </c>
      <c r="C467" s="1" t="n">
        <v>45627</v>
      </c>
      <c r="D467" t="inlineStr">
        <is>
          <t>HALLANDS LÄN</t>
        </is>
      </c>
      <c r="E467" t="inlineStr">
        <is>
          <t>FALKENBERG</t>
        </is>
      </c>
      <c r="F467" t="inlineStr">
        <is>
          <t>Kyrkan</t>
        </is>
      </c>
      <c r="G467" t="n">
        <v>18.2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987-2020</t>
        </is>
      </c>
      <c r="B468" s="1" t="n">
        <v>43839</v>
      </c>
      <c r="C468" s="1" t="n">
        <v>45627</v>
      </c>
      <c r="D468" t="inlineStr">
        <is>
          <t>HALLANDS LÄN</t>
        </is>
      </c>
      <c r="E468" t="inlineStr">
        <is>
          <t>HYLTE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984-2020</t>
        </is>
      </c>
      <c r="B469" s="1" t="n">
        <v>43839</v>
      </c>
      <c r="C469" s="1" t="n">
        <v>45627</v>
      </c>
      <c r="D469" t="inlineStr">
        <is>
          <t>HALLANDS LÄN</t>
        </is>
      </c>
      <c r="E469" t="inlineStr">
        <is>
          <t>HYLTE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1160-2020</t>
        </is>
      </c>
      <c r="B470" s="1" t="n">
        <v>43840</v>
      </c>
      <c r="C470" s="1" t="n">
        <v>45627</v>
      </c>
      <c r="D470" t="inlineStr">
        <is>
          <t>HALLANDS LÄN</t>
        </is>
      </c>
      <c r="E470" t="inlineStr">
        <is>
          <t>LAHOLM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1135-2020</t>
        </is>
      </c>
      <c r="B471" s="1" t="n">
        <v>43840</v>
      </c>
      <c r="C471" s="1" t="n">
        <v>45627</v>
      </c>
      <c r="D471" t="inlineStr">
        <is>
          <t>HALLANDS LÄN</t>
        </is>
      </c>
      <c r="E471" t="inlineStr">
        <is>
          <t>LAHOLM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2800-2020</t>
        </is>
      </c>
      <c r="B472" s="1" t="n">
        <v>43843</v>
      </c>
      <c r="C472" s="1" t="n">
        <v>45627</v>
      </c>
      <c r="D472" t="inlineStr">
        <is>
          <t>HALLANDS LÄN</t>
        </is>
      </c>
      <c r="E472" t="inlineStr">
        <is>
          <t>FALKENBERG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1696-2020</t>
        </is>
      </c>
      <c r="B473" s="1" t="n">
        <v>43844</v>
      </c>
      <c r="C473" s="1" t="n">
        <v>45627</v>
      </c>
      <c r="D473" t="inlineStr">
        <is>
          <t>HALLANDS LÄN</t>
        </is>
      </c>
      <c r="E473" t="inlineStr">
        <is>
          <t>FALKENBERG</t>
        </is>
      </c>
      <c r="F473" t="inlineStr">
        <is>
          <t>Kommuner</t>
        </is>
      </c>
      <c r="G473" t="n">
        <v>8.699999999999999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1714-2020</t>
        </is>
      </c>
      <c r="B474" s="1" t="n">
        <v>43844</v>
      </c>
      <c r="C474" s="1" t="n">
        <v>45627</v>
      </c>
      <c r="D474" t="inlineStr">
        <is>
          <t>HALLANDS LÄN</t>
        </is>
      </c>
      <c r="E474" t="inlineStr">
        <is>
          <t>LAHOLM</t>
        </is>
      </c>
      <c r="G474" t="n">
        <v>3.4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1763-2020</t>
        </is>
      </c>
      <c r="B475" s="1" t="n">
        <v>43844</v>
      </c>
      <c r="C475" s="1" t="n">
        <v>45627</v>
      </c>
      <c r="D475" t="inlineStr">
        <is>
          <t>HALLANDS LÄN</t>
        </is>
      </c>
      <c r="E475" t="inlineStr">
        <is>
          <t>VARBERG</t>
        </is>
      </c>
      <c r="G475" t="n">
        <v>2.7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1959-2020</t>
        </is>
      </c>
      <c r="B476" s="1" t="n">
        <v>43845</v>
      </c>
      <c r="C476" s="1" t="n">
        <v>45627</v>
      </c>
      <c r="D476" t="inlineStr">
        <is>
          <t>HALLANDS LÄN</t>
        </is>
      </c>
      <c r="E476" t="inlineStr">
        <is>
          <t>HALMSTAD</t>
        </is>
      </c>
      <c r="G476" t="n">
        <v>3.7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1922-2020</t>
        </is>
      </c>
      <c r="B477" s="1" t="n">
        <v>43845</v>
      </c>
      <c r="C477" s="1" t="n">
        <v>45627</v>
      </c>
      <c r="D477" t="inlineStr">
        <is>
          <t>HALLANDS LÄN</t>
        </is>
      </c>
      <c r="E477" t="inlineStr">
        <is>
          <t>FALKENBERG</t>
        </is>
      </c>
      <c r="G477" t="n">
        <v>0.3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2022-2020</t>
        </is>
      </c>
      <c r="B478" s="1" t="n">
        <v>43845</v>
      </c>
      <c r="C478" s="1" t="n">
        <v>45627</v>
      </c>
      <c r="D478" t="inlineStr">
        <is>
          <t>HALLANDS LÄN</t>
        </is>
      </c>
      <c r="E478" t="inlineStr">
        <is>
          <t>FALKENBERG</t>
        </is>
      </c>
      <c r="F478" t="inlineStr">
        <is>
          <t>Kommuner</t>
        </is>
      </c>
      <c r="G478" t="n">
        <v>2.8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2084-2020</t>
        </is>
      </c>
      <c r="B479" s="1" t="n">
        <v>43845</v>
      </c>
      <c r="C479" s="1" t="n">
        <v>45627</v>
      </c>
      <c r="D479" t="inlineStr">
        <is>
          <t>HALLANDS LÄN</t>
        </is>
      </c>
      <c r="E479" t="inlineStr">
        <is>
          <t>FALKENBERG</t>
        </is>
      </c>
      <c r="G479" t="n">
        <v>3.1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2142-2020</t>
        </is>
      </c>
      <c r="B480" s="1" t="n">
        <v>43846</v>
      </c>
      <c r="C480" s="1" t="n">
        <v>45627</v>
      </c>
      <c r="D480" t="inlineStr">
        <is>
          <t>HALLANDS LÄN</t>
        </is>
      </c>
      <c r="E480" t="inlineStr">
        <is>
          <t>VARBERG</t>
        </is>
      </c>
      <c r="G480" t="n">
        <v>4.7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2208-2020</t>
        </is>
      </c>
      <c r="B481" s="1" t="n">
        <v>43846</v>
      </c>
      <c r="C481" s="1" t="n">
        <v>45627</v>
      </c>
      <c r="D481" t="inlineStr">
        <is>
          <t>HALLANDS LÄN</t>
        </is>
      </c>
      <c r="E481" t="inlineStr">
        <is>
          <t>HYLTE</t>
        </is>
      </c>
      <c r="G481" t="n">
        <v>4.4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2759-2020</t>
        </is>
      </c>
      <c r="B482" s="1" t="n">
        <v>43850</v>
      </c>
      <c r="C482" s="1" t="n">
        <v>45627</v>
      </c>
      <c r="D482" t="inlineStr">
        <is>
          <t>HALLANDS LÄN</t>
        </is>
      </c>
      <c r="E482" t="inlineStr">
        <is>
          <t>HYLTE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3296-2020</t>
        </is>
      </c>
      <c r="B483" s="1" t="n">
        <v>43852</v>
      </c>
      <c r="C483" s="1" t="n">
        <v>45627</v>
      </c>
      <c r="D483" t="inlineStr">
        <is>
          <t>HALLANDS LÄN</t>
        </is>
      </c>
      <c r="E483" t="inlineStr">
        <is>
          <t>LAHOLM</t>
        </is>
      </c>
      <c r="G483" t="n">
        <v>2.7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3461-2020</t>
        </is>
      </c>
      <c r="B484" s="1" t="n">
        <v>43852</v>
      </c>
      <c r="C484" s="1" t="n">
        <v>45627</v>
      </c>
      <c r="D484" t="inlineStr">
        <is>
          <t>HALLANDS LÄN</t>
        </is>
      </c>
      <c r="E484" t="inlineStr">
        <is>
          <t>FALKENBERG</t>
        </is>
      </c>
      <c r="G484" t="n">
        <v>7.2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3305-2020</t>
        </is>
      </c>
      <c r="B485" s="1" t="n">
        <v>43852</v>
      </c>
      <c r="C485" s="1" t="n">
        <v>45627</v>
      </c>
      <c r="D485" t="inlineStr">
        <is>
          <t>HALLANDS LÄN</t>
        </is>
      </c>
      <c r="E485" t="inlineStr">
        <is>
          <t>HYLTE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3755-2020</t>
        </is>
      </c>
      <c r="B486" s="1" t="n">
        <v>43854</v>
      </c>
      <c r="C486" s="1" t="n">
        <v>45627</v>
      </c>
      <c r="D486" t="inlineStr">
        <is>
          <t>HALLANDS LÄN</t>
        </is>
      </c>
      <c r="E486" t="inlineStr">
        <is>
          <t>VARBERG</t>
        </is>
      </c>
      <c r="G486" t="n">
        <v>3.9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3777-2020</t>
        </is>
      </c>
      <c r="B487" s="1" t="n">
        <v>43854</v>
      </c>
      <c r="C487" s="1" t="n">
        <v>45627</v>
      </c>
      <c r="D487" t="inlineStr">
        <is>
          <t>HALLANDS LÄN</t>
        </is>
      </c>
      <c r="E487" t="inlineStr">
        <is>
          <t>VARBERG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3759-2020</t>
        </is>
      </c>
      <c r="B488" s="1" t="n">
        <v>43854</v>
      </c>
      <c r="C488" s="1" t="n">
        <v>45627</v>
      </c>
      <c r="D488" t="inlineStr">
        <is>
          <t>HALLANDS LÄN</t>
        </is>
      </c>
      <c r="E488" t="inlineStr">
        <is>
          <t>VARBERG</t>
        </is>
      </c>
      <c r="G488" t="n">
        <v>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3898-2020</t>
        </is>
      </c>
      <c r="B489" s="1" t="n">
        <v>43854</v>
      </c>
      <c r="C489" s="1" t="n">
        <v>45627</v>
      </c>
      <c r="D489" t="inlineStr">
        <is>
          <t>HALLANDS LÄN</t>
        </is>
      </c>
      <c r="E489" t="inlineStr">
        <is>
          <t>HYLTE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4155-2020</t>
        </is>
      </c>
      <c r="B490" s="1" t="n">
        <v>43857</v>
      </c>
      <c r="C490" s="1" t="n">
        <v>45627</v>
      </c>
      <c r="D490" t="inlineStr">
        <is>
          <t>HALLANDS LÄN</t>
        </is>
      </c>
      <c r="E490" t="inlineStr">
        <is>
          <t>LAHOLM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4384-2020</t>
        </is>
      </c>
      <c r="B491" s="1" t="n">
        <v>43858</v>
      </c>
      <c r="C491" s="1" t="n">
        <v>45627</v>
      </c>
      <c r="D491" t="inlineStr">
        <is>
          <t>HALLANDS LÄN</t>
        </is>
      </c>
      <c r="E491" t="inlineStr">
        <is>
          <t>LAHOLM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4413-2020</t>
        </is>
      </c>
      <c r="B492" s="1" t="n">
        <v>43858</v>
      </c>
      <c r="C492" s="1" t="n">
        <v>45627</v>
      </c>
      <c r="D492" t="inlineStr">
        <is>
          <t>HALLANDS LÄN</t>
        </is>
      </c>
      <c r="E492" t="inlineStr">
        <is>
          <t>HYLTE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4787-2020</t>
        </is>
      </c>
      <c r="B493" s="1" t="n">
        <v>43859</v>
      </c>
      <c r="C493" s="1" t="n">
        <v>45627</v>
      </c>
      <c r="D493" t="inlineStr">
        <is>
          <t>HALLANDS LÄN</t>
        </is>
      </c>
      <c r="E493" t="inlineStr">
        <is>
          <t>FALKENBERG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4885-2020</t>
        </is>
      </c>
      <c r="B494" s="1" t="n">
        <v>43859</v>
      </c>
      <c r="C494" s="1" t="n">
        <v>45627</v>
      </c>
      <c r="D494" t="inlineStr">
        <is>
          <t>HALLANDS LÄN</t>
        </is>
      </c>
      <c r="E494" t="inlineStr">
        <is>
          <t>FALKENBERG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4903-2020</t>
        </is>
      </c>
      <c r="B495" s="1" t="n">
        <v>43859</v>
      </c>
      <c r="C495" s="1" t="n">
        <v>45627</v>
      </c>
      <c r="D495" t="inlineStr">
        <is>
          <t>HALLANDS LÄN</t>
        </is>
      </c>
      <c r="E495" t="inlineStr">
        <is>
          <t>HALMSTAD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4789-2020</t>
        </is>
      </c>
      <c r="B496" s="1" t="n">
        <v>43859</v>
      </c>
      <c r="C496" s="1" t="n">
        <v>45627</v>
      </c>
      <c r="D496" t="inlineStr">
        <is>
          <t>HALLANDS LÄN</t>
        </is>
      </c>
      <c r="E496" t="inlineStr">
        <is>
          <t>FALKENBERG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5066-2020</t>
        </is>
      </c>
      <c r="B497" s="1" t="n">
        <v>43859</v>
      </c>
      <c r="C497" s="1" t="n">
        <v>45627</v>
      </c>
      <c r="D497" t="inlineStr">
        <is>
          <t>HALLANDS LÄN</t>
        </is>
      </c>
      <c r="E497" t="inlineStr">
        <is>
          <t>FALKENBERG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5019-2020</t>
        </is>
      </c>
      <c r="B498" s="1" t="n">
        <v>43859</v>
      </c>
      <c r="C498" s="1" t="n">
        <v>45627</v>
      </c>
      <c r="D498" t="inlineStr">
        <is>
          <t>HALLANDS LÄN</t>
        </is>
      </c>
      <c r="E498" t="inlineStr">
        <is>
          <t>HALMSTAD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5519-2020</t>
        </is>
      </c>
      <c r="B499" s="1" t="n">
        <v>43859</v>
      </c>
      <c r="C499" s="1" t="n">
        <v>45627</v>
      </c>
      <c r="D499" t="inlineStr">
        <is>
          <t>HALLANDS LÄN</t>
        </is>
      </c>
      <c r="E499" t="inlineStr">
        <is>
          <t>HYLTE</t>
        </is>
      </c>
      <c r="F499" t="inlineStr">
        <is>
          <t>Kyrkan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5204-2020</t>
        </is>
      </c>
      <c r="B500" s="1" t="n">
        <v>43860</v>
      </c>
      <c r="C500" s="1" t="n">
        <v>45627</v>
      </c>
      <c r="D500" t="inlineStr">
        <is>
          <t>HALLANDS LÄN</t>
        </is>
      </c>
      <c r="E500" t="inlineStr">
        <is>
          <t>LAHOLM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5143-2020</t>
        </is>
      </c>
      <c r="B501" s="1" t="n">
        <v>43860</v>
      </c>
      <c r="C501" s="1" t="n">
        <v>45627</v>
      </c>
      <c r="D501" t="inlineStr">
        <is>
          <t>HALLANDS LÄN</t>
        </is>
      </c>
      <c r="E501" t="inlineStr">
        <is>
          <t>FALKENBERG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5199-2020</t>
        </is>
      </c>
      <c r="B502" s="1" t="n">
        <v>43860</v>
      </c>
      <c r="C502" s="1" t="n">
        <v>45627</v>
      </c>
      <c r="D502" t="inlineStr">
        <is>
          <t>HALLANDS LÄN</t>
        </is>
      </c>
      <c r="E502" t="inlineStr">
        <is>
          <t>LAHOLM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5414-2020</t>
        </is>
      </c>
      <c r="B503" s="1" t="n">
        <v>43860</v>
      </c>
      <c r="C503" s="1" t="n">
        <v>45627</v>
      </c>
      <c r="D503" t="inlineStr">
        <is>
          <t>HALLANDS LÄN</t>
        </is>
      </c>
      <c r="E503" t="inlineStr">
        <is>
          <t>HALMSTAD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5266-2020</t>
        </is>
      </c>
      <c r="B504" s="1" t="n">
        <v>43860</v>
      </c>
      <c r="C504" s="1" t="n">
        <v>45627</v>
      </c>
      <c r="D504" t="inlineStr">
        <is>
          <t>HALLANDS LÄN</t>
        </is>
      </c>
      <c r="E504" t="inlineStr">
        <is>
          <t>LAHOLM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5703-2020</t>
        </is>
      </c>
      <c r="B505" s="1" t="n">
        <v>43861</v>
      </c>
      <c r="C505" s="1" t="n">
        <v>45627</v>
      </c>
      <c r="D505" t="inlineStr">
        <is>
          <t>HALLANDS LÄN</t>
        </is>
      </c>
      <c r="E505" t="inlineStr">
        <is>
          <t>LAHOLM</t>
        </is>
      </c>
      <c r="G505" t="n">
        <v>3.9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5582-2020</t>
        </is>
      </c>
      <c r="B506" s="1" t="n">
        <v>43861</v>
      </c>
      <c r="C506" s="1" t="n">
        <v>45627</v>
      </c>
      <c r="D506" t="inlineStr">
        <is>
          <t>HALLANDS LÄN</t>
        </is>
      </c>
      <c r="E506" t="inlineStr">
        <is>
          <t>VARBERG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5837-2020</t>
        </is>
      </c>
      <c r="B507" s="1" t="n">
        <v>43864</v>
      </c>
      <c r="C507" s="1" t="n">
        <v>45627</v>
      </c>
      <c r="D507" t="inlineStr">
        <is>
          <t>HALLANDS LÄN</t>
        </is>
      </c>
      <c r="E507" t="inlineStr">
        <is>
          <t>VARBERG</t>
        </is>
      </c>
      <c r="G507" t="n">
        <v>6.4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5771-2020</t>
        </is>
      </c>
      <c r="B508" s="1" t="n">
        <v>43864</v>
      </c>
      <c r="C508" s="1" t="n">
        <v>45627</v>
      </c>
      <c r="D508" t="inlineStr">
        <is>
          <t>HALLANDS LÄN</t>
        </is>
      </c>
      <c r="E508" t="inlineStr">
        <is>
          <t>HALMSTAD</t>
        </is>
      </c>
      <c r="G508" t="n">
        <v>3.3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6050-2020</t>
        </is>
      </c>
      <c r="B509" s="1" t="n">
        <v>43865</v>
      </c>
      <c r="C509" s="1" t="n">
        <v>45627</v>
      </c>
      <c r="D509" t="inlineStr">
        <is>
          <t>HALLANDS LÄN</t>
        </is>
      </c>
      <c r="E509" t="inlineStr">
        <is>
          <t>VARBERG</t>
        </is>
      </c>
      <c r="G509" t="n">
        <v>2.9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6980-2020</t>
        </is>
      </c>
      <c r="B510" s="1" t="n">
        <v>43868</v>
      </c>
      <c r="C510" s="1" t="n">
        <v>45627</v>
      </c>
      <c r="D510" t="inlineStr">
        <is>
          <t>HALLANDS LÄN</t>
        </is>
      </c>
      <c r="E510" t="inlineStr">
        <is>
          <t>KUNGSBACKA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7074-2020</t>
        </is>
      </c>
      <c r="B511" s="1" t="n">
        <v>43868</v>
      </c>
      <c r="C511" s="1" t="n">
        <v>45627</v>
      </c>
      <c r="D511" t="inlineStr">
        <is>
          <t>HALLANDS LÄN</t>
        </is>
      </c>
      <c r="E511" t="inlineStr">
        <is>
          <t>VARBERG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7207-2020</t>
        </is>
      </c>
      <c r="B512" s="1" t="n">
        <v>43871</v>
      </c>
      <c r="C512" s="1" t="n">
        <v>45627</v>
      </c>
      <c r="D512" t="inlineStr">
        <is>
          <t>HALLANDS LÄN</t>
        </is>
      </c>
      <c r="E512" t="inlineStr">
        <is>
          <t>HYLTE</t>
        </is>
      </c>
      <c r="G512" t="n">
        <v>2.5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7408-2020</t>
        </is>
      </c>
      <c r="B513" s="1" t="n">
        <v>43871</v>
      </c>
      <c r="C513" s="1" t="n">
        <v>45627</v>
      </c>
      <c r="D513" t="inlineStr">
        <is>
          <t>HALLANDS LÄN</t>
        </is>
      </c>
      <c r="E513" t="inlineStr">
        <is>
          <t>HYLTE</t>
        </is>
      </c>
      <c r="G513" t="n">
        <v>2.5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7593-2020</t>
        </is>
      </c>
      <c r="B514" s="1" t="n">
        <v>43872</v>
      </c>
      <c r="C514" s="1" t="n">
        <v>45627</v>
      </c>
      <c r="D514" t="inlineStr">
        <is>
          <t>HALLANDS LÄN</t>
        </is>
      </c>
      <c r="E514" t="inlineStr">
        <is>
          <t>HALMSTAD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7848-2020</t>
        </is>
      </c>
      <c r="B515" s="1" t="n">
        <v>43873</v>
      </c>
      <c r="C515" s="1" t="n">
        <v>45627</v>
      </c>
      <c r="D515" t="inlineStr">
        <is>
          <t>HALLANDS LÄN</t>
        </is>
      </c>
      <c r="E515" t="inlineStr">
        <is>
          <t>VARBERG</t>
        </is>
      </c>
      <c r="G515" t="n">
        <v>3.3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7755-2020</t>
        </is>
      </c>
      <c r="B516" s="1" t="n">
        <v>43873</v>
      </c>
      <c r="C516" s="1" t="n">
        <v>45627</v>
      </c>
      <c r="D516" t="inlineStr">
        <is>
          <t>HALLANDS LÄN</t>
        </is>
      </c>
      <c r="E516" t="inlineStr">
        <is>
          <t>LAHOLM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7938-2020</t>
        </is>
      </c>
      <c r="B517" s="1" t="n">
        <v>43873</v>
      </c>
      <c r="C517" s="1" t="n">
        <v>45627</v>
      </c>
      <c r="D517" t="inlineStr">
        <is>
          <t>HALLANDS LÄN</t>
        </is>
      </c>
      <c r="E517" t="inlineStr">
        <is>
          <t>FALKENBERG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8337-2020</t>
        </is>
      </c>
      <c r="B518" s="1" t="n">
        <v>43875</v>
      </c>
      <c r="C518" s="1" t="n">
        <v>45627</v>
      </c>
      <c r="D518" t="inlineStr">
        <is>
          <t>HALLANDS LÄN</t>
        </is>
      </c>
      <c r="E518" t="inlineStr">
        <is>
          <t>HYLTE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8720-2020</t>
        </is>
      </c>
      <c r="B519" s="1" t="n">
        <v>43878</v>
      </c>
      <c r="C519" s="1" t="n">
        <v>45627</v>
      </c>
      <c r="D519" t="inlineStr">
        <is>
          <t>HALLANDS LÄN</t>
        </is>
      </c>
      <c r="E519" t="inlineStr">
        <is>
          <t>FALKENBERG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8855-2020</t>
        </is>
      </c>
      <c r="B520" s="1" t="n">
        <v>43878</v>
      </c>
      <c r="C520" s="1" t="n">
        <v>45627</v>
      </c>
      <c r="D520" t="inlineStr">
        <is>
          <t>HALLANDS LÄN</t>
        </is>
      </c>
      <c r="E520" t="inlineStr">
        <is>
          <t>LAHOLM</t>
        </is>
      </c>
      <c r="G520" t="n">
        <v>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8954-2020</t>
        </is>
      </c>
      <c r="B521" s="1" t="n">
        <v>43879</v>
      </c>
      <c r="C521" s="1" t="n">
        <v>45627</v>
      </c>
      <c r="D521" t="inlineStr">
        <is>
          <t>HALLANDS LÄN</t>
        </is>
      </c>
      <c r="E521" t="inlineStr">
        <is>
          <t>LAHOLM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9221-2020</t>
        </is>
      </c>
      <c r="B522" s="1" t="n">
        <v>43879</v>
      </c>
      <c r="C522" s="1" t="n">
        <v>45627</v>
      </c>
      <c r="D522" t="inlineStr">
        <is>
          <t>HALLANDS LÄN</t>
        </is>
      </c>
      <c r="E522" t="inlineStr">
        <is>
          <t>HALMSTAD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9219-2020</t>
        </is>
      </c>
      <c r="B523" s="1" t="n">
        <v>43879</v>
      </c>
      <c r="C523" s="1" t="n">
        <v>45627</v>
      </c>
      <c r="D523" t="inlineStr">
        <is>
          <t>HALLANDS LÄN</t>
        </is>
      </c>
      <c r="E523" t="inlineStr">
        <is>
          <t>HALMSTAD</t>
        </is>
      </c>
      <c r="G523" t="n">
        <v>3.5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9243-2020</t>
        </is>
      </c>
      <c r="B524" s="1" t="n">
        <v>43879</v>
      </c>
      <c r="C524" s="1" t="n">
        <v>45627</v>
      </c>
      <c r="D524" t="inlineStr">
        <is>
          <t>HALLANDS LÄN</t>
        </is>
      </c>
      <c r="E524" t="inlineStr">
        <is>
          <t>LAHOLM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9477-2020</t>
        </is>
      </c>
      <c r="B525" s="1" t="n">
        <v>43880</v>
      </c>
      <c r="C525" s="1" t="n">
        <v>45627</v>
      </c>
      <c r="D525" t="inlineStr">
        <is>
          <t>HALLANDS LÄN</t>
        </is>
      </c>
      <c r="E525" t="inlineStr">
        <is>
          <t>HALMSTAD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9417-2020</t>
        </is>
      </c>
      <c r="B526" s="1" t="n">
        <v>43880</v>
      </c>
      <c r="C526" s="1" t="n">
        <v>45627</v>
      </c>
      <c r="D526" t="inlineStr">
        <is>
          <t>HALLANDS LÄN</t>
        </is>
      </c>
      <c r="E526" t="inlineStr">
        <is>
          <t>HYLTE</t>
        </is>
      </c>
      <c r="G526" t="n">
        <v>2.9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9489-2020</t>
        </is>
      </c>
      <c r="B527" s="1" t="n">
        <v>43880</v>
      </c>
      <c r="C527" s="1" t="n">
        <v>45627</v>
      </c>
      <c r="D527" t="inlineStr">
        <is>
          <t>HALLANDS LÄN</t>
        </is>
      </c>
      <c r="E527" t="inlineStr">
        <is>
          <t>HYLTE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9452-2020</t>
        </is>
      </c>
      <c r="B528" s="1" t="n">
        <v>43880</v>
      </c>
      <c r="C528" s="1" t="n">
        <v>45627</v>
      </c>
      <c r="D528" t="inlineStr">
        <is>
          <t>HALLANDS LÄN</t>
        </is>
      </c>
      <c r="E528" t="inlineStr">
        <is>
          <t>HALMSTAD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9440-2020</t>
        </is>
      </c>
      <c r="B529" s="1" t="n">
        <v>43880</v>
      </c>
      <c r="C529" s="1" t="n">
        <v>45627</v>
      </c>
      <c r="D529" t="inlineStr">
        <is>
          <t>HALLANDS LÄN</t>
        </is>
      </c>
      <c r="E529" t="inlineStr">
        <is>
          <t>FALKENBERG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9459-2020</t>
        </is>
      </c>
      <c r="B530" s="1" t="n">
        <v>43880</v>
      </c>
      <c r="C530" s="1" t="n">
        <v>45627</v>
      </c>
      <c r="D530" t="inlineStr">
        <is>
          <t>HALLANDS LÄN</t>
        </is>
      </c>
      <c r="E530" t="inlineStr">
        <is>
          <t>HALMSTAD</t>
        </is>
      </c>
      <c r="G530" t="n">
        <v>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9640-2020</t>
        </is>
      </c>
      <c r="B531" s="1" t="n">
        <v>43881</v>
      </c>
      <c r="C531" s="1" t="n">
        <v>45627</v>
      </c>
      <c r="D531" t="inlineStr">
        <is>
          <t>HALLANDS LÄN</t>
        </is>
      </c>
      <c r="E531" t="inlineStr">
        <is>
          <t>FALKENBERG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10026-2020</t>
        </is>
      </c>
      <c r="B532" s="1" t="n">
        <v>43882</v>
      </c>
      <c r="C532" s="1" t="n">
        <v>45627</v>
      </c>
      <c r="D532" t="inlineStr">
        <is>
          <t>HALLANDS LÄN</t>
        </is>
      </c>
      <c r="E532" t="inlineStr">
        <is>
          <t>LAHOLM</t>
        </is>
      </c>
      <c r="G532" t="n">
        <v>5.3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10195-2020</t>
        </is>
      </c>
      <c r="B533" s="1" t="n">
        <v>43885</v>
      </c>
      <c r="C533" s="1" t="n">
        <v>45627</v>
      </c>
      <c r="D533" t="inlineStr">
        <is>
          <t>HALLANDS LÄN</t>
        </is>
      </c>
      <c r="E533" t="inlineStr">
        <is>
          <t>KUNGSBACKA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10370-2020</t>
        </is>
      </c>
      <c r="B534" s="1" t="n">
        <v>43885</v>
      </c>
      <c r="C534" s="1" t="n">
        <v>45627</v>
      </c>
      <c r="D534" t="inlineStr">
        <is>
          <t>HALLANDS LÄN</t>
        </is>
      </c>
      <c r="E534" t="inlineStr">
        <is>
          <t>KUNGSBACKA</t>
        </is>
      </c>
      <c r="G534" t="n">
        <v>3.3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11349-2020</t>
        </is>
      </c>
      <c r="B535" s="1" t="n">
        <v>43886</v>
      </c>
      <c r="C535" s="1" t="n">
        <v>45627</v>
      </c>
      <c r="D535" t="inlineStr">
        <is>
          <t>HALLANDS LÄN</t>
        </is>
      </c>
      <c r="E535" t="inlineStr">
        <is>
          <t>HYLTE</t>
        </is>
      </c>
      <c r="F535" t="inlineStr">
        <is>
          <t>Bergvik skog väst AB</t>
        </is>
      </c>
      <c r="G535" t="n">
        <v>5.3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10232-2020</t>
        </is>
      </c>
      <c r="B536" s="1" t="n">
        <v>43887</v>
      </c>
      <c r="C536" s="1" t="n">
        <v>45627</v>
      </c>
      <c r="D536" t="inlineStr">
        <is>
          <t>HALLANDS LÄN</t>
        </is>
      </c>
      <c r="E536" t="inlineStr">
        <is>
          <t>HALMSTAD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10592-2020</t>
        </is>
      </c>
      <c r="B537" s="1" t="n">
        <v>43887</v>
      </c>
      <c r="C537" s="1" t="n">
        <v>45627</v>
      </c>
      <c r="D537" t="inlineStr">
        <is>
          <t>HALLANDS LÄN</t>
        </is>
      </c>
      <c r="E537" t="inlineStr">
        <is>
          <t>VARBERG</t>
        </is>
      </c>
      <c r="G537" t="n">
        <v>17.7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10617-2020</t>
        </is>
      </c>
      <c r="B538" s="1" t="n">
        <v>43887</v>
      </c>
      <c r="C538" s="1" t="n">
        <v>45627</v>
      </c>
      <c r="D538" t="inlineStr">
        <is>
          <t>HALLANDS LÄN</t>
        </is>
      </c>
      <c r="E538" t="inlineStr">
        <is>
          <t>VARBERG</t>
        </is>
      </c>
      <c r="G538" t="n">
        <v>4.9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10611-2020</t>
        </is>
      </c>
      <c r="B539" s="1" t="n">
        <v>43887</v>
      </c>
      <c r="C539" s="1" t="n">
        <v>45627</v>
      </c>
      <c r="D539" t="inlineStr">
        <is>
          <t>HALLANDS LÄN</t>
        </is>
      </c>
      <c r="E539" t="inlineStr">
        <is>
          <t>VARBERG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11459-2020</t>
        </is>
      </c>
      <c r="B540" s="1" t="n">
        <v>43893</v>
      </c>
      <c r="C540" s="1" t="n">
        <v>45627</v>
      </c>
      <c r="D540" t="inlineStr">
        <is>
          <t>HALLANDS LÄN</t>
        </is>
      </c>
      <c r="E540" t="inlineStr">
        <is>
          <t>KUNGSBACKA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11734-2020</t>
        </is>
      </c>
      <c r="B541" s="1" t="n">
        <v>43894</v>
      </c>
      <c r="C541" s="1" t="n">
        <v>45627</v>
      </c>
      <c r="D541" t="inlineStr">
        <is>
          <t>HALLANDS LÄN</t>
        </is>
      </c>
      <c r="E541" t="inlineStr">
        <is>
          <t>VARBERG</t>
        </is>
      </c>
      <c r="G541" t="n">
        <v>2.4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11918-2020</t>
        </is>
      </c>
      <c r="B542" s="1" t="n">
        <v>43894</v>
      </c>
      <c r="C542" s="1" t="n">
        <v>45627</v>
      </c>
      <c r="D542" t="inlineStr">
        <is>
          <t>HALLANDS LÄN</t>
        </is>
      </c>
      <c r="E542" t="inlineStr">
        <is>
          <t>LAHOLM</t>
        </is>
      </c>
      <c r="G542" t="n">
        <v>2.6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12019-2020</t>
        </is>
      </c>
      <c r="B543" s="1" t="n">
        <v>43894</v>
      </c>
      <c r="C543" s="1" t="n">
        <v>45627</v>
      </c>
      <c r="D543" t="inlineStr">
        <is>
          <t>HALLANDS LÄN</t>
        </is>
      </c>
      <c r="E543" t="inlineStr">
        <is>
          <t>VARBERG</t>
        </is>
      </c>
      <c r="G543" t="n">
        <v>4.9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12017-2020</t>
        </is>
      </c>
      <c r="B544" s="1" t="n">
        <v>43894</v>
      </c>
      <c r="C544" s="1" t="n">
        <v>45627</v>
      </c>
      <c r="D544" t="inlineStr">
        <is>
          <t>HALLANDS LÄN</t>
        </is>
      </c>
      <c r="E544" t="inlineStr">
        <is>
          <t>VARBERG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12015-2020</t>
        </is>
      </c>
      <c r="B545" s="1" t="n">
        <v>43894</v>
      </c>
      <c r="C545" s="1" t="n">
        <v>45627</v>
      </c>
      <c r="D545" t="inlineStr">
        <is>
          <t>HALLANDS LÄN</t>
        </is>
      </c>
      <c r="E545" t="inlineStr">
        <is>
          <t>VARBERG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12071-2020</t>
        </is>
      </c>
      <c r="B546" s="1" t="n">
        <v>43895</v>
      </c>
      <c r="C546" s="1" t="n">
        <v>45627</v>
      </c>
      <c r="D546" t="inlineStr">
        <is>
          <t>HALLANDS LÄN</t>
        </is>
      </c>
      <c r="E546" t="inlineStr">
        <is>
          <t>VARBERG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12189-2020</t>
        </is>
      </c>
      <c r="B547" s="1" t="n">
        <v>43895</v>
      </c>
      <c r="C547" s="1" t="n">
        <v>45627</v>
      </c>
      <c r="D547" t="inlineStr">
        <is>
          <t>HALLANDS LÄN</t>
        </is>
      </c>
      <c r="E547" t="inlineStr">
        <is>
          <t>HALMSTAD</t>
        </is>
      </c>
      <c r="F547" t="inlineStr">
        <is>
          <t>Kommuner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13646-2020</t>
        </is>
      </c>
      <c r="B548" s="1" t="n">
        <v>43895</v>
      </c>
      <c r="C548" s="1" t="n">
        <v>45627</v>
      </c>
      <c r="D548" t="inlineStr">
        <is>
          <t>HALLANDS LÄN</t>
        </is>
      </c>
      <c r="E548" t="inlineStr">
        <is>
          <t>LAHOLM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12367-2020</t>
        </is>
      </c>
      <c r="B549" s="1" t="n">
        <v>43896</v>
      </c>
      <c r="C549" s="1" t="n">
        <v>45627</v>
      </c>
      <c r="D549" t="inlineStr">
        <is>
          <t>HALLANDS LÄN</t>
        </is>
      </c>
      <c r="E549" t="inlineStr">
        <is>
          <t>LAHOLM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12448-2020</t>
        </is>
      </c>
      <c r="B550" s="1" t="n">
        <v>43896</v>
      </c>
      <c r="C550" s="1" t="n">
        <v>45627</v>
      </c>
      <c r="D550" t="inlineStr">
        <is>
          <t>HALLANDS LÄN</t>
        </is>
      </c>
      <c r="E550" t="inlineStr">
        <is>
          <t>VARBERG</t>
        </is>
      </c>
      <c r="G550" t="n">
        <v>2.9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12947-2020</t>
        </is>
      </c>
      <c r="B551" s="1" t="n">
        <v>43900</v>
      </c>
      <c r="C551" s="1" t="n">
        <v>45627</v>
      </c>
      <c r="D551" t="inlineStr">
        <is>
          <t>HALLANDS LÄN</t>
        </is>
      </c>
      <c r="E551" t="inlineStr">
        <is>
          <t>VARBERG</t>
        </is>
      </c>
      <c r="G551" t="n">
        <v>5.2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13152-2020</t>
        </is>
      </c>
      <c r="B552" s="1" t="n">
        <v>43901</v>
      </c>
      <c r="C552" s="1" t="n">
        <v>45627</v>
      </c>
      <c r="D552" t="inlineStr">
        <is>
          <t>HALLANDS LÄN</t>
        </is>
      </c>
      <c r="E552" t="inlineStr">
        <is>
          <t>HYLTE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13114-2020</t>
        </is>
      </c>
      <c r="B553" s="1" t="n">
        <v>43901</v>
      </c>
      <c r="C553" s="1" t="n">
        <v>45627</v>
      </c>
      <c r="D553" t="inlineStr">
        <is>
          <t>HALLANDS LÄN</t>
        </is>
      </c>
      <c r="E553" t="inlineStr">
        <is>
          <t>HYLTE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13150-2020</t>
        </is>
      </c>
      <c r="B554" s="1" t="n">
        <v>43901</v>
      </c>
      <c r="C554" s="1" t="n">
        <v>45627</v>
      </c>
      <c r="D554" t="inlineStr">
        <is>
          <t>HALLANDS LÄN</t>
        </is>
      </c>
      <c r="E554" t="inlineStr">
        <is>
          <t>HYLTE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13405-2020</t>
        </is>
      </c>
      <c r="B555" s="1" t="n">
        <v>43902</v>
      </c>
      <c r="C555" s="1" t="n">
        <v>45627</v>
      </c>
      <c r="D555" t="inlineStr">
        <is>
          <t>HALLANDS LÄN</t>
        </is>
      </c>
      <c r="E555" t="inlineStr">
        <is>
          <t>HALMSTAD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13398-2020</t>
        </is>
      </c>
      <c r="B556" s="1" t="n">
        <v>43902</v>
      </c>
      <c r="C556" s="1" t="n">
        <v>45627</v>
      </c>
      <c r="D556" t="inlineStr">
        <is>
          <t>HALLANDS LÄN</t>
        </is>
      </c>
      <c r="E556" t="inlineStr">
        <is>
          <t>HALMSTAD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13341-2020</t>
        </is>
      </c>
      <c r="B557" s="1" t="n">
        <v>43902</v>
      </c>
      <c r="C557" s="1" t="n">
        <v>45627</v>
      </c>
      <c r="D557" t="inlineStr">
        <is>
          <t>HALLANDS LÄN</t>
        </is>
      </c>
      <c r="E557" t="inlineStr">
        <is>
          <t>FALKENBERG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13631-2020</t>
        </is>
      </c>
      <c r="B558" s="1" t="n">
        <v>43903</v>
      </c>
      <c r="C558" s="1" t="n">
        <v>45627</v>
      </c>
      <c r="D558" t="inlineStr">
        <is>
          <t>HALLANDS LÄN</t>
        </is>
      </c>
      <c r="E558" t="inlineStr">
        <is>
          <t>KUNGSBACKA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13642-2020</t>
        </is>
      </c>
      <c r="B559" s="1" t="n">
        <v>43903</v>
      </c>
      <c r="C559" s="1" t="n">
        <v>45627</v>
      </c>
      <c r="D559" t="inlineStr">
        <is>
          <t>HALLANDS LÄN</t>
        </is>
      </c>
      <c r="E559" t="inlineStr">
        <is>
          <t>HYLTE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13761-2020</t>
        </is>
      </c>
      <c r="B560" s="1" t="n">
        <v>43903</v>
      </c>
      <c r="C560" s="1" t="n">
        <v>45627</v>
      </c>
      <c r="D560" t="inlineStr">
        <is>
          <t>HALLANDS LÄN</t>
        </is>
      </c>
      <c r="E560" t="inlineStr">
        <is>
          <t>HYLTE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13842-2020</t>
        </is>
      </c>
      <c r="B561" s="1" t="n">
        <v>43906</v>
      </c>
      <c r="C561" s="1" t="n">
        <v>45627</v>
      </c>
      <c r="D561" t="inlineStr">
        <is>
          <t>HALLANDS LÄN</t>
        </is>
      </c>
      <c r="E561" t="inlineStr">
        <is>
          <t>FALKENBERG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14299-2020</t>
        </is>
      </c>
      <c r="B562" s="1" t="n">
        <v>43907</v>
      </c>
      <c r="C562" s="1" t="n">
        <v>45627</v>
      </c>
      <c r="D562" t="inlineStr">
        <is>
          <t>HALLANDS LÄN</t>
        </is>
      </c>
      <c r="E562" t="inlineStr">
        <is>
          <t>KUNGSBACKA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14296-2020</t>
        </is>
      </c>
      <c r="B563" s="1" t="n">
        <v>43907</v>
      </c>
      <c r="C563" s="1" t="n">
        <v>45627</v>
      </c>
      <c r="D563" t="inlineStr">
        <is>
          <t>HALLANDS LÄN</t>
        </is>
      </c>
      <c r="E563" t="inlineStr">
        <is>
          <t>KUNGSBACKA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14520-2020</t>
        </is>
      </c>
      <c r="B564" s="1" t="n">
        <v>43908</v>
      </c>
      <c r="C564" s="1" t="n">
        <v>45627</v>
      </c>
      <c r="D564" t="inlineStr">
        <is>
          <t>HALLANDS LÄN</t>
        </is>
      </c>
      <c r="E564" t="inlineStr">
        <is>
          <t>HYLTE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14550-2020</t>
        </is>
      </c>
      <c r="B565" s="1" t="n">
        <v>43908</v>
      </c>
      <c r="C565" s="1" t="n">
        <v>45627</v>
      </c>
      <c r="D565" t="inlineStr">
        <is>
          <t>HALLANDS LÄN</t>
        </is>
      </c>
      <c r="E565" t="inlineStr">
        <is>
          <t>FALKENBERG</t>
        </is>
      </c>
      <c r="G565" t="n">
        <v>9.9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14474-2020</t>
        </is>
      </c>
      <c r="B566" s="1" t="n">
        <v>43908</v>
      </c>
      <c r="C566" s="1" t="n">
        <v>45627</v>
      </c>
      <c r="D566" t="inlineStr">
        <is>
          <t>HALLANDS LÄN</t>
        </is>
      </c>
      <c r="E566" t="inlineStr">
        <is>
          <t>VARBERG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14523-2020</t>
        </is>
      </c>
      <c r="B567" s="1" t="n">
        <v>43908</v>
      </c>
      <c r="C567" s="1" t="n">
        <v>45627</v>
      </c>
      <c r="D567" t="inlineStr">
        <is>
          <t>HALLANDS LÄN</t>
        </is>
      </c>
      <c r="E567" t="inlineStr">
        <is>
          <t>HYLTE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16582-2020</t>
        </is>
      </c>
      <c r="B568" s="1" t="n">
        <v>43909</v>
      </c>
      <c r="C568" s="1" t="n">
        <v>45627</v>
      </c>
      <c r="D568" t="inlineStr">
        <is>
          <t>HALLANDS LÄN</t>
        </is>
      </c>
      <c r="E568" t="inlineStr">
        <is>
          <t>HALMSTAD</t>
        </is>
      </c>
      <c r="F568" t="inlineStr">
        <is>
          <t>Sveaskog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15160-2020</t>
        </is>
      </c>
      <c r="B569" s="1" t="n">
        <v>43912</v>
      </c>
      <c r="C569" s="1" t="n">
        <v>45627</v>
      </c>
      <c r="D569" t="inlineStr">
        <is>
          <t>HALLANDS LÄN</t>
        </is>
      </c>
      <c r="E569" t="inlineStr">
        <is>
          <t>LAHOLM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15299-2020</t>
        </is>
      </c>
      <c r="B570" s="1" t="n">
        <v>43913</v>
      </c>
      <c r="C570" s="1" t="n">
        <v>45627</v>
      </c>
      <c r="D570" t="inlineStr">
        <is>
          <t>HALLANDS LÄN</t>
        </is>
      </c>
      <c r="E570" t="inlineStr">
        <is>
          <t>LAHOLM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15227-2020</t>
        </is>
      </c>
      <c r="B571" s="1" t="n">
        <v>43913</v>
      </c>
      <c r="C571" s="1" t="n">
        <v>45627</v>
      </c>
      <c r="D571" t="inlineStr">
        <is>
          <t>HALLANDS LÄN</t>
        </is>
      </c>
      <c r="E571" t="inlineStr">
        <is>
          <t>HYLTE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15418-2020</t>
        </is>
      </c>
      <c r="B572" s="1" t="n">
        <v>43914</v>
      </c>
      <c r="C572" s="1" t="n">
        <v>45627</v>
      </c>
      <c r="D572" t="inlineStr">
        <is>
          <t>HALLANDS LÄN</t>
        </is>
      </c>
      <c r="E572" t="inlineStr">
        <is>
          <t>FALKENBERG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15417-2020</t>
        </is>
      </c>
      <c r="B573" s="1" t="n">
        <v>43914</v>
      </c>
      <c r="C573" s="1" t="n">
        <v>45627</v>
      </c>
      <c r="D573" t="inlineStr">
        <is>
          <t>HALLANDS LÄN</t>
        </is>
      </c>
      <c r="E573" t="inlineStr">
        <is>
          <t>FALKENBERG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17557-2020</t>
        </is>
      </c>
      <c r="B574" s="1" t="n">
        <v>43914</v>
      </c>
      <c r="C574" s="1" t="n">
        <v>45627</v>
      </c>
      <c r="D574" t="inlineStr">
        <is>
          <t>HALLANDS LÄN</t>
        </is>
      </c>
      <c r="E574" t="inlineStr">
        <is>
          <t>FALKENBERG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15707-2020</t>
        </is>
      </c>
      <c r="B575" s="1" t="n">
        <v>43915</v>
      </c>
      <c r="C575" s="1" t="n">
        <v>45627</v>
      </c>
      <c r="D575" t="inlineStr">
        <is>
          <t>HALLANDS LÄN</t>
        </is>
      </c>
      <c r="E575" t="inlineStr">
        <is>
          <t>FALKENBERG</t>
        </is>
      </c>
      <c r="G575" t="n">
        <v>0.3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15902-2020</t>
        </is>
      </c>
      <c r="B576" s="1" t="n">
        <v>43916</v>
      </c>
      <c r="C576" s="1" t="n">
        <v>45627</v>
      </c>
      <c r="D576" t="inlineStr">
        <is>
          <t>HALLANDS LÄN</t>
        </is>
      </c>
      <c r="E576" t="inlineStr">
        <is>
          <t>FALKENBERG</t>
        </is>
      </c>
      <c r="G576" t="n">
        <v>13.9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16103-2020</t>
        </is>
      </c>
      <c r="B577" s="1" t="n">
        <v>43916</v>
      </c>
      <c r="C577" s="1" t="n">
        <v>45627</v>
      </c>
      <c r="D577" t="inlineStr">
        <is>
          <t>HALLANDS LÄN</t>
        </is>
      </c>
      <c r="E577" t="inlineStr">
        <is>
          <t>FALKENBERG</t>
        </is>
      </c>
      <c r="G577" t="n">
        <v>3.6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15905-2020</t>
        </is>
      </c>
      <c r="B578" s="1" t="n">
        <v>43916</v>
      </c>
      <c r="C578" s="1" t="n">
        <v>45627</v>
      </c>
      <c r="D578" t="inlineStr">
        <is>
          <t>HALLANDS LÄN</t>
        </is>
      </c>
      <c r="E578" t="inlineStr">
        <is>
          <t>FALKENBERG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17367-2020</t>
        </is>
      </c>
      <c r="B579" s="1" t="n">
        <v>43916</v>
      </c>
      <c r="C579" s="1" t="n">
        <v>45627</v>
      </c>
      <c r="D579" t="inlineStr">
        <is>
          <t>HALLANDS LÄN</t>
        </is>
      </c>
      <c r="E579" t="inlineStr">
        <is>
          <t>HYLTE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16029-2020</t>
        </is>
      </c>
      <c r="B580" s="1" t="n">
        <v>43916</v>
      </c>
      <c r="C580" s="1" t="n">
        <v>45627</v>
      </c>
      <c r="D580" t="inlineStr">
        <is>
          <t>HALLANDS LÄN</t>
        </is>
      </c>
      <c r="E580" t="inlineStr">
        <is>
          <t>HALMSTAD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17364-2020</t>
        </is>
      </c>
      <c r="B581" s="1" t="n">
        <v>43916</v>
      </c>
      <c r="C581" s="1" t="n">
        <v>45627</v>
      </c>
      <c r="D581" t="inlineStr">
        <is>
          <t>HALLANDS LÄN</t>
        </is>
      </c>
      <c r="E581" t="inlineStr">
        <is>
          <t>HYLTE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16250-2020</t>
        </is>
      </c>
      <c r="B582" s="1" t="n">
        <v>43917</v>
      </c>
      <c r="C582" s="1" t="n">
        <v>45627</v>
      </c>
      <c r="D582" t="inlineStr">
        <is>
          <t>HALLANDS LÄN</t>
        </is>
      </c>
      <c r="E582" t="inlineStr">
        <is>
          <t>KUNGSBACKA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17808-2020</t>
        </is>
      </c>
      <c r="B583" s="1" t="n">
        <v>43917</v>
      </c>
      <c r="C583" s="1" t="n">
        <v>45627</v>
      </c>
      <c r="D583" t="inlineStr">
        <is>
          <t>HALLANDS LÄN</t>
        </is>
      </c>
      <c r="E583" t="inlineStr">
        <is>
          <t>FALKENBERG</t>
        </is>
      </c>
      <c r="F583" t="inlineStr">
        <is>
          <t>Kyrkan</t>
        </is>
      </c>
      <c r="G583" t="n">
        <v>3.2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16405-2020</t>
        </is>
      </c>
      <c r="B584" s="1" t="n">
        <v>43918</v>
      </c>
      <c r="C584" s="1" t="n">
        <v>45627</v>
      </c>
      <c r="D584" t="inlineStr">
        <is>
          <t>HALLANDS LÄN</t>
        </is>
      </c>
      <c r="E584" t="inlineStr">
        <is>
          <t>LAHOLM</t>
        </is>
      </c>
      <c r="G584" t="n">
        <v>3.9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16406-2020</t>
        </is>
      </c>
      <c r="B585" s="1" t="n">
        <v>43918</v>
      </c>
      <c r="C585" s="1" t="n">
        <v>45627</v>
      </c>
      <c r="D585" t="inlineStr">
        <is>
          <t>HALLANDS LÄN</t>
        </is>
      </c>
      <c r="E585" t="inlineStr">
        <is>
          <t>LAHOLM</t>
        </is>
      </c>
      <c r="G585" t="n">
        <v>4.3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16612-2020</t>
        </is>
      </c>
      <c r="B586" s="1" t="n">
        <v>43920</v>
      </c>
      <c r="C586" s="1" t="n">
        <v>45627</v>
      </c>
      <c r="D586" t="inlineStr">
        <is>
          <t>HALLANDS LÄN</t>
        </is>
      </c>
      <c r="E586" t="inlineStr">
        <is>
          <t>VARBERG</t>
        </is>
      </c>
      <c r="F586" t="inlineStr">
        <is>
          <t>Övriga statliga verk och myndigheter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16632-2020</t>
        </is>
      </c>
      <c r="B587" s="1" t="n">
        <v>43920</v>
      </c>
      <c r="C587" s="1" t="n">
        <v>45627</v>
      </c>
      <c r="D587" t="inlineStr">
        <is>
          <t>HALLANDS LÄN</t>
        </is>
      </c>
      <c r="E587" t="inlineStr">
        <is>
          <t>VARBERG</t>
        </is>
      </c>
      <c r="F587" t="inlineStr">
        <is>
          <t>Övriga statliga verk och myndigheter</t>
        </is>
      </c>
      <c r="G587" t="n">
        <v>2.5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17819-2020</t>
        </is>
      </c>
      <c r="B588" s="1" t="n">
        <v>43920</v>
      </c>
      <c r="C588" s="1" t="n">
        <v>45627</v>
      </c>
      <c r="D588" t="inlineStr">
        <is>
          <t>HALLANDS LÄN</t>
        </is>
      </c>
      <c r="E588" t="inlineStr">
        <is>
          <t>FALKENBERG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16959-2020</t>
        </is>
      </c>
      <c r="B589" s="1" t="n">
        <v>43921</v>
      </c>
      <c r="C589" s="1" t="n">
        <v>45627</v>
      </c>
      <c r="D589" t="inlineStr">
        <is>
          <t>HALLANDS LÄN</t>
        </is>
      </c>
      <c r="E589" t="inlineStr">
        <is>
          <t>VARBERG</t>
        </is>
      </c>
      <c r="F589" t="inlineStr">
        <is>
          <t>Övriga statliga verk och myndigheter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17057-2020</t>
        </is>
      </c>
      <c r="B590" s="1" t="n">
        <v>43921</v>
      </c>
      <c r="C590" s="1" t="n">
        <v>45627</v>
      </c>
      <c r="D590" t="inlineStr">
        <is>
          <t>HALLANDS LÄN</t>
        </is>
      </c>
      <c r="E590" t="inlineStr">
        <is>
          <t>FALKENBERG</t>
        </is>
      </c>
      <c r="G590" t="n">
        <v>0.4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16902-2020</t>
        </is>
      </c>
      <c r="B591" s="1" t="n">
        <v>43921</v>
      </c>
      <c r="C591" s="1" t="n">
        <v>45627</v>
      </c>
      <c r="D591" t="inlineStr">
        <is>
          <t>HALLANDS LÄN</t>
        </is>
      </c>
      <c r="E591" t="inlineStr">
        <is>
          <t>KUNGSBACKA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17323-2020</t>
        </is>
      </c>
      <c r="B592" s="1" t="n">
        <v>43922</v>
      </c>
      <c r="C592" s="1" t="n">
        <v>45627</v>
      </c>
      <c r="D592" t="inlineStr">
        <is>
          <t>HALLANDS LÄN</t>
        </is>
      </c>
      <c r="E592" t="inlineStr">
        <is>
          <t>VARBERG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17283-2020</t>
        </is>
      </c>
      <c r="B593" s="1" t="n">
        <v>43922</v>
      </c>
      <c r="C593" s="1" t="n">
        <v>45627</v>
      </c>
      <c r="D593" t="inlineStr">
        <is>
          <t>HALLANDS LÄN</t>
        </is>
      </c>
      <c r="E593" t="inlineStr">
        <is>
          <t>LAHOLM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17280-2020</t>
        </is>
      </c>
      <c r="B594" s="1" t="n">
        <v>43922</v>
      </c>
      <c r="C594" s="1" t="n">
        <v>45627</v>
      </c>
      <c r="D594" t="inlineStr">
        <is>
          <t>HALLANDS LÄN</t>
        </is>
      </c>
      <c r="E594" t="inlineStr">
        <is>
          <t>LAHOLM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17324-2020</t>
        </is>
      </c>
      <c r="B595" s="1" t="n">
        <v>43922</v>
      </c>
      <c r="C595" s="1" t="n">
        <v>45627</v>
      </c>
      <c r="D595" t="inlineStr">
        <is>
          <t>HALLANDS LÄN</t>
        </is>
      </c>
      <c r="E595" t="inlineStr">
        <is>
          <t>VARBERG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17258-2020</t>
        </is>
      </c>
      <c r="B596" s="1" t="n">
        <v>43922</v>
      </c>
      <c r="C596" s="1" t="n">
        <v>45627</v>
      </c>
      <c r="D596" t="inlineStr">
        <is>
          <t>HALLANDS LÄN</t>
        </is>
      </c>
      <c r="E596" t="inlineStr">
        <is>
          <t>KUNGSBACKA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17724-2020</t>
        </is>
      </c>
      <c r="B597" s="1" t="n">
        <v>43924</v>
      </c>
      <c r="C597" s="1" t="n">
        <v>45627</v>
      </c>
      <c r="D597" t="inlineStr">
        <is>
          <t>HALLANDS LÄN</t>
        </is>
      </c>
      <c r="E597" t="inlineStr">
        <is>
          <t>HALMSTAD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17725-2020</t>
        </is>
      </c>
      <c r="B598" s="1" t="n">
        <v>43924</v>
      </c>
      <c r="C598" s="1" t="n">
        <v>45627</v>
      </c>
      <c r="D598" t="inlineStr">
        <is>
          <t>HALLANDS LÄN</t>
        </is>
      </c>
      <c r="E598" t="inlineStr">
        <is>
          <t>HALMSTAD</t>
        </is>
      </c>
      <c r="G598" t="n">
        <v>2.5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18125-2020</t>
        </is>
      </c>
      <c r="B599" s="1" t="n">
        <v>43927</v>
      </c>
      <c r="C599" s="1" t="n">
        <v>45627</v>
      </c>
      <c r="D599" t="inlineStr">
        <is>
          <t>HALLANDS LÄN</t>
        </is>
      </c>
      <c r="E599" t="inlineStr">
        <is>
          <t>HALMSTAD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18100-2020</t>
        </is>
      </c>
      <c r="B600" s="1" t="n">
        <v>43927</v>
      </c>
      <c r="C600" s="1" t="n">
        <v>45627</v>
      </c>
      <c r="D600" t="inlineStr">
        <is>
          <t>HALLANDS LÄN</t>
        </is>
      </c>
      <c r="E600" t="inlineStr">
        <is>
          <t>HYLTE</t>
        </is>
      </c>
      <c r="G600" t="n">
        <v>3.5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18328-2020</t>
        </is>
      </c>
      <c r="B601" s="1" t="n">
        <v>43928</v>
      </c>
      <c r="C601" s="1" t="n">
        <v>45627</v>
      </c>
      <c r="D601" t="inlineStr">
        <is>
          <t>HALLANDS LÄN</t>
        </is>
      </c>
      <c r="E601" t="inlineStr">
        <is>
          <t>KUNGSBACKA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18321-2020</t>
        </is>
      </c>
      <c r="B602" s="1" t="n">
        <v>43928</v>
      </c>
      <c r="C602" s="1" t="n">
        <v>45627</v>
      </c>
      <c r="D602" t="inlineStr">
        <is>
          <t>HALLANDS LÄN</t>
        </is>
      </c>
      <c r="E602" t="inlineStr">
        <is>
          <t>KUNGSBACKA</t>
        </is>
      </c>
      <c r="G602" t="n">
        <v>12.4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18400-2020</t>
        </is>
      </c>
      <c r="B603" s="1" t="n">
        <v>43928</v>
      </c>
      <c r="C603" s="1" t="n">
        <v>45627</v>
      </c>
      <c r="D603" t="inlineStr">
        <is>
          <t>HALLANDS LÄN</t>
        </is>
      </c>
      <c r="E603" t="inlineStr">
        <is>
          <t>LAHOLM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18599-2020</t>
        </is>
      </c>
      <c r="B604" s="1" t="n">
        <v>43929</v>
      </c>
      <c r="C604" s="1" t="n">
        <v>45627</v>
      </c>
      <c r="D604" t="inlineStr">
        <is>
          <t>HALLANDS LÄN</t>
        </is>
      </c>
      <c r="E604" t="inlineStr">
        <is>
          <t>FALKENBERG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18454-2020</t>
        </is>
      </c>
      <c r="B605" s="1" t="n">
        <v>43929</v>
      </c>
      <c r="C605" s="1" t="n">
        <v>45627</v>
      </c>
      <c r="D605" t="inlineStr">
        <is>
          <t>HALLANDS LÄN</t>
        </is>
      </c>
      <c r="E605" t="inlineStr">
        <is>
          <t>FALKENBERG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18621-2020</t>
        </is>
      </c>
      <c r="B606" s="1" t="n">
        <v>43930</v>
      </c>
      <c r="C606" s="1" t="n">
        <v>45627</v>
      </c>
      <c r="D606" t="inlineStr">
        <is>
          <t>HALLANDS LÄN</t>
        </is>
      </c>
      <c r="E606" t="inlineStr">
        <is>
          <t>FALKENBERG</t>
        </is>
      </c>
      <c r="G606" t="n">
        <v>3.3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19060-2020</t>
        </is>
      </c>
      <c r="B607" s="1" t="n">
        <v>43936</v>
      </c>
      <c r="C607" s="1" t="n">
        <v>45627</v>
      </c>
      <c r="D607" t="inlineStr">
        <is>
          <t>HALLANDS LÄN</t>
        </is>
      </c>
      <c r="E607" t="inlineStr">
        <is>
          <t>LAHOLM</t>
        </is>
      </c>
      <c r="G607" t="n">
        <v>2.8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19082-2020</t>
        </is>
      </c>
      <c r="B608" s="1" t="n">
        <v>43936</v>
      </c>
      <c r="C608" s="1" t="n">
        <v>45627</v>
      </c>
      <c r="D608" t="inlineStr">
        <is>
          <t>HALLANDS LÄN</t>
        </is>
      </c>
      <c r="E608" t="inlineStr">
        <is>
          <t>HYLTE</t>
        </is>
      </c>
      <c r="G608" t="n">
        <v>2.3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19237-2020</t>
        </is>
      </c>
      <c r="B609" s="1" t="n">
        <v>43937</v>
      </c>
      <c r="C609" s="1" t="n">
        <v>45627</v>
      </c>
      <c r="D609" t="inlineStr">
        <is>
          <t>HALLANDS LÄN</t>
        </is>
      </c>
      <c r="E609" t="inlineStr">
        <is>
          <t>HYLTE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19209-2020</t>
        </is>
      </c>
      <c r="B610" s="1" t="n">
        <v>43937</v>
      </c>
      <c r="C610" s="1" t="n">
        <v>45627</v>
      </c>
      <c r="D610" t="inlineStr">
        <is>
          <t>HALLANDS LÄN</t>
        </is>
      </c>
      <c r="E610" t="inlineStr">
        <is>
          <t>HALMSTAD</t>
        </is>
      </c>
      <c r="G610" t="n">
        <v>5.7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19235-2020</t>
        </is>
      </c>
      <c r="B611" s="1" t="n">
        <v>43937</v>
      </c>
      <c r="C611" s="1" t="n">
        <v>45627</v>
      </c>
      <c r="D611" t="inlineStr">
        <is>
          <t>HALLANDS LÄN</t>
        </is>
      </c>
      <c r="E611" t="inlineStr">
        <is>
          <t>HYLTE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19331-2020</t>
        </is>
      </c>
      <c r="B612" s="1" t="n">
        <v>43937</v>
      </c>
      <c r="C612" s="1" t="n">
        <v>45627</v>
      </c>
      <c r="D612" t="inlineStr">
        <is>
          <t>HALLANDS LÄN</t>
        </is>
      </c>
      <c r="E612" t="inlineStr">
        <is>
          <t>FALKENBERG</t>
        </is>
      </c>
      <c r="F612" t="inlineStr">
        <is>
          <t>Kyrkan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19879-2020</t>
        </is>
      </c>
      <c r="B613" s="1" t="n">
        <v>43941</v>
      </c>
      <c r="C613" s="1" t="n">
        <v>45627</v>
      </c>
      <c r="D613" t="inlineStr">
        <is>
          <t>HALLANDS LÄN</t>
        </is>
      </c>
      <c r="E613" t="inlineStr">
        <is>
          <t>HYLTE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19756-2020</t>
        </is>
      </c>
      <c r="B614" s="1" t="n">
        <v>43942</v>
      </c>
      <c r="C614" s="1" t="n">
        <v>45627</v>
      </c>
      <c r="D614" t="inlineStr">
        <is>
          <t>HALLANDS LÄN</t>
        </is>
      </c>
      <c r="E614" t="inlineStr">
        <is>
          <t>FALKENBERG</t>
        </is>
      </c>
      <c r="G614" t="n">
        <v>3.9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19737-2020</t>
        </is>
      </c>
      <c r="B615" s="1" t="n">
        <v>43942</v>
      </c>
      <c r="C615" s="1" t="n">
        <v>45627</v>
      </c>
      <c r="D615" t="inlineStr">
        <is>
          <t>HALLANDS LÄN</t>
        </is>
      </c>
      <c r="E615" t="inlineStr">
        <is>
          <t>HALMSTAD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19739-2020</t>
        </is>
      </c>
      <c r="B616" s="1" t="n">
        <v>43942</v>
      </c>
      <c r="C616" s="1" t="n">
        <v>45627</v>
      </c>
      <c r="D616" t="inlineStr">
        <is>
          <t>HALLANDS LÄN</t>
        </is>
      </c>
      <c r="E616" t="inlineStr">
        <is>
          <t>VARBERG</t>
        </is>
      </c>
      <c r="G616" t="n">
        <v>2.8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19762-2020</t>
        </is>
      </c>
      <c r="B617" s="1" t="n">
        <v>43942</v>
      </c>
      <c r="C617" s="1" t="n">
        <v>45627</v>
      </c>
      <c r="D617" t="inlineStr">
        <is>
          <t>HALLANDS LÄN</t>
        </is>
      </c>
      <c r="E617" t="inlineStr">
        <is>
          <t>FALKENBERG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20053-2020</t>
        </is>
      </c>
      <c r="B618" s="1" t="n">
        <v>43943</v>
      </c>
      <c r="C618" s="1" t="n">
        <v>45627</v>
      </c>
      <c r="D618" t="inlineStr">
        <is>
          <t>HALLANDS LÄN</t>
        </is>
      </c>
      <c r="E618" t="inlineStr">
        <is>
          <t>HYLTE</t>
        </is>
      </c>
      <c r="G618" t="n">
        <v>4.8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20049-2020</t>
        </is>
      </c>
      <c r="B619" s="1" t="n">
        <v>43943</v>
      </c>
      <c r="C619" s="1" t="n">
        <v>45627</v>
      </c>
      <c r="D619" t="inlineStr">
        <is>
          <t>HALLANDS LÄN</t>
        </is>
      </c>
      <c r="E619" t="inlineStr">
        <is>
          <t>HYLTE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20188-2020</t>
        </is>
      </c>
      <c r="B620" s="1" t="n">
        <v>43944</v>
      </c>
      <c r="C620" s="1" t="n">
        <v>45627</v>
      </c>
      <c r="D620" t="inlineStr">
        <is>
          <t>HALLANDS LÄN</t>
        </is>
      </c>
      <c r="E620" t="inlineStr">
        <is>
          <t>FALKENBERG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20186-2020</t>
        </is>
      </c>
      <c r="B621" s="1" t="n">
        <v>43944</v>
      </c>
      <c r="C621" s="1" t="n">
        <v>45627</v>
      </c>
      <c r="D621" t="inlineStr">
        <is>
          <t>HALLANDS LÄN</t>
        </is>
      </c>
      <c r="E621" t="inlineStr">
        <is>
          <t>FALKENBERG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20180-2020</t>
        </is>
      </c>
      <c r="B622" s="1" t="n">
        <v>43944</v>
      </c>
      <c r="C622" s="1" t="n">
        <v>45627</v>
      </c>
      <c r="D622" t="inlineStr">
        <is>
          <t>HALLANDS LÄN</t>
        </is>
      </c>
      <c r="E622" t="inlineStr">
        <is>
          <t>FALKENBERG</t>
        </is>
      </c>
      <c r="G622" t="n">
        <v>3.5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20183-2020</t>
        </is>
      </c>
      <c r="B623" s="1" t="n">
        <v>43944</v>
      </c>
      <c r="C623" s="1" t="n">
        <v>45627</v>
      </c>
      <c r="D623" t="inlineStr">
        <is>
          <t>HALLANDS LÄN</t>
        </is>
      </c>
      <c r="E623" t="inlineStr">
        <is>
          <t>FALKENBERG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20208-2020</t>
        </is>
      </c>
      <c r="B624" s="1" t="n">
        <v>43944</v>
      </c>
      <c r="C624" s="1" t="n">
        <v>45627</v>
      </c>
      <c r="D624" t="inlineStr">
        <is>
          <t>HALLANDS LÄN</t>
        </is>
      </c>
      <c r="E624" t="inlineStr">
        <is>
          <t>HALMSTAD</t>
        </is>
      </c>
      <c r="G624" t="n">
        <v>2.4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20297-2020</t>
        </is>
      </c>
      <c r="B625" s="1" t="n">
        <v>43944</v>
      </c>
      <c r="C625" s="1" t="n">
        <v>45627</v>
      </c>
      <c r="D625" t="inlineStr">
        <is>
          <t>HALLANDS LÄN</t>
        </is>
      </c>
      <c r="E625" t="inlineStr">
        <is>
          <t>HALMSTAD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20281-2020</t>
        </is>
      </c>
      <c r="B626" s="1" t="n">
        <v>43945</v>
      </c>
      <c r="C626" s="1" t="n">
        <v>45627</v>
      </c>
      <c r="D626" t="inlineStr">
        <is>
          <t>HALLANDS LÄN</t>
        </is>
      </c>
      <c r="E626" t="inlineStr">
        <is>
          <t>FALKENBERG</t>
        </is>
      </c>
      <c r="G626" t="n">
        <v>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20457-2020</t>
        </is>
      </c>
      <c r="B627" s="1" t="n">
        <v>43948</v>
      </c>
      <c r="C627" s="1" t="n">
        <v>45627</v>
      </c>
      <c r="D627" t="inlineStr">
        <is>
          <t>HALLANDS LÄN</t>
        </is>
      </c>
      <c r="E627" t="inlineStr">
        <is>
          <t>HALMSTAD</t>
        </is>
      </c>
      <c r="G627" t="n">
        <v>3.7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20589-2020</t>
        </is>
      </c>
      <c r="B628" s="1" t="n">
        <v>43948</v>
      </c>
      <c r="C628" s="1" t="n">
        <v>45627</v>
      </c>
      <c r="D628" t="inlineStr">
        <is>
          <t>HALLANDS LÄN</t>
        </is>
      </c>
      <c r="E628" t="inlineStr">
        <is>
          <t>VARBERG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20588-2020</t>
        </is>
      </c>
      <c r="B629" s="1" t="n">
        <v>43948</v>
      </c>
      <c r="C629" s="1" t="n">
        <v>45627</v>
      </c>
      <c r="D629" t="inlineStr">
        <is>
          <t>HALLANDS LÄN</t>
        </is>
      </c>
      <c r="E629" t="inlineStr">
        <is>
          <t>VARBERG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20717-2020</t>
        </is>
      </c>
      <c r="B630" s="1" t="n">
        <v>43949</v>
      </c>
      <c r="C630" s="1" t="n">
        <v>45627</v>
      </c>
      <c r="D630" t="inlineStr">
        <is>
          <t>HALLANDS LÄN</t>
        </is>
      </c>
      <c r="E630" t="inlineStr">
        <is>
          <t>HYLTE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20637-2020</t>
        </is>
      </c>
      <c r="B631" s="1" t="n">
        <v>43949</v>
      </c>
      <c r="C631" s="1" t="n">
        <v>45627</v>
      </c>
      <c r="D631" t="inlineStr">
        <is>
          <t>HALLANDS LÄN</t>
        </is>
      </c>
      <c r="E631" t="inlineStr">
        <is>
          <t>HALMSTAD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20777-2020</t>
        </is>
      </c>
      <c r="B632" s="1" t="n">
        <v>43949</v>
      </c>
      <c r="C632" s="1" t="n">
        <v>45627</v>
      </c>
      <c r="D632" t="inlineStr">
        <is>
          <t>HALLANDS LÄN</t>
        </is>
      </c>
      <c r="E632" t="inlineStr">
        <is>
          <t>VARBERG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20828-2020</t>
        </is>
      </c>
      <c r="B633" s="1" t="n">
        <v>43949</v>
      </c>
      <c r="C633" s="1" t="n">
        <v>45627</v>
      </c>
      <c r="D633" t="inlineStr">
        <is>
          <t>HALLANDS LÄN</t>
        </is>
      </c>
      <c r="E633" t="inlineStr">
        <is>
          <t>HALMSTAD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20896-2020</t>
        </is>
      </c>
      <c r="B634" s="1" t="n">
        <v>43950</v>
      </c>
      <c r="C634" s="1" t="n">
        <v>45627</v>
      </c>
      <c r="D634" t="inlineStr">
        <is>
          <t>HALLANDS LÄN</t>
        </is>
      </c>
      <c r="E634" t="inlineStr">
        <is>
          <t>HALMSTAD</t>
        </is>
      </c>
      <c r="G634" t="n">
        <v>2.7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21365-2020</t>
        </is>
      </c>
      <c r="B635" s="1" t="n">
        <v>43950</v>
      </c>
      <c r="C635" s="1" t="n">
        <v>45627</v>
      </c>
      <c r="D635" t="inlineStr">
        <is>
          <t>HALLANDS LÄN</t>
        </is>
      </c>
      <c r="E635" t="inlineStr">
        <is>
          <t>LAHOLM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21190-2020</t>
        </is>
      </c>
      <c r="B636" s="1" t="n">
        <v>43951</v>
      </c>
      <c r="C636" s="1" t="n">
        <v>45627</v>
      </c>
      <c r="D636" t="inlineStr">
        <is>
          <t>HALLANDS LÄN</t>
        </is>
      </c>
      <c r="E636" t="inlineStr">
        <is>
          <t>LAHOLM</t>
        </is>
      </c>
      <c r="G636" t="n">
        <v>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21831-2020</t>
        </is>
      </c>
      <c r="B637" s="1" t="n">
        <v>43955</v>
      </c>
      <c r="C637" s="1" t="n">
        <v>45627</v>
      </c>
      <c r="D637" t="inlineStr">
        <is>
          <t>HALLANDS LÄN</t>
        </is>
      </c>
      <c r="E637" t="inlineStr">
        <is>
          <t>FALKENBERG</t>
        </is>
      </c>
      <c r="F637" t="inlineStr">
        <is>
          <t>Kyrkan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21813-2020</t>
        </is>
      </c>
      <c r="B638" s="1" t="n">
        <v>43955</v>
      </c>
      <c r="C638" s="1" t="n">
        <v>45627</v>
      </c>
      <c r="D638" t="inlineStr">
        <is>
          <t>HALLANDS LÄN</t>
        </is>
      </c>
      <c r="E638" t="inlineStr">
        <is>
          <t>FALKENBERG</t>
        </is>
      </c>
      <c r="F638" t="inlineStr">
        <is>
          <t>Kyrkan</t>
        </is>
      </c>
      <c r="G638" t="n">
        <v>2.2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21441-2020</t>
        </is>
      </c>
      <c r="B639" s="1" t="n">
        <v>43956</v>
      </c>
      <c r="C639" s="1" t="n">
        <v>45627</v>
      </c>
      <c r="D639" t="inlineStr">
        <is>
          <t>HALLANDS LÄN</t>
        </is>
      </c>
      <c r="E639" t="inlineStr">
        <is>
          <t>LAHOLM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21668-2020</t>
        </is>
      </c>
      <c r="B640" s="1" t="n">
        <v>43957</v>
      </c>
      <c r="C640" s="1" t="n">
        <v>45627</v>
      </c>
      <c r="D640" t="inlineStr">
        <is>
          <t>HALLANDS LÄN</t>
        </is>
      </c>
      <c r="E640" t="inlineStr">
        <is>
          <t>HYLTE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21665-2020</t>
        </is>
      </c>
      <c r="B641" s="1" t="n">
        <v>43957</v>
      </c>
      <c r="C641" s="1" t="n">
        <v>45627</v>
      </c>
      <c r="D641" t="inlineStr">
        <is>
          <t>HALLANDS LÄN</t>
        </is>
      </c>
      <c r="E641" t="inlineStr">
        <is>
          <t>HYLTE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21678-2020</t>
        </is>
      </c>
      <c r="B642" s="1" t="n">
        <v>43957</v>
      </c>
      <c r="C642" s="1" t="n">
        <v>45627</v>
      </c>
      <c r="D642" t="inlineStr">
        <is>
          <t>HALLANDS LÄN</t>
        </is>
      </c>
      <c r="E642" t="inlineStr">
        <is>
          <t>KUNGSBACKA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22073-2020</t>
        </is>
      </c>
      <c r="B643" s="1" t="n">
        <v>43959</v>
      </c>
      <c r="C643" s="1" t="n">
        <v>45627</v>
      </c>
      <c r="D643" t="inlineStr">
        <is>
          <t>HALLANDS LÄN</t>
        </is>
      </c>
      <c r="E643" t="inlineStr">
        <is>
          <t>LAHOLM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22014-2020</t>
        </is>
      </c>
      <c r="B644" s="1" t="n">
        <v>43959</v>
      </c>
      <c r="C644" s="1" t="n">
        <v>45627</v>
      </c>
      <c r="D644" t="inlineStr">
        <is>
          <t>HALLANDS LÄN</t>
        </is>
      </c>
      <c r="E644" t="inlineStr">
        <is>
          <t>KUNGSBACKA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22813-2020</t>
        </is>
      </c>
      <c r="B645" s="1" t="n">
        <v>43963</v>
      </c>
      <c r="C645" s="1" t="n">
        <v>45627</v>
      </c>
      <c r="D645" t="inlineStr">
        <is>
          <t>HALLANDS LÄN</t>
        </is>
      </c>
      <c r="E645" t="inlineStr">
        <is>
          <t>LAHOLM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22639-2020</t>
        </is>
      </c>
      <c r="B646" s="1" t="n">
        <v>43963</v>
      </c>
      <c r="C646" s="1" t="n">
        <v>45627</v>
      </c>
      <c r="D646" t="inlineStr">
        <is>
          <t>HALLANDS LÄN</t>
        </is>
      </c>
      <c r="E646" t="inlineStr">
        <is>
          <t>HYLTE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22801-2020</t>
        </is>
      </c>
      <c r="B647" s="1" t="n">
        <v>43964</v>
      </c>
      <c r="C647" s="1" t="n">
        <v>45627</v>
      </c>
      <c r="D647" t="inlineStr">
        <is>
          <t>HALLANDS LÄN</t>
        </is>
      </c>
      <c r="E647" t="inlineStr">
        <is>
          <t>VARBERG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22764-2020</t>
        </is>
      </c>
      <c r="B648" s="1" t="n">
        <v>43964</v>
      </c>
      <c r="C648" s="1" t="n">
        <v>45627</v>
      </c>
      <c r="D648" t="inlineStr">
        <is>
          <t>HALLANDS LÄN</t>
        </is>
      </c>
      <c r="E648" t="inlineStr">
        <is>
          <t>VARBERG</t>
        </is>
      </c>
      <c r="G648" t="n">
        <v>5.7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23003-2020</t>
        </is>
      </c>
      <c r="B649" s="1" t="n">
        <v>43965</v>
      </c>
      <c r="C649" s="1" t="n">
        <v>45627</v>
      </c>
      <c r="D649" t="inlineStr">
        <is>
          <t>HALLANDS LÄN</t>
        </is>
      </c>
      <c r="E649" t="inlineStr">
        <is>
          <t>VARBERG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23091-2020</t>
        </is>
      </c>
      <c r="B650" s="1" t="n">
        <v>43965</v>
      </c>
      <c r="C650" s="1" t="n">
        <v>45627</v>
      </c>
      <c r="D650" t="inlineStr">
        <is>
          <t>HALLANDS LÄN</t>
        </is>
      </c>
      <c r="E650" t="inlineStr">
        <is>
          <t>LAHOLM</t>
        </is>
      </c>
      <c r="G650" t="n">
        <v>2.5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23017-2020</t>
        </is>
      </c>
      <c r="B651" s="1" t="n">
        <v>43965</v>
      </c>
      <c r="C651" s="1" t="n">
        <v>45627</v>
      </c>
      <c r="D651" t="inlineStr">
        <is>
          <t>HALLANDS LÄN</t>
        </is>
      </c>
      <c r="E651" t="inlineStr">
        <is>
          <t>LAHOLM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23189-2020</t>
        </is>
      </c>
      <c r="B652" s="1" t="n">
        <v>43966</v>
      </c>
      <c r="C652" s="1" t="n">
        <v>45627</v>
      </c>
      <c r="D652" t="inlineStr">
        <is>
          <t>HALLANDS LÄN</t>
        </is>
      </c>
      <c r="E652" t="inlineStr">
        <is>
          <t>HYLTE</t>
        </is>
      </c>
      <c r="G652" t="n">
        <v>2.2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23226-2020</t>
        </is>
      </c>
      <c r="B653" s="1" t="n">
        <v>43966</v>
      </c>
      <c r="C653" s="1" t="n">
        <v>45627</v>
      </c>
      <c r="D653" t="inlineStr">
        <is>
          <t>HALLANDS LÄN</t>
        </is>
      </c>
      <c r="E653" t="inlineStr">
        <is>
          <t>KUNGSBACKA</t>
        </is>
      </c>
      <c r="G653" t="n">
        <v>10.1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23488-2020</t>
        </is>
      </c>
      <c r="B654" s="1" t="n">
        <v>43969</v>
      </c>
      <c r="C654" s="1" t="n">
        <v>45627</v>
      </c>
      <c r="D654" t="inlineStr">
        <is>
          <t>HALLANDS LÄN</t>
        </is>
      </c>
      <c r="E654" t="inlineStr">
        <is>
          <t>HYLTE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23846-2020</t>
        </is>
      </c>
      <c r="B655" s="1" t="n">
        <v>43971</v>
      </c>
      <c r="C655" s="1" t="n">
        <v>45627</v>
      </c>
      <c r="D655" t="inlineStr">
        <is>
          <t>HALLANDS LÄN</t>
        </is>
      </c>
      <c r="E655" t="inlineStr">
        <is>
          <t>LAHOLM</t>
        </is>
      </c>
      <c r="G655" t="n">
        <v>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23852-2020</t>
        </is>
      </c>
      <c r="B656" s="1" t="n">
        <v>43971</v>
      </c>
      <c r="C656" s="1" t="n">
        <v>45627</v>
      </c>
      <c r="D656" t="inlineStr">
        <is>
          <t>HALLANDS LÄN</t>
        </is>
      </c>
      <c r="E656" t="inlineStr">
        <is>
          <t>VARBERG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24545-2020</t>
        </is>
      </c>
      <c r="B657" s="1" t="n">
        <v>43977</v>
      </c>
      <c r="C657" s="1" t="n">
        <v>45627</v>
      </c>
      <c r="D657" t="inlineStr">
        <is>
          <t>HALLANDS LÄN</t>
        </is>
      </c>
      <c r="E657" t="inlineStr">
        <is>
          <t>HALMSTAD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24544-2020</t>
        </is>
      </c>
      <c r="B658" s="1" t="n">
        <v>43977</v>
      </c>
      <c r="C658" s="1" t="n">
        <v>45627</v>
      </c>
      <c r="D658" t="inlineStr">
        <is>
          <t>HALLANDS LÄN</t>
        </is>
      </c>
      <c r="E658" t="inlineStr">
        <is>
          <t>HALMSTAD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24631-2020</t>
        </is>
      </c>
      <c r="B659" s="1" t="n">
        <v>43977</v>
      </c>
      <c r="C659" s="1" t="n">
        <v>45627</v>
      </c>
      <c r="D659" t="inlineStr">
        <is>
          <t>HALLANDS LÄN</t>
        </is>
      </c>
      <c r="E659" t="inlineStr">
        <is>
          <t>KUNGSBACKA</t>
        </is>
      </c>
      <c r="G659" t="n">
        <v>2.7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24634-2020</t>
        </is>
      </c>
      <c r="B660" s="1" t="n">
        <v>43977</v>
      </c>
      <c r="C660" s="1" t="n">
        <v>45627</v>
      </c>
      <c r="D660" t="inlineStr">
        <is>
          <t>HALLANDS LÄN</t>
        </is>
      </c>
      <c r="E660" t="inlineStr">
        <is>
          <t>KUNGSBACKA</t>
        </is>
      </c>
      <c r="G660" t="n">
        <v>3.3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24745-2020</t>
        </is>
      </c>
      <c r="B661" s="1" t="n">
        <v>43978</v>
      </c>
      <c r="C661" s="1" t="n">
        <v>45627</v>
      </c>
      <c r="D661" t="inlineStr">
        <is>
          <t>HALLANDS LÄN</t>
        </is>
      </c>
      <c r="E661" t="inlineStr">
        <is>
          <t>FALKENBERG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24848-2020</t>
        </is>
      </c>
      <c r="B662" s="1" t="n">
        <v>43978</v>
      </c>
      <c r="C662" s="1" t="n">
        <v>45627</v>
      </c>
      <c r="D662" t="inlineStr">
        <is>
          <t>HALLANDS LÄN</t>
        </is>
      </c>
      <c r="E662" t="inlineStr">
        <is>
          <t>HALMSTAD</t>
        </is>
      </c>
      <c r="G662" t="n">
        <v>6.3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25077-2020</t>
        </is>
      </c>
      <c r="B663" s="1" t="n">
        <v>43978</v>
      </c>
      <c r="C663" s="1" t="n">
        <v>45627</v>
      </c>
      <c r="D663" t="inlineStr">
        <is>
          <t>HALLANDS LÄN</t>
        </is>
      </c>
      <c r="E663" t="inlineStr">
        <is>
          <t>FALKENBERG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24686-2020</t>
        </is>
      </c>
      <c r="B664" s="1" t="n">
        <v>43978</v>
      </c>
      <c r="C664" s="1" t="n">
        <v>45627</v>
      </c>
      <c r="D664" t="inlineStr">
        <is>
          <t>HALLANDS LÄN</t>
        </is>
      </c>
      <c r="E664" t="inlineStr">
        <is>
          <t>HALMSTAD</t>
        </is>
      </c>
      <c r="G664" t="n">
        <v>0.2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24717-2020</t>
        </is>
      </c>
      <c r="B665" s="1" t="n">
        <v>43978</v>
      </c>
      <c r="C665" s="1" t="n">
        <v>45627</v>
      </c>
      <c r="D665" t="inlineStr">
        <is>
          <t>HALLANDS LÄN</t>
        </is>
      </c>
      <c r="E665" t="inlineStr">
        <is>
          <t>FALKENBERG</t>
        </is>
      </c>
      <c r="G665" t="n">
        <v>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25083-2020</t>
        </is>
      </c>
      <c r="B666" s="1" t="n">
        <v>43979</v>
      </c>
      <c r="C666" s="1" t="n">
        <v>45627</v>
      </c>
      <c r="D666" t="inlineStr">
        <is>
          <t>HALLANDS LÄN</t>
        </is>
      </c>
      <c r="E666" t="inlineStr">
        <is>
          <t>VARBERG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25371-2020</t>
        </is>
      </c>
      <c r="B667" s="1" t="n">
        <v>43980</v>
      </c>
      <c r="C667" s="1" t="n">
        <v>45627</v>
      </c>
      <c r="D667" t="inlineStr">
        <is>
          <t>HALLANDS LÄN</t>
        </is>
      </c>
      <c r="E667" t="inlineStr">
        <is>
          <t>VARBERG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25278-2020</t>
        </is>
      </c>
      <c r="B668" s="1" t="n">
        <v>43980</v>
      </c>
      <c r="C668" s="1" t="n">
        <v>45627</v>
      </c>
      <c r="D668" t="inlineStr">
        <is>
          <t>HALLANDS LÄN</t>
        </is>
      </c>
      <c r="E668" t="inlineStr">
        <is>
          <t>FALKENBERG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25636-2020</t>
        </is>
      </c>
      <c r="B669" s="1" t="n">
        <v>43983</v>
      </c>
      <c r="C669" s="1" t="n">
        <v>45627</v>
      </c>
      <c r="D669" t="inlineStr">
        <is>
          <t>HALLANDS LÄN</t>
        </is>
      </c>
      <c r="E669" t="inlineStr">
        <is>
          <t>HYLTE</t>
        </is>
      </c>
      <c r="G669" t="n">
        <v>1.4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25626-2020</t>
        </is>
      </c>
      <c r="B670" s="1" t="n">
        <v>43983</v>
      </c>
      <c r="C670" s="1" t="n">
        <v>45627</v>
      </c>
      <c r="D670" t="inlineStr">
        <is>
          <t>HALLANDS LÄN</t>
        </is>
      </c>
      <c r="E670" t="inlineStr">
        <is>
          <t>HYLTE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25637-2020</t>
        </is>
      </c>
      <c r="B671" s="1" t="n">
        <v>43983</v>
      </c>
      <c r="C671" s="1" t="n">
        <v>45627</v>
      </c>
      <c r="D671" t="inlineStr">
        <is>
          <t>HALLANDS LÄN</t>
        </is>
      </c>
      <c r="E671" t="inlineStr">
        <is>
          <t>HYLTE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25638-2020</t>
        </is>
      </c>
      <c r="B672" s="1" t="n">
        <v>43983</v>
      </c>
      <c r="C672" s="1" t="n">
        <v>45627</v>
      </c>
      <c r="D672" t="inlineStr">
        <is>
          <t>HALLANDS LÄN</t>
        </is>
      </c>
      <c r="E672" t="inlineStr">
        <is>
          <t>HYLTE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25960-2020</t>
        </is>
      </c>
      <c r="B673" s="1" t="n">
        <v>43985</v>
      </c>
      <c r="C673" s="1" t="n">
        <v>45627</v>
      </c>
      <c r="D673" t="inlineStr">
        <is>
          <t>HALLANDS LÄN</t>
        </is>
      </c>
      <c r="E673" t="inlineStr">
        <is>
          <t>KUNGSBACKA</t>
        </is>
      </c>
      <c r="G673" t="n">
        <v>2.2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26042-2020</t>
        </is>
      </c>
      <c r="B674" s="1" t="n">
        <v>43985</v>
      </c>
      <c r="C674" s="1" t="n">
        <v>45627</v>
      </c>
      <c r="D674" t="inlineStr">
        <is>
          <t>HALLANDS LÄN</t>
        </is>
      </c>
      <c r="E674" t="inlineStr">
        <is>
          <t>LAHOLM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26231-2020</t>
        </is>
      </c>
      <c r="B675" s="1" t="n">
        <v>43986</v>
      </c>
      <c r="C675" s="1" t="n">
        <v>45627</v>
      </c>
      <c r="D675" t="inlineStr">
        <is>
          <t>HALLANDS LÄN</t>
        </is>
      </c>
      <c r="E675" t="inlineStr">
        <is>
          <t>FALKENBERG</t>
        </is>
      </c>
      <c r="G675" t="n">
        <v>2.6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26294-2020</t>
        </is>
      </c>
      <c r="B676" s="1" t="n">
        <v>43986</v>
      </c>
      <c r="C676" s="1" t="n">
        <v>45627</v>
      </c>
      <c r="D676" t="inlineStr">
        <is>
          <t>HALLANDS LÄN</t>
        </is>
      </c>
      <c r="E676" t="inlineStr">
        <is>
          <t>HALMSTAD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26692-2020</t>
        </is>
      </c>
      <c r="B677" s="1" t="n">
        <v>43990</v>
      </c>
      <c r="C677" s="1" t="n">
        <v>45627</v>
      </c>
      <c r="D677" t="inlineStr">
        <is>
          <t>HALLANDS LÄN</t>
        </is>
      </c>
      <c r="E677" t="inlineStr">
        <is>
          <t>VARBERG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26960-2020</t>
        </is>
      </c>
      <c r="B678" s="1" t="n">
        <v>43990</v>
      </c>
      <c r="C678" s="1" t="n">
        <v>45627</v>
      </c>
      <c r="D678" t="inlineStr">
        <is>
          <t>HALLANDS LÄN</t>
        </is>
      </c>
      <c r="E678" t="inlineStr">
        <is>
          <t>LAHOLM</t>
        </is>
      </c>
      <c r="G678" t="n">
        <v>1.9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27024-2020</t>
        </is>
      </c>
      <c r="B679" s="1" t="n">
        <v>43991</v>
      </c>
      <c r="C679" s="1" t="n">
        <v>45627</v>
      </c>
      <c r="D679" t="inlineStr">
        <is>
          <t>HALLANDS LÄN</t>
        </is>
      </c>
      <c r="E679" t="inlineStr">
        <is>
          <t>HALMSTAD</t>
        </is>
      </c>
      <c r="G679" t="n">
        <v>3.3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27021-2020</t>
        </is>
      </c>
      <c r="B680" s="1" t="n">
        <v>43991</v>
      </c>
      <c r="C680" s="1" t="n">
        <v>45627</v>
      </c>
      <c r="D680" t="inlineStr">
        <is>
          <t>HALLANDS LÄN</t>
        </is>
      </c>
      <c r="E680" t="inlineStr">
        <is>
          <t>HALMSTAD</t>
        </is>
      </c>
      <c r="G680" t="n">
        <v>3.3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27386-2020</t>
        </is>
      </c>
      <c r="B681" s="1" t="n">
        <v>43992</v>
      </c>
      <c r="C681" s="1" t="n">
        <v>45627</v>
      </c>
      <c r="D681" t="inlineStr">
        <is>
          <t>HALLANDS LÄN</t>
        </is>
      </c>
      <c r="E681" t="inlineStr">
        <is>
          <t>VARBERG</t>
        </is>
      </c>
      <c r="G681" t="n">
        <v>4.2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27795-2020</t>
        </is>
      </c>
      <c r="B682" s="1" t="n">
        <v>43994</v>
      </c>
      <c r="C682" s="1" t="n">
        <v>45627</v>
      </c>
      <c r="D682" t="inlineStr">
        <is>
          <t>HALLANDS LÄN</t>
        </is>
      </c>
      <c r="E682" t="inlineStr">
        <is>
          <t>HALMSTAD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28111-2020</t>
        </is>
      </c>
      <c r="B683" s="1" t="n">
        <v>43994</v>
      </c>
      <c r="C683" s="1" t="n">
        <v>45627</v>
      </c>
      <c r="D683" t="inlineStr">
        <is>
          <t>HALLANDS LÄN</t>
        </is>
      </c>
      <c r="E683" t="inlineStr">
        <is>
          <t>KUNGSBACKA</t>
        </is>
      </c>
      <c r="G683" t="n">
        <v>5.8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28651-2020</t>
        </is>
      </c>
      <c r="B684" s="1" t="n">
        <v>43999</v>
      </c>
      <c r="C684" s="1" t="n">
        <v>45627</v>
      </c>
      <c r="D684" t="inlineStr">
        <is>
          <t>HALLANDS LÄN</t>
        </is>
      </c>
      <c r="E684" t="inlineStr">
        <is>
          <t>HALMSTAD</t>
        </is>
      </c>
      <c r="F684" t="inlineStr">
        <is>
          <t>Bergvik skog väst AB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28657-2020</t>
        </is>
      </c>
      <c r="B685" s="1" t="n">
        <v>43999</v>
      </c>
      <c r="C685" s="1" t="n">
        <v>45627</v>
      </c>
      <c r="D685" t="inlineStr">
        <is>
          <t>HALLANDS LÄN</t>
        </is>
      </c>
      <c r="E685" t="inlineStr">
        <is>
          <t>HALMSTAD</t>
        </is>
      </c>
      <c r="F685" t="inlineStr">
        <is>
          <t>Bergvik skog väst AB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28639-2020</t>
        </is>
      </c>
      <c r="B686" s="1" t="n">
        <v>43999</v>
      </c>
      <c r="C686" s="1" t="n">
        <v>45627</v>
      </c>
      <c r="D686" t="inlineStr">
        <is>
          <t>HALLANDS LÄN</t>
        </is>
      </c>
      <c r="E686" t="inlineStr">
        <is>
          <t>HALMSTAD</t>
        </is>
      </c>
      <c r="F686" t="inlineStr">
        <is>
          <t>Bergvik skog väst AB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28847-2020</t>
        </is>
      </c>
      <c r="B687" s="1" t="n">
        <v>44000</v>
      </c>
      <c r="C687" s="1" t="n">
        <v>45627</v>
      </c>
      <c r="D687" t="inlineStr">
        <is>
          <t>HALLANDS LÄN</t>
        </is>
      </c>
      <c r="E687" t="inlineStr">
        <is>
          <t>HALMSTAD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28841-2020</t>
        </is>
      </c>
      <c r="B688" s="1" t="n">
        <v>44000</v>
      </c>
      <c r="C688" s="1" t="n">
        <v>45627</v>
      </c>
      <c r="D688" t="inlineStr">
        <is>
          <t>HALLANDS LÄN</t>
        </is>
      </c>
      <c r="E688" t="inlineStr">
        <is>
          <t>HALMSTAD</t>
        </is>
      </c>
      <c r="G688" t="n">
        <v>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28822-2020</t>
        </is>
      </c>
      <c r="B689" s="1" t="n">
        <v>44000</v>
      </c>
      <c r="C689" s="1" t="n">
        <v>45627</v>
      </c>
      <c r="D689" t="inlineStr">
        <is>
          <t>HALLANDS LÄN</t>
        </is>
      </c>
      <c r="E689" t="inlineStr">
        <is>
          <t>HYLTE</t>
        </is>
      </c>
      <c r="G689" t="n">
        <v>3.2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29265-2020</t>
        </is>
      </c>
      <c r="B690" s="1" t="n">
        <v>44004</v>
      </c>
      <c r="C690" s="1" t="n">
        <v>45627</v>
      </c>
      <c r="D690" t="inlineStr">
        <is>
          <t>HALLANDS LÄN</t>
        </is>
      </c>
      <c r="E690" t="inlineStr">
        <is>
          <t>HALMSTAD</t>
        </is>
      </c>
      <c r="G690" t="n">
        <v>1.3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29535-2020</t>
        </is>
      </c>
      <c r="B691" s="1" t="n">
        <v>44005</v>
      </c>
      <c r="C691" s="1" t="n">
        <v>45627</v>
      </c>
      <c r="D691" t="inlineStr">
        <is>
          <t>HALLANDS LÄN</t>
        </is>
      </c>
      <c r="E691" t="inlineStr">
        <is>
          <t>HALMSTAD</t>
        </is>
      </c>
      <c r="F691" t="inlineStr">
        <is>
          <t>Kommuner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29553-2020</t>
        </is>
      </c>
      <c r="B692" s="1" t="n">
        <v>44005</v>
      </c>
      <c r="C692" s="1" t="n">
        <v>45627</v>
      </c>
      <c r="D692" t="inlineStr">
        <is>
          <t>HALLANDS LÄN</t>
        </is>
      </c>
      <c r="E692" t="inlineStr">
        <is>
          <t>FALKENBERG</t>
        </is>
      </c>
      <c r="G692" t="n">
        <v>7.3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29619-2020</t>
        </is>
      </c>
      <c r="B693" s="1" t="n">
        <v>44005</v>
      </c>
      <c r="C693" s="1" t="n">
        <v>45627</v>
      </c>
      <c r="D693" t="inlineStr">
        <is>
          <t>HALLANDS LÄN</t>
        </is>
      </c>
      <c r="E693" t="inlineStr">
        <is>
          <t>LAHOLM</t>
        </is>
      </c>
      <c r="G693" t="n">
        <v>2.2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29629-2020</t>
        </is>
      </c>
      <c r="B694" s="1" t="n">
        <v>44005</v>
      </c>
      <c r="C694" s="1" t="n">
        <v>45627</v>
      </c>
      <c r="D694" t="inlineStr">
        <is>
          <t>HALLANDS LÄN</t>
        </is>
      </c>
      <c r="E694" t="inlineStr">
        <is>
          <t>KUNGSBACKA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30440-2020</t>
        </is>
      </c>
      <c r="B695" s="1" t="n">
        <v>44007</v>
      </c>
      <c r="C695" s="1" t="n">
        <v>45627</v>
      </c>
      <c r="D695" t="inlineStr">
        <is>
          <t>HALLANDS LÄN</t>
        </is>
      </c>
      <c r="E695" t="inlineStr">
        <is>
          <t>LAHOLM</t>
        </is>
      </c>
      <c r="G695" t="n">
        <v>0.4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30416-2020</t>
        </is>
      </c>
      <c r="B696" s="1" t="n">
        <v>44007</v>
      </c>
      <c r="C696" s="1" t="n">
        <v>45627</v>
      </c>
      <c r="D696" t="inlineStr">
        <is>
          <t>HALLANDS LÄN</t>
        </is>
      </c>
      <c r="E696" t="inlineStr">
        <is>
          <t>HYLTE</t>
        </is>
      </c>
      <c r="G696" t="n">
        <v>0.4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30539-2020</t>
        </is>
      </c>
      <c r="B697" s="1" t="n">
        <v>44008</v>
      </c>
      <c r="C697" s="1" t="n">
        <v>45627</v>
      </c>
      <c r="D697" t="inlineStr">
        <is>
          <t>HALLANDS LÄN</t>
        </is>
      </c>
      <c r="E697" t="inlineStr">
        <is>
          <t>FALKENBERG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30536-2020</t>
        </is>
      </c>
      <c r="B698" s="1" t="n">
        <v>44008</v>
      </c>
      <c r="C698" s="1" t="n">
        <v>45627</v>
      </c>
      <c r="D698" t="inlineStr">
        <is>
          <t>HALLANDS LÄN</t>
        </is>
      </c>
      <c r="E698" t="inlineStr">
        <is>
          <t>FALKENBERG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30693-2020</t>
        </is>
      </c>
      <c r="B699" s="1" t="n">
        <v>44008</v>
      </c>
      <c r="C699" s="1" t="n">
        <v>45627</v>
      </c>
      <c r="D699" t="inlineStr">
        <is>
          <t>HALLANDS LÄN</t>
        </is>
      </c>
      <c r="E699" t="inlineStr">
        <is>
          <t>HALMSTAD</t>
        </is>
      </c>
      <c r="F699" t="inlineStr">
        <is>
          <t>Bergvik skog väst AB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31104-2020</t>
        </is>
      </c>
      <c r="B700" s="1" t="n">
        <v>44012</v>
      </c>
      <c r="C700" s="1" t="n">
        <v>45627</v>
      </c>
      <c r="D700" t="inlineStr">
        <is>
          <t>HALLANDS LÄN</t>
        </is>
      </c>
      <c r="E700" t="inlineStr">
        <is>
          <t>KUNGSBACKA</t>
        </is>
      </c>
      <c r="G700" t="n">
        <v>7.1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31304-2020</t>
        </is>
      </c>
      <c r="B701" s="1" t="n">
        <v>44012</v>
      </c>
      <c r="C701" s="1" t="n">
        <v>45627</v>
      </c>
      <c r="D701" t="inlineStr">
        <is>
          <t>HALLANDS LÄN</t>
        </is>
      </c>
      <c r="E701" t="inlineStr">
        <is>
          <t>LAHOLM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31306-2020</t>
        </is>
      </c>
      <c r="B702" s="1" t="n">
        <v>44012</v>
      </c>
      <c r="C702" s="1" t="n">
        <v>45627</v>
      </c>
      <c r="D702" t="inlineStr">
        <is>
          <t>HALLANDS LÄN</t>
        </is>
      </c>
      <c r="E702" t="inlineStr">
        <is>
          <t>LAHOLM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31672-2020</t>
        </is>
      </c>
      <c r="B703" s="1" t="n">
        <v>44014</v>
      </c>
      <c r="C703" s="1" t="n">
        <v>45627</v>
      </c>
      <c r="D703" t="inlineStr">
        <is>
          <t>HALLANDS LÄN</t>
        </is>
      </c>
      <c r="E703" t="inlineStr">
        <is>
          <t>LAHOLM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32092-2020</t>
        </is>
      </c>
      <c r="B704" s="1" t="n">
        <v>44015</v>
      </c>
      <c r="C704" s="1" t="n">
        <v>45627</v>
      </c>
      <c r="D704" t="inlineStr">
        <is>
          <t>HALLANDS LÄN</t>
        </is>
      </c>
      <c r="E704" t="inlineStr">
        <is>
          <t>FALKENBERG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32083-2020</t>
        </is>
      </c>
      <c r="B705" s="1" t="n">
        <v>44015</v>
      </c>
      <c r="C705" s="1" t="n">
        <v>45627</v>
      </c>
      <c r="D705" t="inlineStr">
        <is>
          <t>HALLANDS LÄN</t>
        </is>
      </c>
      <c r="E705" t="inlineStr">
        <is>
          <t>VARBERG</t>
        </is>
      </c>
      <c r="G705" t="n">
        <v>2.2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32086-2020</t>
        </is>
      </c>
      <c r="B706" s="1" t="n">
        <v>44015</v>
      </c>
      <c r="C706" s="1" t="n">
        <v>45627</v>
      </c>
      <c r="D706" t="inlineStr">
        <is>
          <t>HALLANDS LÄN</t>
        </is>
      </c>
      <c r="E706" t="inlineStr">
        <is>
          <t>VARBERG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32557-2020</t>
        </is>
      </c>
      <c r="B707" s="1" t="n">
        <v>44018</v>
      </c>
      <c r="C707" s="1" t="n">
        <v>45627</v>
      </c>
      <c r="D707" t="inlineStr">
        <is>
          <t>HALLANDS LÄN</t>
        </is>
      </c>
      <c r="E707" t="inlineStr">
        <is>
          <t>VARBERG</t>
        </is>
      </c>
      <c r="G707" t="n">
        <v>0.3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32446-2020</t>
        </is>
      </c>
      <c r="B708" s="1" t="n">
        <v>44018</v>
      </c>
      <c r="C708" s="1" t="n">
        <v>45627</v>
      </c>
      <c r="D708" t="inlineStr">
        <is>
          <t>HALLANDS LÄN</t>
        </is>
      </c>
      <c r="E708" t="inlineStr">
        <is>
          <t>FALKENBERG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32491-2020</t>
        </is>
      </c>
      <c r="B709" s="1" t="n">
        <v>44018</v>
      </c>
      <c r="C709" s="1" t="n">
        <v>45627</v>
      </c>
      <c r="D709" t="inlineStr">
        <is>
          <t>HALLANDS LÄN</t>
        </is>
      </c>
      <c r="E709" t="inlineStr">
        <is>
          <t>FALKENBERG</t>
        </is>
      </c>
      <c r="G709" t="n">
        <v>4.3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32946-2020</t>
        </is>
      </c>
      <c r="B710" s="1" t="n">
        <v>44019</v>
      </c>
      <c r="C710" s="1" t="n">
        <v>45627</v>
      </c>
      <c r="D710" t="inlineStr">
        <is>
          <t>HALLANDS LÄN</t>
        </is>
      </c>
      <c r="E710" t="inlineStr">
        <is>
          <t>HYLTE</t>
        </is>
      </c>
      <c r="G710" t="n">
        <v>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32898-2020</t>
        </is>
      </c>
      <c r="B711" s="1" t="n">
        <v>44020</v>
      </c>
      <c r="C711" s="1" t="n">
        <v>45627</v>
      </c>
      <c r="D711" t="inlineStr">
        <is>
          <t>HALLANDS LÄN</t>
        </is>
      </c>
      <c r="E711" t="inlineStr">
        <is>
          <t>HYLTE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32893-2020</t>
        </is>
      </c>
      <c r="B712" s="1" t="n">
        <v>44020</v>
      </c>
      <c r="C712" s="1" t="n">
        <v>45627</v>
      </c>
      <c r="D712" t="inlineStr">
        <is>
          <t>HALLANDS LÄN</t>
        </is>
      </c>
      <c r="E712" t="inlineStr">
        <is>
          <t>HYLTE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32802-2020</t>
        </is>
      </c>
      <c r="B713" s="1" t="n">
        <v>44020</v>
      </c>
      <c r="C713" s="1" t="n">
        <v>45627</v>
      </c>
      <c r="D713" t="inlineStr">
        <is>
          <t>HALLANDS LÄN</t>
        </is>
      </c>
      <c r="E713" t="inlineStr">
        <is>
          <t>HYLTE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33077-2020</t>
        </is>
      </c>
      <c r="B714" s="1" t="n">
        <v>44021</v>
      </c>
      <c r="C714" s="1" t="n">
        <v>45627</v>
      </c>
      <c r="D714" t="inlineStr">
        <is>
          <t>HALLANDS LÄN</t>
        </is>
      </c>
      <c r="E714" t="inlineStr">
        <is>
          <t>HYLTE</t>
        </is>
      </c>
      <c r="F714" t="inlineStr">
        <is>
          <t>Bergvik skog väst AB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33527-2020</t>
        </is>
      </c>
      <c r="B715" s="1" t="n">
        <v>44021</v>
      </c>
      <c r="C715" s="1" t="n">
        <v>45627</v>
      </c>
      <c r="D715" t="inlineStr">
        <is>
          <t>HALLANDS LÄN</t>
        </is>
      </c>
      <c r="E715" t="inlineStr">
        <is>
          <t>HYLTE</t>
        </is>
      </c>
      <c r="G715" t="n">
        <v>3.4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33266-2020</t>
        </is>
      </c>
      <c r="B716" s="1" t="n">
        <v>44022</v>
      </c>
      <c r="C716" s="1" t="n">
        <v>45627</v>
      </c>
      <c r="D716" t="inlineStr">
        <is>
          <t>HALLANDS LÄN</t>
        </is>
      </c>
      <c r="E716" t="inlineStr">
        <is>
          <t>HYLTE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33238-2020</t>
        </is>
      </c>
      <c r="B717" s="1" t="n">
        <v>44022</v>
      </c>
      <c r="C717" s="1" t="n">
        <v>45627</v>
      </c>
      <c r="D717" t="inlineStr">
        <is>
          <t>HALLANDS LÄN</t>
        </is>
      </c>
      <c r="E717" t="inlineStr">
        <is>
          <t>LAHOLM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33308-2020</t>
        </is>
      </c>
      <c r="B718" s="1" t="n">
        <v>44022</v>
      </c>
      <c r="C718" s="1" t="n">
        <v>45627</v>
      </c>
      <c r="D718" t="inlineStr">
        <is>
          <t>HALLANDS LÄN</t>
        </is>
      </c>
      <c r="E718" t="inlineStr">
        <is>
          <t>HALMSTAD</t>
        </is>
      </c>
      <c r="G718" t="n">
        <v>2.3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33403-2020</t>
        </is>
      </c>
      <c r="B719" s="1" t="n">
        <v>44022</v>
      </c>
      <c r="C719" s="1" t="n">
        <v>45627</v>
      </c>
      <c r="D719" t="inlineStr">
        <is>
          <t>HALLANDS LÄN</t>
        </is>
      </c>
      <c r="E719" t="inlineStr">
        <is>
          <t>HYLTE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33241-2020</t>
        </is>
      </c>
      <c r="B720" s="1" t="n">
        <v>44022</v>
      </c>
      <c r="C720" s="1" t="n">
        <v>45627</v>
      </c>
      <c r="D720" t="inlineStr">
        <is>
          <t>HALLANDS LÄN</t>
        </is>
      </c>
      <c r="E720" t="inlineStr">
        <is>
          <t>LAHOLM</t>
        </is>
      </c>
      <c r="G720" t="n">
        <v>4.3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33242-2020</t>
        </is>
      </c>
      <c r="B721" s="1" t="n">
        <v>44022</v>
      </c>
      <c r="C721" s="1" t="n">
        <v>45627</v>
      </c>
      <c r="D721" t="inlineStr">
        <is>
          <t>HALLANDS LÄN</t>
        </is>
      </c>
      <c r="E721" t="inlineStr">
        <is>
          <t>LAHOLM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33599-2020</t>
        </is>
      </c>
      <c r="B722" s="1" t="n">
        <v>44025</v>
      </c>
      <c r="C722" s="1" t="n">
        <v>45627</v>
      </c>
      <c r="D722" t="inlineStr">
        <is>
          <t>HALLANDS LÄN</t>
        </is>
      </c>
      <c r="E722" t="inlineStr">
        <is>
          <t>VARBERG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33528-2020</t>
        </is>
      </c>
      <c r="B723" s="1" t="n">
        <v>44025</v>
      </c>
      <c r="C723" s="1" t="n">
        <v>45627</v>
      </c>
      <c r="D723" t="inlineStr">
        <is>
          <t>HALLANDS LÄN</t>
        </is>
      </c>
      <c r="E723" t="inlineStr">
        <is>
          <t>KUNGSBACKA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33529-2020</t>
        </is>
      </c>
      <c r="B724" s="1" t="n">
        <v>44025</v>
      </c>
      <c r="C724" s="1" t="n">
        <v>45627</v>
      </c>
      <c r="D724" t="inlineStr">
        <is>
          <t>HALLANDS LÄN</t>
        </is>
      </c>
      <c r="E724" t="inlineStr">
        <is>
          <t>HYLTE</t>
        </is>
      </c>
      <c r="G724" t="n">
        <v>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33772-2020</t>
        </is>
      </c>
      <c r="B725" s="1" t="n">
        <v>44026</v>
      </c>
      <c r="C725" s="1" t="n">
        <v>45627</v>
      </c>
      <c r="D725" t="inlineStr">
        <is>
          <t>HALLANDS LÄN</t>
        </is>
      </c>
      <c r="E725" t="inlineStr">
        <is>
          <t>FALKENBERG</t>
        </is>
      </c>
      <c r="G725" t="n">
        <v>1.8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33971-2020</t>
        </is>
      </c>
      <c r="B726" s="1" t="n">
        <v>44028</v>
      </c>
      <c r="C726" s="1" t="n">
        <v>45627</v>
      </c>
      <c r="D726" t="inlineStr">
        <is>
          <t>HALLANDS LÄN</t>
        </is>
      </c>
      <c r="E726" t="inlineStr">
        <is>
          <t>HYLTE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34879-2020</t>
        </is>
      </c>
      <c r="B727" s="1" t="n">
        <v>44036</v>
      </c>
      <c r="C727" s="1" t="n">
        <v>45627</v>
      </c>
      <c r="D727" t="inlineStr">
        <is>
          <t>HALLANDS LÄN</t>
        </is>
      </c>
      <c r="E727" t="inlineStr">
        <is>
          <t>HYLTE</t>
        </is>
      </c>
      <c r="G727" t="n">
        <v>2.9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34936-2020</t>
        </is>
      </c>
      <c r="B728" s="1" t="n">
        <v>44037</v>
      </c>
      <c r="C728" s="1" t="n">
        <v>45627</v>
      </c>
      <c r="D728" t="inlineStr">
        <is>
          <t>HALLANDS LÄN</t>
        </is>
      </c>
      <c r="E728" t="inlineStr">
        <is>
          <t>KUNGSBACKA</t>
        </is>
      </c>
      <c r="G728" t="n">
        <v>1.9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34964-2020</t>
        </is>
      </c>
      <c r="B729" s="1" t="n">
        <v>44039</v>
      </c>
      <c r="C729" s="1" t="n">
        <v>45627</v>
      </c>
      <c r="D729" t="inlineStr">
        <is>
          <t>HALLANDS LÄN</t>
        </is>
      </c>
      <c r="E729" t="inlineStr">
        <is>
          <t>KUNGSBACKA</t>
        </is>
      </c>
      <c r="F729" t="inlineStr">
        <is>
          <t>Sveaskog</t>
        </is>
      </c>
      <c r="G729" t="n">
        <v>7.4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35040-2020</t>
        </is>
      </c>
      <c r="B730" s="1" t="n">
        <v>44039</v>
      </c>
      <c r="C730" s="1" t="n">
        <v>45627</v>
      </c>
      <c r="D730" t="inlineStr">
        <is>
          <t>HALLANDS LÄN</t>
        </is>
      </c>
      <c r="E730" t="inlineStr">
        <is>
          <t>HYLTE</t>
        </is>
      </c>
      <c r="G730" t="n">
        <v>1.9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35145-2020</t>
        </is>
      </c>
      <c r="B731" s="1" t="n">
        <v>44040</v>
      </c>
      <c r="C731" s="1" t="n">
        <v>45627</v>
      </c>
      <c r="D731" t="inlineStr">
        <is>
          <t>HALLANDS LÄN</t>
        </is>
      </c>
      <c r="E731" t="inlineStr">
        <is>
          <t>LAHOLM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35275-2020</t>
        </is>
      </c>
      <c r="B732" s="1" t="n">
        <v>44041</v>
      </c>
      <c r="C732" s="1" t="n">
        <v>45627</v>
      </c>
      <c r="D732" t="inlineStr">
        <is>
          <t>HALLANDS LÄN</t>
        </is>
      </c>
      <c r="E732" t="inlineStr">
        <is>
          <t>KUNGSBACKA</t>
        </is>
      </c>
      <c r="G732" t="n">
        <v>5.4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35325-2020</t>
        </is>
      </c>
      <c r="B733" s="1" t="n">
        <v>44041</v>
      </c>
      <c r="C733" s="1" t="n">
        <v>45627</v>
      </c>
      <c r="D733" t="inlineStr">
        <is>
          <t>HALLANDS LÄN</t>
        </is>
      </c>
      <c r="E733" t="inlineStr">
        <is>
          <t>HYLTE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35321-2020</t>
        </is>
      </c>
      <c r="B734" s="1" t="n">
        <v>44041</v>
      </c>
      <c r="C734" s="1" t="n">
        <v>45627</v>
      </c>
      <c r="D734" t="inlineStr">
        <is>
          <t>HALLANDS LÄN</t>
        </is>
      </c>
      <c r="E734" t="inlineStr">
        <is>
          <t>HYLTE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35530-2020</t>
        </is>
      </c>
      <c r="B735" s="1" t="n">
        <v>44043</v>
      </c>
      <c r="C735" s="1" t="n">
        <v>45627</v>
      </c>
      <c r="D735" t="inlineStr">
        <is>
          <t>HALLANDS LÄN</t>
        </is>
      </c>
      <c r="E735" t="inlineStr">
        <is>
          <t>HYLTE</t>
        </is>
      </c>
      <c r="G735" t="n">
        <v>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35667-2020</t>
        </is>
      </c>
      <c r="B736" s="1" t="n">
        <v>44046</v>
      </c>
      <c r="C736" s="1" t="n">
        <v>45627</v>
      </c>
      <c r="D736" t="inlineStr">
        <is>
          <t>HALLANDS LÄN</t>
        </is>
      </c>
      <c r="E736" t="inlineStr">
        <is>
          <t>KUNGSBACKA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35653-2020</t>
        </is>
      </c>
      <c r="B737" s="1" t="n">
        <v>44046</v>
      </c>
      <c r="C737" s="1" t="n">
        <v>45627</v>
      </c>
      <c r="D737" t="inlineStr">
        <is>
          <t>HALLANDS LÄN</t>
        </is>
      </c>
      <c r="E737" t="inlineStr">
        <is>
          <t>FALKENBERG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35685-2020</t>
        </is>
      </c>
      <c r="B738" s="1" t="n">
        <v>44046</v>
      </c>
      <c r="C738" s="1" t="n">
        <v>45627</v>
      </c>
      <c r="D738" t="inlineStr">
        <is>
          <t>HALLANDS LÄN</t>
        </is>
      </c>
      <c r="E738" t="inlineStr">
        <is>
          <t>HYLTE</t>
        </is>
      </c>
      <c r="G738" t="n">
        <v>0.4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35956-2020</t>
        </is>
      </c>
      <c r="B739" s="1" t="n">
        <v>44047</v>
      </c>
      <c r="C739" s="1" t="n">
        <v>45627</v>
      </c>
      <c r="D739" t="inlineStr">
        <is>
          <t>HALLANDS LÄN</t>
        </is>
      </c>
      <c r="E739" t="inlineStr">
        <is>
          <t>LAHOLM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36129-2020</t>
        </is>
      </c>
      <c r="B740" s="1" t="n">
        <v>44048</v>
      </c>
      <c r="C740" s="1" t="n">
        <v>45627</v>
      </c>
      <c r="D740" t="inlineStr">
        <is>
          <t>HALLANDS LÄN</t>
        </is>
      </c>
      <c r="E740" t="inlineStr">
        <is>
          <t>HALMSTAD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36483-2020</t>
        </is>
      </c>
      <c r="B741" s="1" t="n">
        <v>44050</v>
      </c>
      <c r="C741" s="1" t="n">
        <v>45627</v>
      </c>
      <c r="D741" t="inlineStr">
        <is>
          <t>HALLANDS LÄN</t>
        </is>
      </c>
      <c r="E741" t="inlineStr">
        <is>
          <t>LAHOLM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37477-2020</t>
        </is>
      </c>
      <c r="B742" s="1" t="n">
        <v>44055</v>
      </c>
      <c r="C742" s="1" t="n">
        <v>45627</v>
      </c>
      <c r="D742" t="inlineStr">
        <is>
          <t>HALLANDS LÄN</t>
        </is>
      </c>
      <c r="E742" t="inlineStr">
        <is>
          <t>HYLTE</t>
        </is>
      </c>
      <c r="G742" t="n">
        <v>8.6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37539-2020</t>
        </is>
      </c>
      <c r="B743" s="1" t="n">
        <v>44056</v>
      </c>
      <c r="C743" s="1" t="n">
        <v>45627</v>
      </c>
      <c r="D743" t="inlineStr">
        <is>
          <t>HALLANDS LÄN</t>
        </is>
      </c>
      <c r="E743" t="inlineStr">
        <is>
          <t>VARBERG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37607-2020</t>
        </is>
      </c>
      <c r="B744" s="1" t="n">
        <v>44056</v>
      </c>
      <c r="C744" s="1" t="n">
        <v>45627</v>
      </c>
      <c r="D744" t="inlineStr">
        <is>
          <t>HALLANDS LÄN</t>
        </is>
      </c>
      <c r="E744" t="inlineStr">
        <is>
          <t>VARBERG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37792-2020</t>
        </is>
      </c>
      <c r="B745" s="1" t="n">
        <v>44057</v>
      </c>
      <c r="C745" s="1" t="n">
        <v>45627</v>
      </c>
      <c r="D745" t="inlineStr">
        <is>
          <t>HALLANDS LÄN</t>
        </is>
      </c>
      <c r="E745" t="inlineStr">
        <is>
          <t>HALMSTAD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38378-2020</t>
        </is>
      </c>
      <c r="B746" s="1" t="n">
        <v>44060</v>
      </c>
      <c r="C746" s="1" t="n">
        <v>45627</v>
      </c>
      <c r="D746" t="inlineStr">
        <is>
          <t>HALLANDS LÄN</t>
        </is>
      </c>
      <c r="E746" t="inlineStr">
        <is>
          <t>HYLTE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38906-2020</t>
        </is>
      </c>
      <c r="B747" s="1" t="n">
        <v>44062</v>
      </c>
      <c r="C747" s="1" t="n">
        <v>45627</v>
      </c>
      <c r="D747" t="inlineStr">
        <is>
          <t>HALLANDS LÄN</t>
        </is>
      </c>
      <c r="E747" t="inlineStr">
        <is>
          <t>HYLTE</t>
        </is>
      </c>
      <c r="G747" t="n">
        <v>1.6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39247-2020</t>
        </is>
      </c>
      <c r="B748" s="1" t="n">
        <v>44063</v>
      </c>
      <c r="C748" s="1" t="n">
        <v>45627</v>
      </c>
      <c r="D748" t="inlineStr">
        <is>
          <t>HALLANDS LÄN</t>
        </is>
      </c>
      <c r="E748" t="inlineStr">
        <is>
          <t>VARBERG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39232-2020</t>
        </is>
      </c>
      <c r="B749" s="1" t="n">
        <v>44063</v>
      </c>
      <c r="C749" s="1" t="n">
        <v>45627</v>
      </c>
      <c r="D749" t="inlineStr">
        <is>
          <t>HALLANDS LÄN</t>
        </is>
      </c>
      <c r="E749" t="inlineStr">
        <is>
          <t>VARBERG</t>
        </is>
      </c>
      <c r="G749" t="n">
        <v>2.7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39483-2020</t>
        </is>
      </c>
      <c r="B750" s="1" t="n">
        <v>44064</v>
      </c>
      <c r="C750" s="1" t="n">
        <v>45627</v>
      </c>
      <c r="D750" t="inlineStr">
        <is>
          <t>HALLANDS LÄN</t>
        </is>
      </c>
      <c r="E750" t="inlineStr">
        <is>
          <t>HALMSTAD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42246-2020</t>
        </is>
      </c>
      <c r="B751" s="1" t="n">
        <v>44067</v>
      </c>
      <c r="C751" s="1" t="n">
        <v>45627</v>
      </c>
      <c r="D751" t="inlineStr">
        <is>
          <t>HALLANDS LÄN</t>
        </is>
      </c>
      <c r="E751" t="inlineStr">
        <is>
          <t>VARBERG</t>
        </is>
      </c>
      <c r="G751" t="n">
        <v>6.3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40270-2020</t>
        </is>
      </c>
      <c r="B752" s="1" t="n">
        <v>44068</v>
      </c>
      <c r="C752" s="1" t="n">
        <v>45627</v>
      </c>
      <c r="D752" t="inlineStr">
        <is>
          <t>HALLANDS LÄN</t>
        </is>
      </c>
      <c r="E752" t="inlineStr">
        <is>
          <t>HALMSTAD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40488-2020</t>
        </is>
      </c>
      <c r="B753" s="1" t="n">
        <v>44069</v>
      </c>
      <c r="C753" s="1" t="n">
        <v>45627</v>
      </c>
      <c r="D753" t="inlineStr">
        <is>
          <t>HALLANDS LÄN</t>
        </is>
      </c>
      <c r="E753" t="inlineStr">
        <is>
          <t>HALMSTAD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40862-2020</t>
        </is>
      </c>
      <c r="B754" s="1" t="n">
        <v>44070</v>
      </c>
      <c r="C754" s="1" t="n">
        <v>45627</v>
      </c>
      <c r="D754" t="inlineStr">
        <is>
          <t>HALLANDS LÄN</t>
        </is>
      </c>
      <c r="E754" t="inlineStr">
        <is>
          <t>FALKENBERG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41041-2020</t>
        </is>
      </c>
      <c r="B755" s="1" t="n">
        <v>44070</v>
      </c>
      <c r="C755" s="1" t="n">
        <v>45627</v>
      </c>
      <c r="D755" t="inlineStr">
        <is>
          <t>HALLANDS LÄN</t>
        </is>
      </c>
      <c r="E755" t="inlineStr">
        <is>
          <t>FALKENBERG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41045-2020</t>
        </is>
      </c>
      <c r="B756" s="1" t="n">
        <v>44071</v>
      </c>
      <c r="C756" s="1" t="n">
        <v>45627</v>
      </c>
      <c r="D756" t="inlineStr">
        <is>
          <t>HALLANDS LÄN</t>
        </is>
      </c>
      <c r="E756" t="inlineStr">
        <is>
          <t>FALKENBERG</t>
        </is>
      </c>
      <c r="G756" t="n">
        <v>2.5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42015-2020</t>
        </is>
      </c>
      <c r="B757" s="1" t="n">
        <v>44075</v>
      </c>
      <c r="C757" s="1" t="n">
        <v>45627</v>
      </c>
      <c r="D757" t="inlineStr">
        <is>
          <t>HALLANDS LÄN</t>
        </is>
      </c>
      <c r="E757" t="inlineStr">
        <is>
          <t>HALMSTAD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42122-2020</t>
        </is>
      </c>
      <c r="B758" s="1" t="n">
        <v>44075</v>
      </c>
      <c r="C758" s="1" t="n">
        <v>45627</v>
      </c>
      <c r="D758" t="inlineStr">
        <is>
          <t>HALLANDS LÄN</t>
        </is>
      </c>
      <c r="E758" t="inlineStr">
        <is>
          <t>HALMSTAD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42339-2020</t>
        </is>
      </c>
      <c r="B759" s="1" t="n">
        <v>44076</v>
      </c>
      <c r="C759" s="1" t="n">
        <v>45627</v>
      </c>
      <c r="D759" t="inlineStr">
        <is>
          <t>HALLANDS LÄN</t>
        </is>
      </c>
      <c r="E759" t="inlineStr">
        <is>
          <t>HALMSTAD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42600-2020</t>
        </is>
      </c>
      <c r="B760" s="1" t="n">
        <v>44077</v>
      </c>
      <c r="C760" s="1" t="n">
        <v>45627</v>
      </c>
      <c r="D760" t="inlineStr">
        <is>
          <t>HALLANDS LÄN</t>
        </is>
      </c>
      <c r="E760" t="inlineStr">
        <is>
          <t>FALKENBERG</t>
        </is>
      </c>
      <c r="G760" t="n">
        <v>2.6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44023-2020</t>
        </is>
      </c>
      <c r="B761" s="1" t="n">
        <v>44083</v>
      </c>
      <c r="C761" s="1" t="n">
        <v>45627</v>
      </c>
      <c r="D761" t="inlineStr">
        <is>
          <t>HALLANDS LÄN</t>
        </is>
      </c>
      <c r="E761" t="inlineStr">
        <is>
          <t>FALKENBERG</t>
        </is>
      </c>
      <c r="G761" t="n">
        <v>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44402-2020</t>
        </is>
      </c>
      <c r="B762" s="1" t="n">
        <v>44084</v>
      </c>
      <c r="C762" s="1" t="n">
        <v>45627</v>
      </c>
      <c r="D762" t="inlineStr">
        <is>
          <t>HALLANDS LÄN</t>
        </is>
      </c>
      <c r="E762" t="inlineStr">
        <is>
          <t>HALMSTAD</t>
        </is>
      </c>
      <c r="G762" t="n">
        <v>5.4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44760-2020</t>
        </is>
      </c>
      <c r="B763" s="1" t="n">
        <v>44085</v>
      </c>
      <c r="C763" s="1" t="n">
        <v>45627</v>
      </c>
      <c r="D763" t="inlineStr">
        <is>
          <t>HALLANDS LÄN</t>
        </is>
      </c>
      <c r="E763" t="inlineStr">
        <is>
          <t>HYLTE</t>
        </is>
      </c>
      <c r="G763" t="n">
        <v>0.4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45019-2020</t>
        </is>
      </c>
      <c r="B764" s="1" t="n">
        <v>44088</v>
      </c>
      <c r="C764" s="1" t="n">
        <v>45627</v>
      </c>
      <c r="D764" t="inlineStr">
        <is>
          <t>HALLANDS LÄN</t>
        </is>
      </c>
      <c r="E764" t="inlineStr">
        <is>
          <t>HYLTE</t>
        </is>
      </c>
      <c r="G764" t="n">
        <v>0.4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46693-2020</t>
        </is>
      </c>
      <c r="B765" s="1" t="n">
        <v>44089</v>
      </c>
      <c r="C765" s="1" t="n">
        <v>45627</v>
      </c>
      <c r="D765" t="inlineStr">
        <is>
          <t>HALLANDS LÄN</t>
        </is>
      </c>
      <c r="E765" t="inlineStr">
        <is>
          <t>LAHOLM</t>
        </is>
      </c>
      <c r="G765" t="n">
        <v>2.1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46032-2020</t>
        </is>
      </c>
      <c r="B766" s="1" t="n">
        <v>44091</v>
      </c>
      <c r="C766" s="1" t="n">
        <v>45627</v>
      </c>
      <c r="D766" t="inlineStr">
        <is>
          <t>HALLANDS LÄN</t>
        </is>
      </c>
      <c r="E766" t="inlineStr">
        <is>
          <t>FALKENBERG</t>
        </is>
      </c>
      <c r="G766" t="n">
        <v>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46011-2020</t>
        </is>
      </c>
      <c r="B767" s="1" t="n">
        <v>44091</v>
      </c>
      <c r="C767" s="1" t="n">
        <v>45627</v>
      </c>
      <c r="D767" t="inlineStr">
        <is>
          <t>HALLANDS LÄN</t>
        </is>
      </c>
      <c r="E767" t="inlineStr">
        <is>
          <t>FALKENBERG</t>
        </is>
      </c>
      <c r="G767" t="n">
        <v>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46074-2020</t>
        </is>
      </c>
      <c r="B768" s="1" t="n">
        <v>44091</v>
      </c>
      <c r="C768" s="1" t="n">
        <v>45627</v>
      </c>
      <c r="D768" t="inlineStr">
        <is>
          <t>HALLANDS LÄN</t>
        </is>
      </c>
      <c r="E768" t="inlineStr">
        <is>
          <t>FALKENBERG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46056-2020</t>
        </is>
      </c>
      <c r="B769" s="1" t="n">
        <v>44091</v>
      </c>
      <c r="C769" s="1" t="n">
        <v>45627</v>
      </c>
      <c r="D769" t="inlineStr">
        <is>
          <t>HALLANDS LÄN</t>
        </is>
      </c>
      <c r="E769" t="inlineStr">
        <is>
          <t>FALKENBERG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46148-2020</t>
        </is>
      </c>
      <c r="B770" s="1" t="n">
        <v>44092</v>
      </c>
      <c r="C770" s="1" t="n">
        <v>45627</v>
      </c>
      <c r="D770" t="inlineStr">
        <is>
          <t>HALLANDS LÄN</t>
        </is>
      </c>
      <c r="E770" t="inlineStr">
        <is>
          <t>HYLTE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46610-2020</t>
        </is>
      </c>
      <c r="B771" s="1" t="n">
        <v>44095</v>
      </c>
      <c r="C771" s="1" t="n">
        <v>45627</v>
      </c>
      <c r="D771" t="inlineStr">
        <is>
          <t>HALLANDS LÄN</t>
        </is>
      </c>
      <c r="E771" t="inlineStr">
        <is>
          <t>HYLTE</t>
        </is>
      </c>
      <c r="G771" t="n">
        <v>4.9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46466-2020</t>
        </is>
      </c>
      <c r="B772" s="1" t="n">
        <v>44095</v>
      </c>
      <c r="C772" s="1" t="n">
        <v>45627</v>
      </c>
      <c r="D772" t="inlineStr">
        <is>
          <t>HALLANDS LÄN</t>
        </is>
      </c>
      <c r="E772" t="inlineStr">
        <is>
          <t>HYLTE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47336-2020</t>
        </is>
      </c>
      <c r="B773" s="1" t="n">
        <v>44095</v>
      </c>
      <c r="C773" s="1" t="n">
        <v>45627</v>
      </c>
      <c r="D773" t="inlineStr">
        <is>
          <t>HALLANDS LÄN</t>
        </is>
      </c>
      <c r="E773" t="inlineStr">
        <is>
          <t>HYLTE</t>
        </is>
      </c>
      <c r="F773" t="inlineStr">
        <is>
          <t>Kommuner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47025-2020</t>
        </is>
      </c>
      <c r="B774" s="1" t="n">
        <v>44096</v>
      </c>
      <c r="C774" s="1" t="n">
        <v>45627</v>
      </c>
      <c r="D774" t="inlineStr">
        <is>
          <t>HALLANDS LÄN</t>
        </is>
      </c>
      <c r="E774" t="inlineStr">
        <is>
          <t>FALKENBERG</t>
        </is>
      </c>
      <c r="F774" t="inlineStr">
        <is>
          <t>Bergvik skog väst AB</t>
        </is>
      </c>
      <c r="G774" t="n">
        <v>5.9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47492-2020</t>
        </is>
      </c>
      <c r="B775" s="1" t="n">
        <v>44098</v>
      </c>
      <c r="C775" s="1" t="n">
        <v>45627</v>
      </c>
      <c r="D775" t="inlineStr">
        <is>
          <t>HALLANDS LÄN</t>
        </is>
      </c>
      <c r="E775" t="inlineStr">
        <is>
          <t>HALMSTAD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47691-2020</t>
        </is>
      </c>
      <c r="B776" s="1" t="n">
        <v>44098</v>
      </c>
      <c r="C776" s="1" t="n">
        <v>45627</v>
      </c>
      <c r="D776" t="inlineStr">
        <is>
          <t>HALLANDS LÄN</t>
        </is>
      </c>
      <c r="E776" t="inlineStr">
        <is>
          <t>FALKENBERG</t>
        </is>
      </c>
      <c r="G776" t="n">
        <v>3.9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47741-2020</t>
        </is>
      </c>
      <c r="B777" s="1" t="n">
        <v>44098</v>
      </c>
      <c r="C777" s="1" t="n">
        <v>45627</v>
      </c>
      <c r="D777" t="inlineStr">
        <is>
          <t>HALLANDS LÄN</t>
        </is>
      </c>
      <c r="E777" t="inlineStr">
        <is>
          <t>VARBERG</t>
        </is>
      </c>
      <c r="G777" t="n">
        <v>1.4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48047-2020</t>
        </is>
      </c>
      <c r="B778" s="1" t="n">
        <v>44099</v>
      </c>
      <c r="C778" s="1" t="n">
        <v>45627</v>
      </c>
      <c r="D778" t="inlineStr">
        <is>
          <t>HALLANDS LÄN</t>
        </is>
      </c>
      <c r="E778" t="inlineStr">
        <is>
          <t>FALKENBERG</t>
        </is>
      </c>
      <c r="G778" t="n">
        <v>5.1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48216-2020</t>
        </is>
      </c>
      <c r="B779" s="1" t="n">
        <v>44102</v>
      </c>
      <c r="C779" s="1" t="n">
        <v>45627</v>
      </c>
      <c r="D779" t="inlineStr">
        <is>
          <t>HALLANDS LÄN</t>
        </is>
      </c>
      <c r="E779" t="inlineStr">
        <is>
          <t>LAHOLM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48120-2020</t>
        </is>
      </c>
      <c r="B780" s="1" t="n">
        <v>44102</v>
      </c>
      <c r="C780" s="1" t="n">
        <v>45627</v>
      </c>
      <c r="D780" t="inlineStr">
        <is>
          <t>HALLANDS LÄN</t>
        </is>
      </c>
      <c r="E780" t="inlineStr">
        <is>
          <t>VARBERG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48657-2020</t>
        </is>
      </c>
      <c r="B781" s="1" t="n">
        <v>44103</v>
      </c>
      <c r="C781" s="1" t="n">
        <v>45627</v>
      </c>
      <c r="D781" t="inlineStr">
        <is>
          <t>HALLANDS LÄN</t>
        </is>
      </c>
      <c r="E781" t="inlineStr">
        <is>
          <t>HYLTE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48694-2020</t>
        </is>
      </c>
      <c r="B782" s="1" t="n">
        <v>44103</v>
      </c>
      <c r="C782" s="1" t="n">
        <v>45627</v>
      </c>
      <c r="D782" t="inlineStr">
        <is>
          <t>HALLANDS LÄN</t>
        </is>
      </c>
      <c r="E782" t="inlineStr">
        <is>
          <t>VARBERG</t>
        </is>
      </c>
      <c r="G782" t="n">
        <v>4.1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49850-2020</t>
        </is>
      </c>
      <c r="B783" s="1" t="n">
        <v>44107</v>
      </c>
      <c r="C783" s="1" t="n">
        <v>45627</v>
      </c>
      <c r="D783" t="inlineStr">
        <is>
          <t>HALLANDS LÄN</t>
        </is>
      </c>
      <c r="E783" t="inlineStr">
        <is>
          <t>HYLTE</t>
        </is>
      </c>
      <c r="G783" t="n">
        <v>3.3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49851-2020</t>
        </is>
      </c>
      <c r="B784" s="1" t="n">
        <v>44107</v>
      </c>
      <c r="C784" s="1" t="n">
        <v>45627</v>
      </c>
      <c r="D784" t="inlineStr">
        <is>
          <t>HALLANDS LÄN</t>
        </is>
      </c>
      <c r="E784" t="inlineStr">
        <is>
          <t>HYLTE</t>
        </is>
      </c>
      <c r="G784" t="n">
        <v>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50228-2020</t>
        </is>
      </c>
      <c r="B785" s="1" t="n">
        <v>44109</v>
      </c>
      <c r="C785" s="1" t="n">
        <v>45627</v>
      </c>
      <c r="D785" t="inlineStr">
        <is>
          <t>HALLANDS LÄN</t>
        </is>
      </c>
      <c r="E785" t="inlineStr">
        <is>
          <t>FALKENBERG</t>
        </is>
      </c>
      <c r="G785" t="n">
        <v>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50242-2020</t>
        </is>
      </c>
      <c r="B786" s="1" t="n">
        <v>44109</v>
      </c>
      <c r="C786" s="1" t="n">
        <v>45627</v>
      </c>
      <c r="D786" t="inlineStr">
        <is>
          <t>HALLANDS LÄN</t>
        </is>
      </c>
      <c r="E786" t="inlineStr">
        <is>
          <t>FALKENBERG</t>
        </is>
      </c>
      <c r="G786" t="n">
        <v>2.4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51651-2020</t>
        </is>
      </c>
      <c r="B787" s="1" t="n">
        <v>44109</v>
      </c>
      <c r="C787" s="1" t="n">
        <v>45627</v>
      </c>
      <c r="D787" t="inlineStr">
        <is>
          <t>HALLANDS LÄN</t>
        </is>
      </c>
      <c r="E787" t="inlineStr">
        <is>
          <t>FALKENBERG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51656-2020</t>
        </is>
      </c>
      <c r="B788" s="1" t="n">
        <v>44109</v>
      </c>
      <c r="C788" s="1" t="n">
        <v>45627</v>
      </c>
      <c r="D788" t="inlineStr">
        <is>
          <t>HALLANDS LÄN</t>
        </is>
      </c>
      <c r="E788" t="inlineStr">
        <is>
          <t>FALKENBERG</t>
        </is>
      </c>
      <c r="G788" t="n">
        <v>9.5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51645-2020</t>
        </is>
      </c>
      <c r="B789" s="1" t="n">
        <v>44109</v>
      </c>
      <c r="C789" s="1" t="n">
        <v>45627</v>
      </c>
      <c r="D789" t="inlineStr">
        <is>
          <t>HALLANDS LÄN</t>
        </is>
      </c>
      <c r="E789" t="inlineStr">
        <is>
          <t>FALKENBERG</t>
        </is>
      </c>
      <c r="G789" t="n">
        <v>0.6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50246-2020</t>
        </is>
      </c>
      <c r="B790" s="1" t="n">
        <v>44109</v>
      </c>
      <c r="C790" s="1" t="n">
        <v>45627</v>
      </c>
      <c r="D790" t="inlineStr">
        <is>
          <t>HALLANDS LÄN</t>
        </is>
      </c>
      <c r="E790" t="inlineStr">
        <is>
          <t>VARBERG</t>
        </is>
      </c>
      <c r="G790" t="n">
        <v>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51155-2020</t>
        </is>
      </c>
      <c r="B791" s="1" t="n">
        <v>44112</v>
      </c>
      <c r="C791" s="1" t="n">
        <v>45627</v>
      </c>
      <c r="D791" t="inlineStr">
        <is>
          <t>HALLANDS LÄN</t>
        </is>
      </c>
      <c r="E791" t="inlineStr">
        <is>
          <t>KUNGSBACKA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51198-2020</t>
        </is>
      </c>
      <c r="B792" s="1" t="n">
        <v>44112</v>
      </c>
      <c r="C792" s="1" t="n">
        <v>45627</v>
      </c>
      <c r="D792" t="inlineStr">
        <is>
          <t>HALLANDS LÄN</t>
        </is>
      </c>
      <c r="E792" t="inlineStr">
        <is>
          <t>KUNGSBACKA</t>
        </is>
      </c>
      <c r="G792" t="n">
        <v>0.4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52369-2020</t>
        </is>
      </c>
      <c r="B793" s="1" t="n">
        <v>44112</v>
      </c>
      <c r="C793" s="1" t="n">
        <v>45627</v>
      </c>
      <c r="D793" t="inlineStr">
        <is>
          <t>HALLANDS LÄN</t>
        </is>
      </c>
      <c r="E793" t="inlineStr">
        <is>
          <t>KUNGSBACKA</t>
        </is>
      </c>
      <c r="G793" t="n">
        <v>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51553-2020</t>
        </is>
      </c>
      <c r="B794" s="1" t="n">
        <v>44113</v>
      </c>
      <c r="C794" s="1" t="n">
        <v>45627</v>
      </c>
      <c r="D794" t="inlineStr">
        <is>
          <t>HALLANDS LÄN</t>
        </is>
      </c>
      <c r="E794" t="inlineStr">
        <is>
          <t>VARBERG</t>
        </is>
      </c>
      <c r="G794" t="n">
        <v>8.1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51417-2020</t>
        </is>
      </c>
      <c r="B795" s="1" t="n">
        <v>44113</v>
      </c>
      <c r="C795" s="1" t="n">
        <v>45627</v>
      </c>
      <c r="D795" t="inlineStr">
        <is>
          <t>HALLANDS LÄN</t>
        </is>
      </c>
      <c r="E795" t="inlineStr">
        <is>
          <t>KUNGSBACKA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51603-2020</t>
        </is>
      </c>
      <c r="B796" s="1" t="n">
        <v>44113</v>
      </c>
      <c r="C796" s="1" t="n">
        <v>45627</v>
      </c>
      <c r="D796" t="inlineStr">
        <is>
          <t>HALLANDS LÄN</t>
        </is>
      </c>
      <c r="E796" t="inlineStr">
        <is>
          <t>FALKENBERG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51566-2020</t>
        </is>
      </c>
      <c r="B797" s="1" t="n">
        <v>44113</v>
      </c>
      <c r="C797" s="1" t="n">
        <v>45627</v>
      </c>
      <c r="D797" t="inlineStr">
        <is>
          <t>HALLANDS LÄN</t>
        </is>
      </c>
      <c r="E797" t="inlineStr">
        <is>
          <t>VARBERG</t>
        </is>
      </c>
      <c r="G797" t="n">
        <v>1.8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52322-2020</t>
        </is>
      </c>
      <c r="B798" s="1" t="n">
        <v>44117</v>
      </c>
      <c r="C798" s="1" t="n">
        <v>45627</v>
      </c>
      <c r="D798" t="inlineStr">
        <is>
          <t>HALLANDS LÄN</t>
        </is>
      </c>
      <c r="E798" t="inlineStr">
        <is>
          <t>FALKENBERG</t>
        </is>
      </c>
      <c r="G798" t="n">
        <v>3.1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52303-2020</t>
        </is>
      </c>
      <c r="B799" s="1" t="n">
        <v>44117</v>
      </c>
      <c r="C799" s="1" t="n">
        <v>45627</v>
      </c>
      <c r="D799" t="inlineStr">
        <is>
          <t>HALLANDS LÄN</t>
        </is>
      </c>
      <c r="E799" t="inlineStr">
        <is>
          <t>KUNGSBACKA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52982-2020</t>
        </is>
      </c>
      <c r="B800" s="1" t="n">
        <v>44119</v>
      </c>
      <c r="C800" s="1" t="n">
        <v>45627</v>
      </c>
      <c r="D800" t="inlineStr">
        <is>
          <t>HALLANDS LÄN</t>
        </is>
      </c>
      <c r="E800" t="inlineStr">
        <is>
          <t>FALKENBERG</t>
        </is>
      </c>
      <c r="F800" t="inlineStr">
        <is>
          <t>Bergvik skog väst AB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52988-2020</t>
        </is>
      </c>
      <c r="B801" s="1" t="n">
        <v>44119</v>
      </c>
      <c r="C801" s="1" t="n">
        <v>45627</v>
      </c>
      <c r="D801" t="inlineStr">
        <is>
          <t>HALLANDS LÄN</t>
        </is>
      </c>
      <c r="E801" t="inlineStr">
        <is>
          <t>LAHOLM</t>
        </is>
      </c>
      <c r="G801" t="n">
        <v>3.8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52978-2020</t>
        </is>
      </c>
      <c r="B802" s="1" t="n">
        <v>44119</v>
      </c>
      <c r="C802" s="1" t="n">
        <v>45627</v>
      </c>
      <c r="D802" t="inlineStr">
        <is>
          <t>HALLANDS LÄN</t>
        </is>
      </c>
      <c r="E802" t="inlineStr">
        <is>
          <t>HALMSTAD</t>
        </is>
      </c>
      <c r="F802" t="inlineStr">
        <is>
          <t>Bergvik skog väst AB</t>
        </is>
      </c>
      <c r="G802" t="n">
        <v>5.8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53012-2020</t>
        </is>
      </c>
      <c r="B803" s="1" t="n">
        <v>44120</v>
      </c>
      <c r="C803" s="1" t="n">
        <v>45627</v>
      </c>
      <c r="D803" t="inlineStr">
        <is>
          <t>HALLANDS LÄN</t>
        </is>
      </c>
      <c r="E803" t="inlineStr">
        <is>
          <t>HALMSTAD</t>
        </is>
      </c>
      <c r="G803" t="n">
        <v>12.1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53210-2020</t>
        </is>
      </c>
      <c r="B804" s="1" t="n">
        <v>44122</v>
      </c>
      <c r="C804" s="1" t="n">
        <v>45627</v>
      </c>
      <c r="D804" t="inlineStr">
        <is>
          <t>HALLANDS LÄN</t>
        </is>
      </c>
      <c r="E804" t="inlineStr">
        <is>
          <t>HYLTE</t>
        </is>
      </c>
      <c r="G804" t="n">
        <v>0.1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53208-2020</t>
        </is>
      </c>
      <c r="B805" s="1" t="n">
        <v>44122</v>
      </c>
      <c r="C805" s="1" t="n">
        <v>45627</v>
      </c>
      <c r="D805" t="inlineStr">
        <is>
          <t>HALLANDS LÄN</t>
        </is>
      </c>
      <c r="E805" t="inlineStr">
        <is>
          <t>HYLTE</t>
        </is>
      </c>
      <c r="G805" t="n">
        <v>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53366-2020</t>
        </is>
      </c>
      <c r="B806" s="1" t="n">
        <v>44123</v>
      </c>
      <c r="C806" s="1" t="n">
        <v>45627</v>
      </c>
      <c r="D806" t="inlineStr">
        <is>
          <t>HALLANDS LÄN</t>
        </is>
      </c>
      <c r="E806" t="inlineStr">
        <is>
          <t>LAHOLM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53371-2020</t>
        </is>
      </c>
      <c r="B807" s="1" t="n">
        <v>44123</v>
      </c>
      <c r="C807" s="1" t="n">
        <v>45627</v>
      </c>
      <c r="D807" t="inlineStr">
        <is>
          <t>HALLANDS LÄN</t>
        </is>
      </c>
      <c r="E807" t="inlineStr">
        <is>
          <t>HYLTE</t>
        </is>
      </c>
      <c r="G807" t="n">
        <v>3.4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53217-2020</t>
        </is>
      </c>
      <c r="B808" s="1" t="n">
        <v>44123</v>
      </c>
      <c r="C808" s="1" t="n">
        <v>45627</v>
      </c>
      <c r="D808" t="inlineStr">
        <is>
          <t>HALLANDS LÄN</t>
        </is>
      </c>
      <c r="E808" t="inlineStr">
        <is>
          <t>VARBERG</t>
        </is>
      </c>
      <c r="G808" t="n">
        <v>1.6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53372-2020</t>
        </is>
      </c>
      <c r="B809" s="1" t="n">
        <v>44123</v>
      </c>
      <c r="C809" s="1" t="n">
        <v>45627</v>
      </c>
      <c r="D809" t="inlineStr">
        <is>
          <t>HALLANDS LÄN</t>
        </is>
      </c>
      <c r="E809" t="inlineStr">
        <is>
          <t>HYLTE</t>
        </is>
      </c>
      <c r="G809" t="n">
        <v>2.1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53513-2020</t>
        </is>
      </c>
      <c r="B810" s="1" t="n">
        <v>44124</v>
      </c>
      <c r="C810" s="1" t="n">
        <v>45627</v>
      </c>
      <c r="D810" t="inlineStr">
        <is>
          <t>HALLANDS LÄN</t>
        </is>
      </c>
      <c r="E810" t="inlineStr">
        <is>
          <t>VARBERG</t>
        </is>
      </c>
      <c r="G810" t="n">
        <v>1.8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53631-2020</t>
        </is>
      </c>
      <c r="B811" s="1" t="n">
        <v>44124</v>
      </c>
      <c r="C811" s="1" t="n">
        <v>45627</v>
      </c>
      <c r="D811" t="inlineStr">
        <is>
          <t>HALLANDS LÄN</t>
        </is>
      </c>
      <c r="E811" t="inlineStr">
        <is>
          <t>HALMSTAD</t>
        </is>
      </c>
      <c r="G811" t="n">
        <v>2.6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54259-2020</t>
        </is>
      </c>
      <c r="B812" s="1" t="n">
        <v>44124</v>
      </c>
      <c r="C812" s="1" t="n">
        <v>45627</v>
      </c>
      <c r="D812" t="inlineStr">
        <is>
          <t>HALLANDS LÄN</t>
        </is>
      </c>
      <c r="E812" t="inlineStr">
        <is>
          <t>HYLTE</t>
        </is>
      </c>
      <c r="G812" t="n">
        <v>2.3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54442-2020</t>
        </is>
      </c>
      <c r="B813" s="1" t="n">
        <v>44126</v>
      </c>
      <c r="C813" s="1" t="n">
        <v>45627</v>
      </c>
      <c r="D813" t="inlineStr">
        <is>
          <t>HALLANDS LÄN</t>
        </is>
      </c>
      <c r="E813" t="inlineStr">
        <is>
          <t>FALKENBERG</t>
        </is>
      </c>
      <c r="G813" t="n">
        <v>1.7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54558-2020</t>
        </is>
      </c>
      <c r="B814" s="1" t="n">
        <v>44126</v>
      </c>
      <c r="C814" s="1" t="n">
        <v>45627</v>
      </c>
      <c r="D814" t="inlineStr">
        <is>
          <t>HALLANDS LÄN</t>
        </is>
      </c>
      <c r="E814" t="inlineStr">
        <is>
          <t>FALKENBERG</t>
        </is>
      </c>
      <c r="G814" t="n">
        <v>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54654-2020</t>
        </is>
      </c>
      <c r="B815" s="1" t="n">
        <v>44127</v>
      </c>
      <c r="C815" s="1" t="n">
        <v>45627</v>
      </c>
      <c r="D815" t="inlineStr">
        <is>
          <t>HALLANDS LÄN</t>
        </is>
      </c>
      <c r="E815" t="inlineStr">
        <is>
          <t>LAHOLM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54649-2020</t>
        </is>
      </c>
      <c r="B816" s="1" t="n">
        <v>44127</v>
      </c>
      <c r="C816" s="1" t="n">
        <v>45627</v>
      </c>
      <c r="D816" t="inlineStr">
        <is>
          <t>HALLANDS LÄN</t>
        </is>
      </c>
      <c r="E816" t="inlineStr">
        <is>
          <t>LAHOLM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55049-2020</t>
        </is>
      </c>
      <c r="B817" s="1" t="n">
        <v>44130</v>
      </c>
      <c r="C817" s="1" t="n">
        <v>45627</v>
      </c>
      <c r="D817" t="inlineStr">
        <is>
          <t>HALLANDS LÄN</t>
        </is>
      </c>
      <c r="E817" t="inlineStr">
        <is>
          <t>KUNGSBACKA</t>
        </is>
      </c>
      <c r="G817" t="n">
        <v>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55734-2020</t>
        </is>
      </c>
      <c r="B818" s="1" t="n">
        <v>44132</v>
      </c>
      <c r="C818" s="1" t="n">
        <v>45627</v>
      </c>
      <c r="D818" t="inlineStr">
        <is>
          <t>HALLANDS LÄN</t>
        </is>
      </c>
      <c r="E818" t="inlineStr">
        <is>
          <t>HYLTE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55798-2020</t>
        </is>
      </c>
      <c r="B819" s="1" t="n">
        <v>44132</v>
      </c>
      <c r="C819" s="1" t="n">
        <v>45627</v>
      </c>
      <c r="D819" t="inlineStr">
        <is>
          <t>HALLANDS LÄN</t>
        </is>
      </c>
      <c r="E819" t="inlineStr">
        <is>
          <t>FALKENBERG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55738-2020</t>
        </is>
      </c>
      <c r="B820" s="1" t="n">
        <v>44132</v>
      </c>
      <c r="C820" s="1" t="n">
        <v>45627</v>
      </c>
      <c r="D820" t="inlineStr">
        <is>
          <t>HALLANDS LÄN</t>
        </is>
      </c>
      <c r="E820" t="inlineStr">
        <is>
          <t>HYLTE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55796-2020</t>
        </is>
      </c>
      <c r="B821" s="1" t="n">
        <v>44132</v>
      </c>
      <c r="C821" s="1" t="n">
        <v>45627</v>
      </c>
      <c r="D821" t="inlineStr">
        <is>
          <t>HALLANDS LÄN</t>
        </is>
      </c>
      <c r="E821" t="inlineStr">
        <is>
          <t>FALKENBERG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55980-2020</t>
        </is>
      </c>
      <c r="B822" s="1" t="n">
        <v>44133</v>
      </c>
      <c r="C822" s="1" t="n">
        <v>45627</v>
      </c>
      <c r="D822" t="inlineStr">
        <is>
          <t>HALLANDS LÄN</t>
        </is>
      </c>
      <c r="E822" t="inlineStr">
        <is>
          <t>HYLTE</t>
        </is>
      </c>
      <c r="G822" t="n">
        <v>1.6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56152-2020</t>
        </is>
      </c>
      <c r="B823" s="1" t="n">
        <v>44133</v>
      </c>
      <c r="C823" s="1" t="n">
        <v>45627</v>
      </c>
      <c r="D823" t="inlineStr">
        <is>
          <t>HALLANDS LÄN</t>
        </is>
      </c>
      <c r="E823" t="inlineStr">
        <is>
          <t>FALKENBERG</t>
        </is>
      </c>
      <c r="F823" t="inlineStr">
        <is>
          <t>Kyrkan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55978-2020</t>
        </is>
      </c>
      <c r="B824" s="1" t="n">
        <v>44133</v>
      </c>
      <c r="C824" s="1" t="n">
        <v>45627</v>
      </c>
      <c r="D824" t="inlineStr">
        <is>
          <t>HALLANDS LÄN</t>
        </is>
      </c>
      <c r="E824" t="inlineStr">
        <is>
          <t>HYLTE</t>
        </is>
      </c>
      <c r="G824" t="n">
        <v>2.3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56876-2020</t>
        </is>
      </c>
      <c r="B825" s="1" t="n">
        <v>44134</v>
      </c>
      <c r="C825" s="1" t="n">
        <v>45627</v>
      </c>
      <c r="D825" t="inlineStr">
        <is>
          <t>HALLANDS LÄN</t>
        </is>
      </c>
      <c r="E825" t="inlineStr">
        <is>
          <t>FALKENBERG</t>
        </is>
      </c>
      <c r="F825" t="inlineStr">
        <is>
          <t>Kyrkan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56629-2020</t>
        </is>
      </c>
      <c r="B826" s="1" t="n">
        <v>44137</v>
      </c>
      <c r="C826" s="1" t="n">
        <v>45627</v>
      </c>
      <c r="D826" t="inlineStr">
        <is>
          <t>HALLANDS LÄN</t>
        </is>
      </c>
      <c r="E826" t="inlineStr">
        <is>
          <t>KUNGSBACKA</t>
        </is>
      </c>
      <c r="G826" t="n">
        <v>3.9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56665-2020</t>
        </is>
      </c>
      <c r="B827" s="1" t="n">
        <v>44137</v>
      </c>
      <c r="C827" s="1" t="n">
        <v>45627</v>
      </c>
      <c r="D827" t="inlineStr">
        <is>
          <t>HALLANDS LÄN</t>
        </is>
      </c>
      <c r="E827" t="inlineStr">
        <is>
          <t>FALKENBERG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56981-2020</t>
        </is>
      </c>
      <c r="B828" s="1" t="n">
        <v>44138</v>
      </c>
      <c r="C828" s="1" t="n">
        <v>45627</v>
      </c>
      <c r="D828" t="inlineStr">
        <is>
          <t>HALLANDS LÄN</t>
        </is>
      </c>
      <c r="E828" t="inlineStr">
        <is>
          <t>VARBERG</t>
        </is>
      </c>
      <c r="G828" t="n">
        <v>8.5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56959-2020</t>
        </is>
      </c>
      <c r="B829" s="1" t="n">
        <v>44138</v>
      </c>
      <c r="C829" s="1" t="n">
        <v>45627</v>
      </c>
      <c r="D829" t="inlineStr">
        <is>
          <t>HALLANDS LÄN</t>
        </is>
      </c>
      <c r="E829" t="inlineStr">
        <is>
          <t>KUNGSBACKA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57615-2020</t>
        </is>
      </c>
      <c r="B830" s="1" t="n">
        <v>44140</v>
      </c>
      <c r="C830" s="1" t="n">
        <v>45627</v>
      </c>
      <c r="D830" t="inlineStr">
        <is>
          <t>HALLANDS LÄN</t>
        </is>
      </c>
      <c r="E830" t="inlineStr">
        <is>
          <t>VARBERG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57627-2020</t>
        </is>
      </c>
      <c r="B831" s="1" t="n">
        <v>44140</v>
      </c>
      <c r="C831" s="1" t="n">
        <v>45627</v>
      </c>
      <c r="D831" t="inlineStr">
        <is>
          <t>HALLANDS LÄN</t>
        </is>
      </c>
      <c r="E831" t="inlineStr">
        <is>
          <t>HYLTE</t>
        </is>
      </c>
      <c r="F831" t="inlineStr">
        <is>
          <t>Kyrkan</t>
        </is>
      </c>
      <c r="G831" t="n">
        <v>0.4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57426-2020</t>
        </is>
      </c>
      <c r="B832" s="1" t="n">
        <v>44140</v>
      </c>
      <c r="C832" s="1" t="n">
        <v>45627</v>
      </c>
      <c r="D832" t="inlineStr">
        <is>
          <t>HALLANDS LÄN</t>
        </is>
      </c>
      <c r="E832" t="inlineStr">
        <is>
          <t>HYLTE</t>
        </is>
      </c>
      <c r="G832" t="n">
        <v>3.4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57608-2020</t>
        </is>
      </c>
      <c r="B833" s="1" t="n">
        <v>44140</v>
      </c>
      <c r="C833" s="1" t="n">
        <v>45627</v>
      </c>
      <c r="D833" t="inlineStr">
        <is>
          <t>HALLANDS LÄN</t>
        </is>
      </c>
      <c r="E833" t="inlineStr">
        <is>
          <t>VARBERG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58081-2020</t>
        </is>
      </c>
      <c r="B834" s="1" t="n">
        <v>44140</v>
      </c>
      <c r="C834" s="1" t="n">
        <v>45627</v>
      </c>
      <c r="D834" t="inlineStr">
        <is>
          <t>HALLANDS LÄN</t>
        </is>
      </c>
      <c r="E834" t="inlineStr">
        <is>
          <t>VARBERG</t>
        </is>
      </c>
      <c r="F834" t="inlineStr">
        <is>
          <t>Kyrkan</t>
        </is>
      </c>
      <c r="G834" t="n">
        <v>3.3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58076-2020</t>
        </is>
      </c>
      <c r="B835" s="1" t="n">
        <v>44140</v>
      </c>
      <c r="C835" s="1" t="n">
        <v>45627</v>
      </c>
      <c r="D835" t="inlineStr">
        <is>
          <t>HALLANDS LÄN</t>
        </is>
      </c>
      <c r="E835" t="inlineStr">
        <is>
          <t>VARBERG</t>
        </is>
      </c>
      <c r="F835" t="inlineStr">
        <is>
          <t>Kyrkan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57849-2020</t>
        </is>
      </c>
      <c r="B836" s="1" t="n">
        <v>44141</v>
      </c>
      <c r="C836" s="1" t="n">
        <v>45627</v>
      </c>
      <c r="D836" t="inlineStr">
        <is>
          <t>HALLANDS LÄN</t>
        </is>
      </c>
      <c r="E836" t="inlineStr">
        <is>
          <t>HALMSTAD</t>
        </is>
      </c>
      <c r="G836" t="n">
        <v>1.9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58306-2020</t>
        </is>
      </c>
      <c r="B837" s="1" t="n">
        <v>44141</v>
      </c>
      <c r="C837" s="1" t="n">
        <v>45627</v>
      </c>
      <c r="D837" t="inlineStr">
        <is>
          <t>HALLANDS LÄN</t>
        </is>
      </c>
      <c r="E837" t="inlineStr">
        <is>
          <t>FALKENBERG</t>
        </is>
      </c>
      <c r="F837" t="inlineStr">
        <is>
          <t>Bergvik skog väst AB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57743-2020</t>
        </is>
      </c>
      <c r="B838" s="1" t="n">
        <v>44141</v>
      </c>
      <c r="C838" s="1" t="n">
        <v>45627</v>
      </c>
      <c r="D838" t="inlineStr">
        <is>
          <t>HALLANDS LÄN</t>
        </is>
      </c>
      <c r="E838" t="inlineStr">
        <is>
          <t>HYLTE</t>
        </is>
      </c>
      <c r="F838" t="inlineStr">
        <is>
          <t>Kyrkan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58170-2020</t>
        </is>
      </c>
      <c r="B839" s="1" t="n">
        <v>44144</v>
      </c>
      <c r="C839" s="1" t="n">
        <v>45627</v>
      </c>
      <c r="D839" t="inlineStr">
        <is>
          <t>HALLANDS LÄN</t>
        </is>
      </c>
      <c r="E839" t="inlineStr">
        <is>
          <t>LAHOLM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58165-2020</t>
        </is>
      </c>
      <c r="B840" s="1" t="n">
        <v>44144</v>
      </c>
      <c r="C840" s="1" t="n">
        <v>45627</v>
      </c>
      <c r="D840" t="inlineStr">
        <is>
          <t>HALLANDS LÄN</t>
        </is>
      </c>
      <c r="E840" t="inlineStr">
        <is>
          <t>LAHOLM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58184-2020</t>
        </is>
      </c>
      <c r="B841" s="1" t="n">
        <v>44144</v>
      </c>
      <c r="C841" s="1" t="n">
        <v>45627</v>
      </c>
      <c r="D841" t="inlineStr">
        <is>
          <t>HALLANDS LÄN</t>
        </is>
      </c>
      <c r="E841" t="inlineStr">
        <is>
          <t>LAHOLM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58227-2020</t>
        </is>
      </c>
      <c r="B842" s="1" t="n">
        <v>44144</v>
      </c>
      <c r="C842" s="1" t="n">
        <v>45627</v>
      </c>
      <c r="D842" t="inlineStr">
        <is>
          <t>HALLANDS LÄN</t>
        </is>
      </c>
      <c r="E842" t="inlineStr">
        <is>
          <t>HYLTE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58581-2020</t>
        </is>
      </c>
      <c r="B843" s="1" t="n">
        <v>44145</v>
      </c>
      <c r="C843" s="1" t="n">
        <v>45627</v>
      </c>
      <c r="D843" t="inlineStr">
        <is>
          <t>HALLANDS LÄN</t>
        </is>
      </c>
      <c r="E843" t="inlineStr">
        <is>
          <t>VARBERG</t>
        </is>
      </c>
      <c r="G843" t="n">
        <v>4.3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58373-2020</t>
        </is>
      </c>
      <c r="B844" s="1" t="n">
        <v>44145</v>
      </c>
      <c r="C844" s="1" t="n">
        <v>45627</v>
      </c>
      <c r="D844" t="inlineStr">
        <is>
          <t>HALLANDS LÄN</t>
        </is>
      </c>
      <c r="E844" t="inlineStr">
        <is>
          <t>HYLTE</t>
        </is>
      </c>
      <c r="F844" t="inlineStr">
        <is>
          <t>Kyrkan</t>
        </is>
      </c>
      <c r="G844" t="n">
        <v>2.1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58389-2020</t>
        </is>
      </c>
      <c r="B845" s="1" t="n">
        <v>44145</v>
      </c>
      <c r="C845" s="1" t="n">
        <v>45627</v>
      </c>
      <c r="D845" t="inlineStr">
        <is>
          <t>HALLANDS LÄN</t>
        </is>
      </c>
      <c r="E845" t="inlineStr">
        <is>
          <t>FALKENBERG</t>
        </is>
      </c>
      <c r="F845" t="inlineStr">
        <is>
          <t>Kyrkan</t>
        </is>
      </c>
      <c r="G845" t="n">
        <v>1.4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58655-2020</t>
        </is>
      </c>
      <c r="B846" s="1" t="n">
        <v>44145</v>
      </c>
      <c r="C846" s="1" t="n">
        <v>45627</v>
      </c>
      <c r="D846" t="inlineStr">
        <is>
          <t>HALLANDS LÄN</t>
        </is>
      </c>
      <c r="E846" t="inlineStr">
        <is>
          <t>FALKENBERG</t>
        </is>
      </c>
      <c r="F846" t="inlineStr">
        <is>
          <t>Kyrkan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58748-2020</t>
        </is>
      </c>
      <c r="B847" s="1" t="n">
        <v>44146</v>
      </c>
      <c r="C847" s="1" t="n">
        <v>45627</v>
      </c>
      <c r="D847" t="inlineStr">
        <is>
          <t>HALLANDS LÄN</t>
        </is>
      </c>
      <c r="E847" t="inlineStr">
        <is>
          <t>FALKENBERG</t>
        </is>
      </c>
      <c r="F847" t="inlineStr">
        <is>
          <t>Bergvik skog väst AB</t>
        </is>
      </c>
      <c r="G847" t="n">
        <v>1.7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58757-2020</t>
        </is>
      </c>
      <c r="B848" s="1" t="n">
        <v>44146</v>
      </c>
      <c r="C848" s="1" t="n">
        <v>45627</v>
      </c>
      <c r="D848" t="inlineStr">
        <is>
          <t>HALLANDS LÄN</t>
        </is>
      </c>
      <c r="E848" t="inlineStr">
        <is>
          <t>FALKENBERG</t>
        </is>
      </c>
      <c r="F848" t="inlineStr">
        <is>
          <t>Bergvik skog väst AB</t>
        </is>
      </c>
      <c r="G848" t="n">
        <v>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58682-2020</t>
        </is>
      </c>
      <c r="B849" s="1" t="n">
        <v>44146</v>
      </c>
      <c r="C849" s="1" t="n">
        <v>45627</v>
      </c>
      <c r="D849" t="inlineStr">
        <is>
          <t>HALLANDS LÄN</t>
        </is>
      </c>
      <c r="E849" t="inlineStr">
        <is>
          <t>FALKENBERG</t>
        </is>
      </c>
      <c r="G849" t="n">
        <v>10.4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58856-2020</t>
        </is>
      </c>
      <c r="B850" s="1" t="n">
        <v>44146</v>
      </c>
      <c r="C850" s="1" t="n">
        <v>45627</v>
      </c>
      <c r="D850" t="inlineStr">
        <is>
          <t>HALLANDS LÄN</t>
        </is>
      </c>
      <c r="E850" t="inlineStr">
        <is>
          <t>HYLTE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58929-2020</t>
        </is>
      </c>
      <c r="B851" s="1" t="n">
        <v>44146</v>
      </c>
      <c r="C851" s="1" t="n">
        <v>45627</v>
      </c>
      <c r="D851" t="inlineStr">
        <is>
          <t>HALLANDS LÄN</t>
        </is>
      </c>
      <c r="E851" t="inlineStr">
        <is>
          <t>HYLTE</t>
        </is>
      </c>
      <c r="G851" t="n">
        <v>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59091-2020</t>
        </is>
      </c>
      <c r="B852" s="1" t="n">
        <v>44147</v>
      </c>
      <c r="C852" s="1" t="n">
        <v>45627</v>
      </c>
      <c r="D852" t="inlineStr">
        <is>
          <t>HALLANDS LÄN</t>
        </is>
      </c>
      <c r="E852" t="inlineStr">
        <is>
          <t>HYLTE</t>
        </is>
      </c>
      <c r="G852" t="n">
        <v>0.4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59087-2020</t>
        </is>
      </c>
      <c r="B853" s="1" t="n">
        <v>44147</v>
      </c>
      <c r="C853" s="1" t="n">
        <v>45627</v>
      </c>
      <c r="D853" t="inlineStr">
        <is>
          <t>HALLANDS LÄN</t>
        </is>
      </c>
      <c r="E853" t="inlineStr">
        <is>
          <t>HYLTE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59082-2020</t>
        </is>
      </c>
      <c r="B854" s="1" t="n">
        <v>44147</v>
      </c>
      <c r="C854" s="1" t="n">
        <v>45627</v>
      </c>
      <c r="D854" t="inlineStr">
        <is>
          <t>HALLANDS LÄN</t>
        </is>
      </c>
      <c r="E854" t="inlineStr">
        <is>
          <t>HYLTE</t>
        </is>
      </c>
      <c r="G854" t="n">
        <v>0.4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59097-2020</t>
        </is>
      </c>
      <c r="B855" s="1" t="n">
        <v>44147</v>
      </c>
      <c r="C855" s="1" t="n">
        <v>45627</v>
      </c>
      <c r="D855" t="inlineStr">
        <is>
          <t>HALLANDS LÄN</t>
        </is>
      </c>
      <c r="E855" t="inlineStr">
        <is>
          <t>HYLTE</t>
        </is>
      </c>
      <c r="G855" t="n">
        <v>0.5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59139-2020</t>
        </is>
      </c>
      <c r="B856" s="1" t="n">
        <v>44147</v>
      </c>
      <c r="C856" s="1" t="n">
        <v>45627</v>
      </c>
      <c r="D856" t="inlineStr">
        <is>
          <t>HALLANDS LÄN</t>
        </is>
      </c>
      <c r="E856" t="inlineStr">
        <is>
          <t>HYLTE</t>
        </is>
      </c>
      <c r="G856" t="n">
        <v>2.7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59260-2020</t>
        </is>
      </c>
      <c r="B857" s="1" t="n">
        <v>44147</v>
      </c>
      <c r="C857" s="1" t="n">
        <v>45627</v>
      </c>
      <c r="D857" t="inlineStr">
        <is>
          <t>HALLANDS LÄN</t>
        </is>
      </c>
      <c r="E857" t="inlineStr">
        <is>
          <t>FALKENBERG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59315-2020</t>
        </is>
      </c>
      <c r="B858" s="1" t="n">
        <v>44147</v>
      </c>
      <c r="C858" s="1" t="n">
        <v>45627</v>
      </c>
      <c r="D858" t="inlineStr">
        <is>
          <t>HALLANDS LÄN</t>
        </is>
      </c>
      <c r="E858" t="inlineStr">
        <is>
          <t>VARBERG</t>
        </is>
      </c>
      <c r="G858" t="n">
        <v>3.3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59312-2020</t>
        </is>
      </c>
      <c r="B859" s="1" t="n">
        <v>44147</v>
      </c>
      <c r="C859" s="1" t="n">
        <v>45627</v>
      </c>
      <c r="D859" t="inlineStr">
        <is>
          <t>HALLANDS LÄN</t>
        </is>
      </c>
      <c r="E859" t="inlineStr">
        <is>
          <t>VARBERG</t>
        </is>
      </c>
      <c r="G859" t="n">
        <v>6.1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59658-2020</t>
        </is>
      </c>
      <c r="B860" s="1" t="n">
        <v>44151</v>
      </c>
      <c r="C860" s="1" t="n">
        <v>45627</v>
      </c>
      <c r="D860" t="inlineStr">
        <is>
          <t>HALLANDS LÄN</t>
        </is>
      </c>
      <c r="E860" t="inlineStr">
        <is>
          <t>FALKENBERG</t>
        </is>
      </c>
      <c r="G860" t="n">
        <v>2.9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59719-2020</t>
        </is>
      </c>
      <c r="B861" s="1" t="n">
        <v>44151</v>
      </c>
      <c r="C861" s="1" t="n">
        <v>45627</v>
      </c>
      <c r="D861" t="inlineStr">
        <is>
          <t>HALLANDS LÄN</t>
        </is>
      </c>
      <c r="E861" t="inlineStr">
        <is>
          <t>HALMSTAD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59682-2020</t>
        </is>
      </c>
      <c r="B862" s="1" t="n">
        <v>44151</v>
      </c>
      <c r="C862" s="1" t="n">
        <v>45627</v>
      </c>
      <c r="D862" t="inlineStr">
        <is>
          <t>HALLANDS LÄN</t>
        </is>
      </c>
      <c r="E862" t="inlineStr">
        <is>
          <t>LAHOLM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60468-2020</t>
        </is>
      </c>
      <c r="B863" s="1" t="n">
        <v>44153</v>
      </c>
      <c r="C863" s="1" t="n">
        <v>45627</v>
      </c>
      <c r="D863" t="inlineStr">
        <is>
          <t>HALLANDS LÄN</t>
        </is>
      </c>
      <c r="E863" t="inlineStr">
        <is>
          <t>VARBERG</t>
        </is>
      </c>
      <c r="G863" t="n">
        <v>0.9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60790-2020</t>
        </is>
      </c>
      <c r="B864" s="1" t="n">
        <v>44154</v>
      </c>
      <c r="C864" s="1" t="n">
        <v>45627</v>
      </c>
      <c r="D864" t="inlineStr">
        <is>
          <t>HALLANDS LÄN</t>
        </is>
      </c>
      <c r="E864" t="inlineStr">
        <is>
          <t>KUNGSBACKA</t>
        </is>
      </c>
      <c r="F864" t="inlineStr">
        <is>
          <t>Övriga Aktiebolag</t>
        </is>
      </c>
      <c r="G864" t="n">
        <v>2.7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60775-2020</t>
        </is>
      </c>
      <c r="B865" s="1" t="n">
        <v>44154</v>
      </c>
      <c r="C865" s="1" t="n">
        <v>45627</v>
      </c>
      <c r="D865" t="inlineStr">
        <is>
          <t>HALLANDS LÄN</t>
        </is>
      </c>
      <c r="E865" t="inlineStr">
        <is>
          <t>FALKENBERG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60924-2020</t>
        </is>
      </c>
      <c r="B866" s="1" t="n">
        <v>44154</v>
      </c>
      <c r="C866" s="1" t="n">
        <v>45627</v>
      </c>
      <c r="D866" t="inlineStr">
        <is>
          <t>HALLANDS LÄN</t>
        </is>
      </c>
      <c r="E866" t="inlineStr">
        <is>
          <t>HYLTE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61078-2020</t>
        </is>
      </c>
      <c r="B867" s="1" t="n">
        <v>44154</v>
      </c>
      <c r="C867" s="1" t="n">
        <v>45627</v>
      </c>
      <c r="D867" t="inlineStr">
        <is>
          <t>HALLANDS LÄN</t>
        </is>
      </c>
      <c r="E867" t="inlineStr">
        <is>
          <t>LAHOLM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61484-2020</t>
        </is>
      </c>
      <c r="B868" s="1" t="n">
        <v>44158</v>
      </c>
      <c r="C868" s="1" t="n">
        <v>45627</v>
      </c>
      <c r="D868" t="inlineStr">
        <is>
          <t>HALLANDS LÄN</t>
        </is>
      </c>
      <c r="E868" t="inlineStr">
        <is>
          <t>LAHOLM</t>
        </is>
      </c>
      <c r="F868" t="inlineStr">
        <is>
          <t>Övriga statliga verk och myndigheter</t>
        </is>
      </c>
      <c r="G868" t="n">
        <v>2.1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61832-2020</t>
        </is>
      </c>
      <c r="B869" s="1" t="n">
        <v>44159</v>
      </c>
      <c r="C869" s="1" t="n">
        <v>45627</v>
      </c>
      <c r="D869" t="inlineStr">
        <is>
          <t>HALLANDS LÄN</t>
        </is>
      </c>
      <c r="E869" t="inlineStr">
        <is>
          <t>FALKENBERG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61896-2020</t>
        </is>
      </c>
      <c r="B870" s="1" t="n">
        <v>44159</v>
      </c>
      <c r="C870" s="1" t="n">
        <v>45627</v>
      </c>
      <c r="D870" t="inlineStr">
        <is>
          <t>HALLANDS LÄN</t>
        </is>
      </c>
      <c r="E870" t="inlineStr">
        <is>
          <t>HYLTE</t>
        </is>
      </c>
      <c r="G870" t="n">
        <v>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61907-2020</t>
        </is>
      </c>
      <c r="B871" s="1" t="n">
        <v>44159</v>
      </c>
      <c r="C871" s="1" t="n">
        <v>45627</v>
      </c>
      <c r="D871" t="inlineStr">
        <is>
          <t>HALLANDS LÄN</t>
        </is>
      </c>
      <c r="E871" t="inlineStr">
        <is>
          <t>HALMSTAD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61891-2020</t>
        </is>
      </c>
      <c r="B872" s="1" t="n">
        <v>44159</v>
      </c>
      <c r="C872" s="1" t="n">
        <v>45627</v>
      </c>
      <c r="D872" t="inlineStr">
        <is>
          <t>HALLANDS LÄN</t>
        </is>
      </c>
      <c r="E872" t="inlineStr">
        <is>
          <t>HYLTE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61900-2020</t>
        </is>
      </c>
      <c r="B873" s="1" t="n">
        <v>44159</v>
      </c>
      <c r="C873" s="1" t="n">
        <v>45627</v>
      </c>
      <c r="D873" t="inlineStr">
        <is>
          <t>HALLANDS LÄN</t>
        </is>
      </c>
      <c r="E873" t="inlineStr">
        <is>
          <t>HYLTE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61849-2020</t>
        </is>
      </c>
      <c r="B874" s="1" t="n">
        <v>44159</v>
      </c>
      <c r="C874" s="1" t="n">
        <v>45627</v>
      </c>
      <c r="D874" t="inlineStr">
        <is>
          <t>HALLANDS LÄN</t>
        </is>
      </c>
      <c r="E874" t="inlineStr">
        <is>
          <t>HALMSTAD</t>
        </is>
      </c>
      <c r="G874" t="n">
        <v>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62661-2020</t>
        </is>
      </c>
      <c r="B875" s="1" t="n">
        <v>44161</v>
      </c>
      <c r="C875" s="1" t="n">
        <v>45627</v>
      </c>
      <c r="D875" t="inlineStr">
        <is>
          <t>HALLANDS LÄN</t>
        </is>
      </c>
      <c r="E875" t="inlineStr">
        <is>
          <t>FALKENBERG</t>
        </is>
      </c>
      <c r="G875" t="n">
        <v>2.5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62752-2020</t>
        </is>
      </c>
      <c r="B876" s="1" t="n">
        <v>44161</v>
      </c>
      <c r="C876" s="1" t="n">
        <v>45627</v>
      </c>
      <c r="D876" t="inlineStr">
        <is>
          <t>HALLANDS LÄN</t>
        </is>
      </c>
      <c r="E876" t="inlineStr">
        <is>
          <t>FALKENBERG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62753-2020</t>
        </is>
      </c>
      <c r="B877" s="1" t="n">
        <v>44161</v>
      </c>
      <c r="C877" s="1" t="n">
        <v>45627</v>
      </c>
      <c r="D877" t="inlineStr">
        <is>
          <t>HALLANDS LÄN</t>
        </is>
      </c>
      <c r="E877" t="inlineStr">
        <is>
          <t>KUNGSBACKA</t>
        </is>
      </c>
      <c r="G877" t="n">
        <v>3.5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63120-2020</t>
        </is>
      </c>
      <c r="B878" s="1" t="n">
        <v>44162</v>
      </c>
      <c r="C878" s="1" t="n">
        <v>45627</v>
      </c>
      <c r="D878" t="inlineStr">
        <is>
          <t>HALLANDS LÄN</t>
        </is>
      </c>
      <c r="E878" t="inlineStr">
        <is>
          <t>LAHOLM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62944-2020</t>
        </is>
      </c>
      <c r="B879" s="1" t="n">
        <v>44162</v>
      </c>
      <c r="C879" s="1" t="n">
        <v>45627</v>
      </c>
      <c r="D879" t="inlineStr">
        <is>
          <t>HALLANDS LÄN</t>
        </is>
      </c>
      <c r="E879" t="inlineStr">
        <is>
          <t>KUNGSBACKA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63654-2020</t>
        </is>
      </c>
      <c r="B880" s="1" t="n">
        <v>44162</v>
      </c>
      <c r="C880" s="1" t="n">
        <v>45627</v>
      </c>
      <c r="D880" t="inlineStr">
        <is>
          <t>HALLANDS LÄN</t>
        </is>
      </c>
      <c r="E880" t="inlineStr">
        <is>
          <t>HYLTE</t>
        </is>
      </c>
      <c r="G880" t="n">
        <v>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63762-2020</t>
        </is>
      </c>
      <c r="B881" s="1" t="n">
        <v>44166</v>
      </c>
      <c r="C881" s="1" t="n">
        <v>45627</v>
      </c>
      <c r="D881" t="inlineStr">
        <is>
          <t>HALLANDS LÄN</t>
        </is>
      </c>
      <c r="E881" t="inlineStr">
        <is>
          <t>FALKENBERG</t>
        </is>
      </c>
      <c r="G881" t="n">
        <v>0.1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63813-2020</t>
        </is>
      </c>
      <c r="B882" s="1" t="n">
        <v>44166</v>
      </c>
      <c r="C882" s="1" t="n">
        <v>45627</v>
      </c>
      <c r="D882" t="inlineStr">
        <is>
          <t>HALLANDS LÄN</t>
        </is>
      </c>
      <c r="E882" t="inlineStr">
        <is>
          <t>VARBERG</t>
        </is>
      </c>
      <c r="G882" t="n">
        <v>1.3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63800-2020</t>
        </is>
      </c>
      <c r="B883" s="1" t="n">
        <v>44166</v>
      </c>
      <c r="C883" s="1" t="n">
        <v>45627</v>
      </c>
      <c r="D883" t="inlineStr">
        <is>
          <t>HALLANDS LÄN</t>
        </is>
      </c>
      <c r="E883" t="inlineStr">
        <is>
          <t>HYLTE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64238-2020</t>
        </is>
      </c>
      <c r="B884" s="1" t="n">
        <v>44168</v>
      </c>
      <c r="C884" s="1" t="n">
        <v>45627</v>
      </c>
      <c r="D884" t="inlineStr">
        <is>
          <t>HALLANDS LÄN</t>
        </is>
      </c>
      <c r="E884" t="inlineStr">
        <is>
          <t>FALKENBERG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64405-2020</t>
        </is>
      </c>
      <c r="B885" s="1" t="n">
        <v>44168</v>
      </c>
      <c r="C885" s="1" t="n">
        <v>45627</v>
      </c>
      <c r="D885" t="inlineStr">
        <is>
          <t>HALLANDS LÄN</t>
        </is>
      </c>
      <c r="E885" t="inlineStr">
        <is>
          <t>LAHOLM</t>
        </is>
      </c>
      <c r="F885" t="inlineStr">
        <is>
          <t>Sveaskog</t>
        </is>
      </c>
      <c r="G885" t="n">
        <v>8.699999999999999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64415-2020</t>
        </is>
      </c>
      <c r="B886" s="1" t="n">
        <v>44168</v>
      </c>
      <c r="C886" s="1" t="n">
        <v>45627</v>
      </c>
      <c r="D886" t="inlineStr">
        <is>
          <t>HALLANDS LÄN</t>
        </is>
      </c>
      <c r="E886" t="inlineStr">
        <is>
          <t>HYLTE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65466-2020</t>
        </is>
      </c>
      <c r="B887" s="1" t="n">
        <v>44169</v>
      </c>
      <c r="C887" s="1" t="n">
        <v>45627</v>
      </c>
      <c r="D887" t="inlineStr">
        <is>
          <t>HALLANDS LÄN</t>
        </is>
      </c>
      <c r="E887" t="inlineStr">
        <is>
          <t>VARBERG</t>
        </is>
      </c>
      <c r="G887" t="n">
        <v>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64944-2020</t>
        </is>
      </c>
      <c r="B888" s="1" t="n">
        <v>44172</v>
      </c>
      <c r="C888" s="1" t="n">
        <v>45627</v>
      </c>
      <c r="D888" t="inlineStr">
        <is>
          <t>HALLANDS LÄN</t>
        </is>
      </c>
      <c r="E888" t="inlineStr">
        <is>
          <t>HYLTE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65432-2020</t>
        </is>
      </c>
      <c r="B889" s="1" t="n">
        <v>44173</v>
      </c>
      <c r="C889" s="1" t="n">
        <v>45627</v>
      </c>
      <c r="D889" t="inlineStr">
        <is>
          <t>HALLANDS LÄN</t>
        </is>
      </c>
      <c r="E889" t="inlineStr">
        <is>
          <t>VARBERG</t>
        </is>
      </c>
      <c r="G889" t="n">
        <v>4.2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65404-2020</t>
        </is>
      </c>
      <c r="B890" s="1" t="n">
        <v>44173</v>
      </c>
      <c r="C890" s="1" t="n">
        <v>45627</v>
      </c>
      <c r="D890" t="inlineStr">
        <is>
          <t>HALLANDS LÄN</t>
        </is>
      </c>
      <c r="E890" t="inlineStr">
        <is>
          <t>HALMSTAD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65457-2020</t>
        </is>
      </c>
      <c r="B891" s="1" t="n">
        <v>44173</v>
      </c>
      <c r="C891" s="1" t="n">
        <v>45627</v>
      </c>
      <c r="D891" t="inlineStr">
        <is>
          <t>HALLANDS LÄN</t>
        </is>
      </c>
      <c r="E891" t="inlineStr">
        <is>
          <t>HYLTE</t>
        </is>
      </c>
      <c r="G891" t="n">
        <v>2.2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65565-2020</t>
        </is>
      </c>
      <c r="B892" s="1" t="n">
        <v>44173</v>
      </c>
      <c r="C892" s="1" t="n">
        <v>45627</v>
      </c>
      <c r="D892" t="inlineStr">
        <is>
          <t>HALLANDS LÄN</t>
        </is>
      </c>
      <c r="E892" t="inlineStr">
        <is>
          <t>VARBERG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65872-2020</t>
        </is>
      </c>
      <c r="B893" s="1" t="n">
        <v>44174</v>
      </c>
      <c r="C893" s="1" t="n">
        <v>45627</v>
      </c>
      <c r="D893" t="inlineStr">
        <is>
          <t>HALLANDS LÄN</t>
        </is>
      </c>
      <c r="E893" t="inlineStr">
        <is>
          <t>HALMSTAD</t>
        </is>
      </c>
      <c r="G893" t="n">
        <v>1.9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65874-2020</t>
        </is>
      </c>
      <c r="B894" s="1" t="n">
        <v>44174</v>
      </c>
      <c r="C894" s="1" t="n">
        <v>45627</v>
      </c>
      <c r="D894" t="inlineStr">
        <is>
          <t>HALLANDS LÄN</t>
        </is>
      </c>
      <c r="E894" t="inlineStr">
        <is>
          <t>HYLTE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65870-2020</t>
        </is>
      </c>
      <c r="B895" s="1" t="n">
        <v>44174</v>
      </c>
      <c r="C895" s="1" t="n">
        <v>45627</v>
      </c>
      <c r="D895" t="inlineStr">
        <is>
          <t>HALLANDS LÄN</t>
        </is>
      </c>
      <c r="E895" t="inlineStr">
        <is>
          <t>HALMSTAD</t>
        </is>
      </c>
      <c r="G895" t="n">
        <v>4.3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66305-2020</t>
        </is>
      </c>
      <c r="B896" s="1" t="n">
        <v>44174</v>
      </c>
      <c r="C896" s="1" t="n">
        <v>45627</v>
      </c>
      <c r="D896" t="inlineStr">
        <is>
          <t>HALLANDS LÄN</t>
        </is>
      </c>
      <c r="E896" t="inlineStr">
        <is>
          <t>HYLTE</t>
        </is>
      </c>
      <c r="G896" t="n">
        <v>1.6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65924-2020</t>
        </is>
      </c>
      <c r="B897" s="1" t="n">
        <v>44175</v>
      </c>
      <c r="C897" s="1" t="n">
        <v>45627</v>
      </c>
      <c r="D897" t="inlineStr">
        <is>
          <t>HALLANDS LÄN</t>
        </is>
      </c>
      <c r="E897" t="inlineStr">
        <is>
          <t>LAHOLM</t>
        </is>
      </c>
      <c r="F897" t="inlineStr">
        <is>
          <t>Övriga statliga verk och myndigheter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65963-2020</t>
        </is>
      </c>
      <c r="B898" s="1" t="n">
        <v>44175</v>
      </c>
      <c r="C898" s="1" t="n">
        <v>45627</v>
      </c>
      <c r="D898" t="inlineStr">
        <is>
          <t>HALLANDS LÄN</t>
        </is>
      </c>
      <c r="E898" t="inlineStr">
        <is>
          <t>LAHOLM</t>
        </is>
      </c>
      <c r="F898" t="inlineStr">
        <is>
          <t>Övriga statliga verk och myndigheter</t>
        </is>
      </c>
      <c r="G898" t="n">
        <v>0.6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66004-2020</t>
        </is>
      </c>
      <c r="B899" s="1" t="n">
        <v>44175</v>
      </c>
      <c r="C899" s="1" t="n">
        <v>45627</v>
      </c>
      <c r="D899" t="inlineStr">
        <is>
          <t>HALLANDS LÄN</t>
        </is>
      </c>
      <c r="E899" t="inlineStr">
        <is>
          <t>KUNGSBACKA</t>
        </is>
      </c>
      <c r="F899" t="inlineStr">
        <is>
          <t>Övriga Aktiebolag</t>
        </is>
      </c>
      <c r="G899" t="n">
        <v>17.3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66220-2020</t>
        </is>
      </c>
      <c r="B900" s="1" t="n">
        <v>44175</v>
      </c>
      <c r="C900" s="1" t="n">
        <v>45627</v>
      </c>
      <c r="D900" t="inlineStr">
        <is>
          <t>HALLANDS LÄN</t>
        </is>
      </c>
      <c r="E900" t="inlineStr">
        <is>
          <t>LAHOLM</t>
        </is>
      </c>
      <c r="G900" t="n">
        <v>0.4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66222-2020</t>
        </is>
      </c>
      <c r="B901" s="1" t="n">
        <v>44175</v>
      </c>
      <c r="C901" s="1" t="n">
        <v>45627</v>
      </c>
      <c r="D901" t="inlineStr">
        <is>
          <t>HALLANDS LÄN</t>
        </is>
      </c>
      <c r="E901" t="inlineStr">
        <is>
          <t>LAHOLM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66261-2020</t>
        </is>
      </c>
      <c r="B902" s="1" t="n">
        <v>44176</v>
      </c>
      <c r="C902" s="1" t="n">
        <v>45627</v>
      </c>
      <c r="D902" t="inlineStr">
        <is>
          <t>HALLANDS LÄN</t>
        </is>
      </c>
      <c r="E902" t="inlineStr">
        <is>
          <t>FALKENBERG</t>
        </is>
      </c>
      <c r="G902" t="n">
        <v>4.2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66263-2020</t>
        </is>
      </c>
      <c r="B903" s="1" t="n">
        <v>44176</v>
      </c>
      <c r="C903" s="1" t="n">
        <v>45627</v>
      </c>
      <c r="D903" t="inlineStr">
        <is>
          <t>HALLANDS LÄN</t>
        </is>
      </c>
      <c r="E903" t="inlineStr">
        <is>
          <t>FALKENBERG</t>
        </is>
      </c>
      <c r="G903" t="n">
        <v>2.4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66290-2020</t>
        </is>
      </c>
      <c r="B904" s="1" t="n">
        <v>44176</v>
      </c>
      <c r="C904" s="1" t="n">
        <v>45627</v>
      </c>
      <c r="D904" t="inlineStr">
        <is>
          <t>HALLANDS LÄN</t>
        </is>
      </c>
      <c r="E904" t="inlineStr">
        <is>
          <t>FALKENBERG</t>
        </is>
      </c>
      <c r="G904" t="n">
        <v>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66992-2020</t>
        </is>
      </c>
      <c r="B905" s="1" t="n">
        <v>44176</v>
      </c>
      <c r="C905" s="1" t="n">
        <v>45627</v>
      </c>
      <c r="D905" t="inlineStr">
        <is>
          <t>HALLANDS LÄN</t>
        </is>
      </c>
      <c r="E905" t="inlineStr">
        <is>
          <t>HALMSTAD</t>
        </is>
      </c>
      <c r="G905" t="n">
        <v>4.1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66472-2020</t>
        </is>
      </c>
      <c r="B906" s="1" t="n">
        <v>44177</v>
      </c>
      <c r="C906" s="1" t="n">
        <v>45627</v>
      </c>
      <c r="D906" t="inlineStr">
        <is>
          <t>HALLANDS LÄN</t>
        </is>
      </c>
      <c r="E906" t="inlineStr">
        <is>
          <t>HYLTE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66473-2020</t>
        </is>
      </c>
      <c r="B907" s="1" t="n">
        <v>44177</v>
      </c>
      <c r="C907" s="1" t="n">
        <v>45627</v>
      </c>
      <c r="D907" t="inlineStr">
        <is>
          <t>HALLANDS LÄN</t>
        </is>
      </c>
      <c r="E907" t="inlineStr">
        <is>
          <t>HYLTE</t>
        </is>
      </c>
      <c r="G907" t="n">
        <v>1.8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66575-2020</t>
        </is>
      </c>
      <c r="B908" s="1" t="n">
        <v>44179</v>
      </c>
      <c r="C908" s="1" t="n">
        <v>45627</v>
      </c>
      <c r="D908" t="inlineStr">
        <is>
          <t>HALLANDS LÄN</t>
        </is>
      </c>
      <c r="E908" t="inlineStr">
        <is>
          <t>HALMSTAD</t>
        </is>
      </c>
      <c r="G908" t="n">
        <v>1.6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66573-2020</t>
        </is>
      </c>
      <c r="B909" s="1" t="n">
        <v>44179</v>
      </c>
      <c r="C909" s="1" t="n">
        <v>45627</v>
      </c>
      <c r="D909" t="inlineStr">
        <is>
          <t>HALLANDS LÄN</t>
        </is>
      </c>
      <c r="E909" t="inlineStr">
        <is>
          <t>HALMSTAD</t>
        </is>
      </c>
      <c r="G909" t="n">
        <v>2.6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66609-2020</t>
        </is>
      </c>
      <c r="B910" s="1" t="n">
        <v>44179</v>
      </c>
      <c r="C910" s="1" t="n">
        <v>45627</v>
      </c>
      <c r="D910" t="inlineStr">
        <is>
          <t>HALLANDS LÄN</t>
        </is>
      </c>
      <c r="E910" t="inlineStr">
        <is>
          <t>VARBERG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66920-2020</t>
        </is>
      </c>
      <c r="B911" s="1" t="n">
        <v>44180</v>
      </c>
      <c r="C911" s="1" t="n">
        <v>45627</v>
      </c>
      <c r="D911" t="inlineStr">
        <is>
          <t>HALLANDS LÄN</t>
        </is>
      </c>
      <c r="E911" t="inlineStr">
        <is>
          <t>HALMSTAD</t>
        </is>
      </c>
      <c r="G911" t="n">
        <v>2.4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67089-2020</t>
        </is>
      </c>
      <c r="B912" s="1" t="n">
        <v>44180</v>
      </c>
      <c r="C912" s="1" t="n">
        <v>45627</v>
      </c>
      <c r="D912" t="inlineStr">
        <is>
          <t>HALLANDS LÄN</t>
        </is>
      </c>
      <c r="E912" t="inlineStr">
        <is>
          <t>LAHOLM</t>
        </is>
      </c>
      <c r="G912" t="n">
        <v>19.3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67309-2020</t>
        </is>
      </c>
      <c r="B913" s="1" t="n">
        <v>44180</v>
      </c>
      <c r="C913" s="1" t="n">
        <v>45627</v>
      </c>
      <c r="D913" t="inlineStr">
        <is>
          <t>HALLANDS LÄN</t>
        </is>
      </c>
      <c r="E913" t="inlineStr">
        <is>
          <t>HYLTE</t>
        </is>
      </c>
      <c r="G913" t="n">
        <v>2.3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66928-2020</t>
        </is>
      </c>
      <c r="B914" s="1" t="n">
        <v>44180</v>
      </c>
      <c r="C914" s="1" t="n">
        <v>45627</v>
      </c>
      <c r="D914" t="inlineStr">
        <is>
          <t>HALLANDS LÄN</t>
        </is>
      </c>
      <c r="E914" t="inlineStr">
        <is>
          <t>HALMSTAD</t>
        </is>
      </c>
      <c r="G914" t="n">
        <v>2.1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67468-2020</t>
        </is>
      </c>
      <c r="B915" s="1" t="n">
        <v>44181</v>
      </c>
      <c r="C915" s="1" t="n">
        <v>45627</v>
      </c>
      <c r="D915" t="inlineStr">
        <is>
          <t>HALLANDS LÄN</t>
        </is>
      </c>
      <c r="E915" t="inlineStr">
        <is>
          <t>FALKENBERG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67933-2020</t>
        </is>
      </c>
      <c r="B916" s="1" t="n">
        <v>44182</v>
      </c>
      <c r="C916" s="1" t="n">
        <v>45627</v>
      </c>
      <c r="D916" t="inlineStr">
        <is>
          <t>HALLANDS LÄN</t>
        </is>
      </c>
      <c r="E916" t="inlineStr">
        <is>
          <t>LAHOLM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68297-2020</t>
        </is>
      </c>
      <c r="B917" s="1" t="n">
        <v>44184</v>
      </c>
      <c r="C917" s="1" t="n">
        <v>45627</v>
      </c>
      <c r="D917" t="inlineStr">
        <is>
          <t>HALLANDS LÄN</t>
        </is>
      </c>
      <c r="E917" t="inlineStr">
        <is>
          <t>VARBERG</t>
        </is>
      </c>
      <c r="G917" t="n">
        <v>4.3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68554-2020</t>
        </is>
      </c>
      <c r="B918" s="1" t="n">
        <v>44186</v>
      </c>
      <c r="C918" s="1" t="n">
        <v>45627</v>
      </c>
      <c r="D918" t="inlineStr">
        <is>
          <t>HALLANDS LÄN</t>
        </is>
      </c>
      <c r="E918" t="inlineStr">
        <is>
          <t>FALKENBERG</t>
        </is>
      </c>
      <c r="G918" t="n">
        <v>3.5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68618-2020</t>
        </is>
      </c>
      <c r="B919" s="1" t="n">
        <v>44186</v>
      </c>
      <c r="C919" s="1" t="n">
        <v>45627</v>
      </c>
      <c r="D919" t="inlineStr">
        <is>
          <t>HALLANDS LÄN</t>
        </is>
      </c>
      <c r="E919" t="inlineStr">
        <is>
          <t>KUNGSBACKA</t>
        </is>
      </c>
      <c r="G919" t="n">
        <v>1.8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68617-2020</t>
        </is>
      </c>
      <c r="B920" s="1" t="n">
        <v>44186</v>
      </c>
      <c r="C920" s="1" t="n">
        <v>45627</v>
      </c>
      <c r="D920" t="inlineStr">
        <is>
          <t>HALLANDS LÄN</t>
        </is>
      </c>
      <c r="E920" t="inlineStr">
        <is>
          <t>KUNGSBACKA</t>
        </is>
      </c>
      <c r="G920" t="n">
        <v>3.4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68588-2020</t>
        </is>
      </c>
      <c r="B921" s="1" t="n">
        <v>44186</v>
      </c>
      <c r="C921" s="1" t="n">
        <v>45627</v>
      </c>
      <c r="D921" t="inlineStr">
        <is>
          <t>HALLANDS LÄN</t>
        </is>
      </c>
      <c r="E921" t="inlineStr">
        <is>
          <t>KUNGSBACKA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68820-2020</t>
        </is>
      </c>
      <c r="B922" s="1" t="n">
        <v>44187</v>
      </c>
      <c r="C922" s="1" t="n">
        <v>45627</v>
      </c>
      <c r="D922" t="inlineStr">
        <is>
          <t>HALLANDS LÄN</t>
        </is>
      </c>
      <c r="E922" t="inlineStr">
        <is>
          <t>FALKENBERG</t>
        </is>
      </c>
      <c r="G922" t="n">
        <v>1.4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68830-2020</t>
        </is>
      </c>
      <c r="B923" s="1" t="n">
        <v>44187</v>
      </c>
      <c r="C923" s="1" t="n">
        <v>45627</v>
      </c>
      <c r="D923" t="inlineStr">
        <is>
          <t>HALLANDS LÄN</t>
        </is>
      </c>
      <c r="E923" t="inlineStr">
        <is>
          <t>HALMSTAD</t>
        </is>
      </c>
      <c r="G923" t="n">
        <v>4.5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68817-2020</t>
        </is>
      </c>
      <c r="B924" s="1" t="n">
        <v>44187</v>
      </c>
      <c r="C924" s="1" t="n">
        <v>45627</v>
      </c>
      <c r="D924" t="inlineStr">
        <is>
          <t>HALLANDS LÄN</t>
        </is>
      </c>
      <c r="E924" t="inlineStr">
        <is>
          <t>FALKENBERG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68914-2020</t>
        </is>
      </c>
      <c r="B925" s="1" t="n">
        <v>44187</v>
      </c>
      <c r="C925" s="1" t="n">
        <v>45627</v>
      </c>
      <c r="D925" t="inlineStr">
        <is>
          <t>HALLANDS LÄN</t>
        </is>
      </c>
      <c r="E925" t="inlineStr">
        <is>
          <t>HYLTE</t>
        </is>
      </c>
      <c r="G925" t="n">
        <v>4.2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68891-2020</t>
        </is>
      </c>
      <c r="B926" s="1" t="n">
        <v>44187</v>
      </c>
      <c r="C926" s="1" t="n">
        <v>45627</v>
      </c>
      <c r="D926" t="inlineStr">
        <is>
          <t>HALLANDS LÄN</t>
        </is>
      </c>
      <c r="E926" t="inlineStr">
        <is>
          <t>FALKENBERG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68815-2020</t>
        </is>
      </c>
      <c r="B927" s="1" t="n">
        <v>44187</v>
      </c>
      <c r="C927" s="1" t="n">
        <v>45627</v>
      </c>
      <c r="D927" t="inlineStr">
        <is>
          <t>HALLANDS LÄN</t>
        </is>
      </c>
      <c r="E927" t="inlineStr">
        <is>
          <t>FALKENBERG</t>
        </is>
      </c>
      <c r="G927" t="n">
        <v>5.9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68894-2020</t>
        </is>
      </c>
      <c r="B928" s="1" t="n">
        <v>44187</v>
      </c>
      <c r="C928" s="1" t="n">
        <v>45627</v>
      </c>
      <c r="D928" t="inlineStr">
        <is>
          <t>HALLANDS LÄN</t>
        </is>
      </c>
      <c r="E928" t="inlineStr">
        <is>
          <t>HALMSTAD</t>
        </is>
      </c>
      <c r="G928" t="n">
        <v>2.6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69303-2020</t>
        </is>
      </c>
      <c r="B929" s="1" t="n">
        <v>44193</v>
      </c>
      <c r="C929" s="1" t="n">
        <v>45627</v>
      </c>
      <c r="D929" t="inlineStr">
        <is>
          <t>HALLANDS LÄN</t>
        </is>
      </c>
      <c r="E929" t="inlineStr">
        <is>
          <t>HYLTE</t>
        </is>
      </c>
      <c r="G929" t="n">
        <v>1.8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45-2021</t>
        </is>
      </c>
      <c r="B930" s="1" t="n">
        <v>44199</v>
      </c>
      <c r="C930" s="1" t="n">
        <v>45627</v>
      </c>
      <c r="D930" t="inlineStr">
        <is>
          <t>HALLANDS LÄN</t>
        </is>
      </c>
      <c r="E930" t="inlineStr">
        <is>
          <t>HYLTE</t>
        </is>
      </c>
      <c r="G930" t="n">
        <v>2.1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149-2021</t>
        </is>
      </c>
      <c r="B931" s="1" t="n">
        <v>44200</v>
      </c>
      <c r="C931" s="1" t="n">
        <v>45627</v>
      </c>
      <c r="D931" t="inlineStr">
        <is>
          <t>HALLANDS LÄN</t>
        </is>
      </c>
      <c r="E931" t="inlineStr">
        <is>
          <t>KUNGSBACKA</t>
        </is>
      </c>
      <c r="G931" t="n">
        <v>2.8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223-2021</t>
        </is>
      </c>
      <c r="B932" s="1" t="n">
        <v>44200</v>
      </c>
      <c r="C932" s="1" t="n">
        <v>45627</v>
      </c>
      <c r="D932" t="inlineStr">
        <is>
          <t>HALLANDS LÄN</t>
        </is>
      </c>
      <c r="E932" t="inlineStr">
        <is>
          <t>LAHOLM</t>
        </is>
      </c>
      <c r="G932" t="n">
        <v>3.2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230-2021</t>
        </is>
      </c>
      <c r="B933" s="1" t="n">
        <v>44200</v>
      </c>
      <c r="C933" s="1" t="n">
        <v>45627</v>
      </c>
      <c r="D933" t="inlineStr">
        <is>
          <t>HALLANDS LÄN</t>
        </is>
      </c>
      <c r="E933" t="inlineStr">
        <is>
          <t>LAHOLM</t>
        </is>
      </c>
      <c r="G933" t="n">
        <v>5.5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720-2021</t>
        </is>
      </c>
      <c r="B934" s="1" t="n">
        <v>44204</v>
      </c>
      <c r="C934" s="1" t="n">
        <v>45627</v>
      </c>
      <c r="D934" t="inlineStr">
        <is>
          <t>HALLANDS LÄN</t>
        </is>
      </c>
      <c r="E934" t="inlineStr">
        <is>
          <t>HALMSTAD</t>
        </is>
      </c>
      <c r="G934" t="n">
        <v>2.4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762-2021</t>
        </is>
      </c>
      <c r="B935" s="1" t="n">
        <v>44204</v>
      </c>
      <c r="C935" s="1" t="n">
        <v>45627</v>
      </c>
      <c r="D935" t="inlineStr">
        <is>
          <t>HALLANDS LÄN</t>
        </is>
      </c>
      <c r="E935" t="inlineStr">
        <is>
          <t>FALKENBERG</t>
        </is>
      </c>
      <c r="G935" t="n">
        <v>0.7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905-2021</t>
        </is>
      </c>
      <c r="B936" s="1" t="n">
        <v>44207</v>
      </c>
      <c r="C936" s="1" t="n">
        <v>45627</v>
      </c>
      <c r="D936" t="inlineStr">
        <is>
          <t>HALLANDS LÄN</t>
        </is>
      </c>
      <c r="E936" t="inlineStr">
        <is>
          <t>VARBERG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1583-2021</t>
        </is>
      </c>
      <c r="B937" s="1" t="n">
        <v>44209</v>
      </c>
      <c r="C937" s="1" t="n">
        <v>45627</v>
      </c>
      <c r="D937" t="inlineStr">
        <is>
          <t>HALLANDS LÄN</t>
        </is>
      </c>
      <c r="E937" t="inlineStr">
        <is>
          <t>HALMSTAD</t>
        </is>
      </c>
      <c r="G937" t="n">
        <v>1.1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1501-2021</t>
        </is>
      </c>
      <c r="B938" s="1" t="n">
        <v>44209</v>
      </c>
      <c r="C938" s="1" t="n">
        <v>45627</v>
      </c>
      <c r="D938" t="inlineStr">
        <is>
          <t>HALLANDS LÄN</t>
        </is>
      </c>
      <c r="E938" t="inlineStr">
        <is>
          <t>FALKENBERG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1861-2021</t>
        </is>
      </c>
      <c r="B939" s="1" t="n">
        <v>44210</v>
      </c>
      <c r="C939" s="1" t="n">
        <v>45627</v>
      </c>
      <c r="D939" t="inlineStr">
        <is>
          <t>HALLANDS LÄN</t>
        </is>
      </c>
      <c r="E939" t="inlineStr">
        <is>
          <t>VARBERG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2011-2021</t>
        </is>
      </c>
      <c r="B940" s="1" t="n">
        <v>44210</v>
      </c>
      <c r="C940" s="1" t="n">
        <v>45627</v>
      </c>
      <c r="D940" t="inlineStr">
        <is>
          <t>HALLANDS LÄN</t>
        </is>
      </c>
      <c r="E940" t="inlineStr">
        <is>
          <t>HYLTE</t>
        </is>
      </c>
      <c r="G940" t="n">
        <v>1.1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2137-2021</t>
        </is>
      </c>
      <c r="B941" s="1" t="n">
        <v>44211</v>
      </c>
      <c r="C941" s="1" t="n">
        <v>45627</v>
      </c>
      <c r="D941" t="inlineStr">
        <is>
          <t>HALLANDS LÄN</t>
        </is>
      </c>
      <c r="E941" t="inlineStr">
        <is>
          <t>FALKENBERG</t>
        </is>
      </c>
      <c r="G941" t="n">
        <v>2.2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2376-2021</t>
        </is>
      </c>
      <c r="B942" s="1" t="n">
        <v>44211</v>
      </c>
      <c r="C942" s="1" t="n">
        <v>45627</v>
      </c>
      <c r="D942" t="inlineStr">
        <is>
          <t>HALLANDS LÄN</t>
        </is>
      </c>
      <c r="E942" t="inlineStr">
        <is>
          <t>FALKENBERG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2180-2021</t>
        </is>
      </c>
      <c r="B943" s="1" t="n">
        <v>44211</v>
      </c>
      <c r="C943" s="1" t="n">
        <v>45627</v>
      </c>
      <c r="D943" t="inlineStr">
        <is>
          <t>HALLANDS LÄN</t>
        </is>
      </c>
      <c r="E943" t="inlineStr">
        <is>
          <t>HALMSTAD</t>
        </is>
      </c>
      <c r="G943" t="n">
        <v>0.8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2070-2021</t>
        </is>
      </c>
      <c r="B944" s="1" t="n">
        <v>44211</v>
      </c>
      <c r="C944" s="1" t="n">
        <v>45627</v>
      </c>
      <c r="D944" t="inlineStr">
        <is>
          <t>HALLANDS LÄN</t>
        </is>
      </c>
      <c r="E944" t="inlineStr">
        <is>
          <t>HALMSTAD</t>
        </is>
      </c>
      <c r="G944" t="n">
        <v>7.4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2938-2021</t>
        </is>
      </c>
      <c r="B945" s="1" t="n">
        <v>44214</v>
      </c>
      <c r="C945" s="1" t="n">
        <v>45627</v>
      </c>
      <c r="D945" t="inlineStr">
        <is>
          <t>HALLANDS LÄN</t>
        </is>
      </c>
      <c r="E945" t="inlineStr">
        <is>
          <t>HALMSTAD</t>
        </is>
      </c>
      <c r="F945" t="inlineStr">
        <is>
          <t>Bergvik skog väst AB</t>
        </is>
      </c>
      <c r="G945" t="n">
        <v>4.4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2977-2021</t>
        </is>
      </c>
      <c r="B946" s="1" t="n">
        <v>44214</v>
      </c>
      <c r="C946" s="1" t="n">
        <v>45627</v>
      </c>
      <c r="D946" t="inlineStr">
        <is>
          <t>HALLANDS LÄN</t>
        </is>
      </c>
      <c r="E946" t="inlineStr">
        <is>
          <t>HALMSTAD</t>
        </is>
      </c>
      <c r="F946" t="inlineStr">
        <is>
          <t>Bergvik skog väst AB</t>
        </is>
      </c>
      <c r="G946" t="n">
        <v>3.5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2880-2021</t>
        </is>
      </c>
      <c r="B947" s="1" t="n">
        <v>44214</v>
      </c>
      <c r="C947" s="1" t="n">
        <v>45627</v>
      </c>
      <c r="D947" t="inlineStr">
        <is>
          <t>HALLANDS LÄN</t>
        </is>
      </c>
      <c r="E947" t="inlineStr">
        <is>
          <t>HALMSTAD</t>
        </is>
      </c>
      <c r="F947" t="inlineStr">
        <is>
          <t>Bergvik skog väst AB</t>
        </is>
      </c>
      <c r="G947" t="n">
        <v>6.3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3161-2021</t>
        </is>
      </c>
      <c r="B948" s="1" t="n">
        <v>44214</v>
      </c>
      <c r="C948" s="1" t="n">
        <v>45627</v>
      </c>
      <c r="D948" t="inlineStr">
        <is>
          <t>HALLANDS LÄN</t>
        </is>
      </c>
      <c r="E948" t="inlineStr">
        <is>
          <t>HALMSTAD</t>
        </is>
      </c>
      <c r="F948" t="inlineStr">
        <is>
          <t>Bergvik skog väst AB</t>
        </is>
      </c>
      <c r="G948" t="n">
        <v>1.6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3166-2021</t>
        </is>
      </c>
      <c r="B949" s="1" t="n">
        <v>44214</v>
      </c>
      <c r="C949" s="1" t="n">
        <v>45627</v>
      </c>
      <c r="D949" t="inlineStr">
        <is>
          <t>HALLANDS LÄN</t>
        </is>
      </c>
      <c r="E949" t="inlineStr">
        <is>
          <t>HALMSTAD</t>
        </is>
      </c>
      <c r="F949" t="inlineStr">
        <is>
          <t>Bergvik skog väst AB</t>
        </is>
      </c>
      <c r="G949" t="n">
        <v>1.1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2949-2021</t>
        </is>
      </c>
      <c r="B950" s="1" t="n">
        <v>44214</v>
      </c>
      <c r="C950" s="1" t="n">
        <v>45627</v>
      </c>
      <c r="D950" t="inlineStr">
        <is>
          <t>HALLANDS LÄN</t>
        </is>
      </c>
      <c r="E950" t="inlineStr">
        <is>
          <t>HALMSTAD</t>
        </is>
      </c>
      <c r="F950" t="inlineStr">
        <is>
          <t>Bergvik skog väst AB</t>
        </is>
      </c>
      <c r="G950" t="n">
        <v>11.1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3140-2021</t>
        </is>
      </c>
      <c r="B951" s="1" t="n">
        <v>44214</v>
      </c>
      <c r="C951" s="1" t="n">
        <v>45627</v>
      </c>
      <c r="D951" t="inlineStr">
        <is>
          <t>HALLANDS LÄN</t>
        </is>
      </c>
      <c r="E951" t="inlineStr">
        <is>
          <t>HALMSTAD</t>
        </is>
      </c>
      <c r="F951" t="inlineStr">
        <is>
          <t>Bergvik skog väst AB</t>
        </is>
      </c>
      <c r="G951" t="n">
        <v>0.7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2864-2021</t>
        </is>
      </c>
      <c r="B952" s="1" t="n">
        <v>44216</v>
      </c>
      <c r="C952" s="1" t="n">
        <v>45627</v>
      </c>
      <c r="D952" t="inlineStr">
        <is>
          <t>HALLANDS LÄN</t>
        </is>
      </c>
      <c r="E952" t="inlineStr">
        <is>
          <t>HYLTE</t>
        </is>
      </c>
      <c r="G952" t="n">
        <v>0.5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2897-2021</t>
        </is>
      </c>
      <c r="B953" s="1" t="n">
        <v>44216</v>
      </c>
      <c r="C953" s="1" t="n">
        <v>45627</v>
      </c>
      <c r="D953" t="inlineStr">
        <is>
          <t>HALLANDS LÄN</t>
        </is>
      </c>
      <c r="E953" t="inlineStr">
        <is>
          <t>VARBERG</t>
        </is>
      </c>
      <c r="G953" t="n">
        <v>1.9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2996-2021</t>
        </is>
      </c>
      <c r="B954" s="1" t="n">
        <v>44216</v>
      </c>
      <c r="C954" s="1" t="n">
        <v>45627</v>
      </c>
      <c r="D954" t="inlineStr">
        <is>
          <t>HALLANDS LÄN</t>
        </is>
      </c>
      <c r="E954" t="inlineStr">
        <is>
          <t>HALMSTAD</t>
        </is>
      </c>
      <c r="G954" t="n">
        <v>8.199999999999999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3115-2021</t>
        </is>
      </c>
      <c r="B955" s="1" t="n">
        <v>44217</v>
      </c>
      <c r="C955" s="1" t="n">
        <v>45627</v>
      </c>
      <c r="D955" t="inlineStr">
        <is>
          <t>HALLANDS LÄN</t>
        </is>
      </c>
      <c r="E955" t="inlineStr">
        <is>
          <t>FALKENBERG</t>
        </is>
      </c>
      <c r="G955" t="n">
        <v>6.5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3190-2021</t>
        </is>
      </c>
      <c r="B956" s="1" t="n">
        <v>44217</v>
      </c>
      <c r="C956" s="1" t="n">
        <v>45627</v>
      </c>
      <c r="D956" t="inlineStr">
        <is>
          <t>HALLANDS LÄN</t>
        </is>
      </c>
      <c r="E956" t="inlineStr">
        <is>
          <t>HALMSTAD</t>
        </is>
      </c>
      <c r="G956" t="n">
        <v>2.5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3253-2021</t>
        </is>
      </c>
      <c r="B957" s="1" t="n">
        <v>44217</v>
      </c>
      <c r="C957" s="1" t="n">
        <v>45627</v>
      </c>
      <c r="D957" t="inlineStr">
        <is>
          <t>HALLANDS LÄN</t>
        </is>
      </c>
      <c r="E957" t="inlineStr">
        <is>
          <t>FALKENBERG</t>
        </is>
      </c>
      <c r="F957" t="inlineStr">
        <is>
          <t>Bergvik skog väst AB</t>
        </is>
      </c>
      <c r="G957" t="n">
        <v>11.8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3355-2021</t>
        </is>
      </c>
      <c r="B958" s="1" t="n">
        <v>44217</v>
      </c>
      <c r="C958" s="1" t="n">
        <v>45627</v>
      </c>
      <c r="D958" t="inlineStr">
        <is>
          <t>HALLANDS LÄN</t>
        </is>
      </c>
      <c r="E958" t="inlineStr">
        <is>
          <t>KUNGSBACKA</t>
        </is>
      </c>
      <c r="G958" t="n">
        <v>17.6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3144-2021</t>
        </is>
      </c>
      <c r="B959" s="1" t="n">
        <v>44217</v>
      </c>
      <c r="C959" s="1" t="n">
        <v>45627</v>
      </c>
      <c r="D959" t="inlineStr">
        <is>
          <t>HALLANDS LÄN</t>
        </is>
      </c>
      <c r="E959" t="inlineStr">
        <is>
          <t>HALMSTAD</t>
        </is>
      </c>
      <c r="G959" t="n">
        <v>5.5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3228-2021</t>
        </is>
      </c>
      <c r="B960" s="1" t="n">
        <v>44217</v>
      </c>
      <c r="C960" s="1" t="n">
        <v>45627</v>
      </c>
      <c r="D960" t="inlineStr">
        <is>
          <t>HALLANDS LÄN</t>
        </is>
      </c>
      <c r="E960" t="inlineStr">
        <is>
          <t>FALKENBERG</t>
        </is>
      </c>
      <c r="F960" t="inlineStr">
        <is>
          <t>Bergvik skog väst AB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4133-2021</t>
        </is>
      </c>
      <c r="B961" s="1" t="n">
        <v>44218</v>
      </c>
      <c r="C961" s="1" t="n">
        <v>45627</v>
      </c>
      <c r="D961" t="inlineStr">
        <is>
          <t>HALLANDS LÄN</t>
        </is>
      </c>
      <c r="E961" t="inlineStr">
        <is>
          <t>HALMSTAD</t>
        </is>
      </c>
      <c r="F961" t="inlineStr">
        <is>
          <t>Kyrkan</t>
        </is>
      </c>
      <c r="G961" t="n">
        <v>2.5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3588-2021</t>
        </is>
      </c>
      <c r="B962" s="1" t="n">
        <v>44220</v>
      </c>
      <c r="C962" s="1" t="n">
        <v>45627</v>
      </c>
      <c r="D962" t="inlineStr">
        <is>
          <t>HALLANDS LÄN</t>
        </is>
      </c>
      <c r="E962" t="inlineStr">
        <is>
          <t>HALMSTAD</t>
        </is>
      </c>
      <c r="G962" t="n">
        <v>6.8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3591-2021</t>
        </is>
      </c>
      <c r="B963" s="1" t="n">
        <v>44220</v>
      </c>
      <c r="C963" s="1" t="n">
        <v>45627</v>
      </c>
      <c r="D963" t="inlineStr">
        <is>
          <t>HALLANDS LÄN</t>
        </is>
      </c>
      <c r="E963" t="inlineStr">
        <is>
          <t>HALMSTAD</t>
        </is>
      </c>
      <c r="G963" t="n">
        <v>1.3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3786-2021</t>
        </is>
      </c>
      <c r="B964" s="1" t="n">
        <v>44221</v>
      </c>
      <c r="C964" s="1" t="n">
        <v>45627</v>
      </c>
      <c r="D964" t="inlineStr">
        <is>
          <t>HALLANDS LÄN</t>
        </is>
      </c>
      <c r="E964" t="inlineStr">
        <is>
          <t>HYLTE</t>
        </is>
      </c>
      <c r="G964" t="n">
        <v>7.2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3659-2021</t>
        </is>
      </c>
      <c r="B965" s="1" t="n">
        <v>44221</v>
      </c>
      <c r="C965" s="1" t="n">
        <v>45627</v>
      </c>
      <c r="D965" t="inlineStr">
        <is>
          <t>HALLANDS LÄN</t>
        </is>
      </c>
      <c r="E965" t="inlineStr">
        <is>
          <t>VARBERG</t>
        </is>
      </c>
      <c r="G965" t="n">
        <v>0.6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3831-2021</t>
        </is>
      </c>
      <c r="B966" s="1" t="n">
        <v>44222</v>
      </c>
      <c r="C966" s="1" t="n">
        <v>45627</v>
      </c>
      <c r="D966" t="inlineStr">
        <is>
          <t>HALLANDS LÄN</t>
        </is>
      </c>
      <c r="E966" t="inlineStr">
        <is>
          <t>VARBERG</t>
        </is>
      </c>
      <c r="G966" t="n">
        <v>2.8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4214-2021</t>
        </is>
      </c>
      <c r="B967" s="1" t="n">
        <v>44223</v>
      </c>
      <c r="C967" s="1" t="n">
        <v>45627</v>
      </c>
      <c r="D967" t="inlineStr">
        <is>
          <t>HALLANDS LÄN</t>
        </is>
      </c>
      <c r="E967" t="inlineStr">
        <is>
          <t>FALKENBERG</t>
        </is>
      </c>
      <c r="G967" t="n">
        <v>6.3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4208-2021</t>
        </is>
      </c>
      <c r="B968" s="1" t="n">
        <v>44223</v>
      </c>
      <c r="C968" s="1" t="n">
        <v>45627</v>
      </c>
      <c r="D968" t="inlineStr">
        <is>
          <t>HALLANDS LÄN</t>
        </is>
      </c>
      <c r="E968" t="inlineStr">
        <is>
          <t>HALMSTAD</t>
        </is>
      </c>
      <c r="G968" t="n">
        <v>1.8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4820-2021</t>
        </is>
      </c>
      <c r="B969" s="1" t="n">
        <v>44223</v>
      </c>
      <c r="C969" s="1" t="n">
        <v>45627</v>
      </c>
      <c r="D969" t="inlineStr">
        <is>
          <t>HALLANDS LÄN</t>
        </is>
      </c>
      <c r="E969" t="inlineStr">
        <is>
          <t>VARBERG</t>
        </is>
      </c>
      <c r="G969" t="n">
        <v>10.3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4554-2021</t>
        </is>
      </c>
      <c r="B970" s="1" t="n">
        <v>44224</v>
      </c>
      <c r="C970" s="1" t="n">
        <v>45627</v>
      </c>
      <c r="D970" t="inlineStr">
        <is>
          <t>HALLANDS LÄN</t>
        </is>
      </c>
      <c r="E970" t="inlineStr">
        <is>
          <t>KUNGSBACKA</t>
        </is>
      </c>
      <c r="G970" t="n">
        <v>4.2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4581-2021</t>
        </is>
      </c>
      <c r="B971" s="1" t="n">
        <v>44224</v>
      </c>
      <c r="C971" s="1" t="n">
        <v>45627</v>
      </c>
      <c r="D971" t="inlineStr">
        <is>
          <t>HALLANDS LÄN</t>
        </is>
      </c>
      <c r="E971" t="inlineStr">
        <is>
          <t>HYLTE</t>
        </is>
      </c>
      <c r="G971" t="n">
        <v>2.8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4423-2021</t>
        </is>
      </c>
      <c r="B972" s="1" t="n">
        <v>44224</v>
      </c>
      <c r="C972" s="1" t="n">
        <v>45627</v>
      </c>
      <c r="D972" t="inlineStr">
        <is>
          <t>HALLANDS LÄN</t>
        </is>
      </c>
      <c r="E972" t="inlineStr">
        <is>
          <t>LAHOLM</t>
        </is>
      </c>
      <c r="G972" t="n">
        <v>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4648-2021</t>
        </is>
      </c>
      <c r="B973" s="1" t="n">
        <v>44224</v>
      </c>
      <c r="C973" s="1" t="n">
        <v>45627</v>
      </c>
      <c r="D973" t="inlineStr">
        <is>
          <t>HALLANDS LÄN</t>
        </is>
      </c>
      <c r="E973" t="inlineStr">
        <is>
          <t>FALKENBERG</t>
        </is>
      </c>
      <c r="G973" t="n">
        <v>2.2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4640-2021</t>
        </is>
      </c>
      <c r="B974" s="1" t="n">
        <v>44224</v>
      </c>
      <c r="C974" s="1" t="n">
        <v>45627</v>
      </c>
      <c r="D974" t="inlineStr">
        <is>
          <t>HALLANDS LÄN</t>
        </is>
      </c>
      <c r="E974" t="inlineStr">
        <is>
          <t>FALKENBERG</t>
        </is>
      </c>
      <c r="G974" t="n">
        <v>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5009-2021</t>
        </is>
      </c>
      <c r="B975" s="1" t="n">
        <v>44224</v>
      </c>
      <c r="C975" s="1" t="n">
        <v>45627</v>
      </c>
      <c r="D975" t="inlineStr">
        <is>
          <t>HALLANDS LÄN</t>
        </is>
      </c>
      <c r="E975" t="inlineStr">
        <is>
          <t>FALKENBERG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5010-2021</t>
        </is>
      </c>
      <c r="B976" s="1" t="n">
        <v>44224</v>
      </c>
      <c r="C976" s="1" t="n">
        <v>45627</v>
      </c>
      <c r="D976" t="inlineStr">
        <is>
          <t>HALLANDS LÄN</t>
        </is>
      </c>
      <c r="E976" t="inlineStr">
        <is>
          <t>FALKENBERG</t>
        </is>
      </c>
      <c r="G976" t="n">
        <v>6.5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5004-2021</t>
        </is>
      </c>
      <c r="B977" s="1" t="n">
        <v>44224</v>
      </c>
      <c r="C977" s="1" t="n">
        <v>45627</v>
      </c>
      <c r="D977" t="inlineStr">
        <is>
          <t>HALLANDS LÄN</t>
        </is>
      </c>
      <c r="E977" t="inlineStr">
        <is>
          <t>FALKENBERG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4677-2021</t>
        </is>
      </c>
      <c r="B978" s="1" t="n">
        <v>44225</v>
      </c>
      <c r="C978" s="1" t="n">
        <v>45627</v>
      </c>
      <c r="D978" t="inlineStr">
        <is>
          <t>HALLANDS LÄN</t>
        </is>
      </c>
      <c r="E978" t="inlineStr">
        <is>
          <t>LAHOLM</t>
        </is>
      </c>
      <c r="G978" t="n">
        <v>1.8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4674-2021</t>
        </is>
      </c>
      <c r="B979" s="1" t="n">
        <v>44225</v>
      </c>
      <c r="C979" s="1" t="n">
        <v>45627</v>
      </c>
      <c r="D979" t="inlineStr">
        <is>
          <t>HALLANDS LÄN</t>
        </is>
      </c>
      <c r="E979" t="inlineStr">
        <is>
          <t>LAHOLM</t>
        </is>
      </c>
      <c r="G979" t="n">
        <v>1.8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4819-2021</t>
        </is>
      </c>
      <c r="B980" s="1" t="n">
        <v>44225</v>
      </c>
      <c r="C980" s="1" t="n">
        <v>45627</v>
      </c>
      <c r="D980" t="inlineStr">
        <is>
          <t>HALLANDS LÄN</t>
        </is>
      </c>
      <c r="E980" t="inlineStr">
        <is>
          <t>VARBERG</t>
        </is>
      </c>
      <c r="G980" t="n">
        <v>3.4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4862-2021</t>
        </is>
      </c>
      <c r="B981" s="1" t="n">
        <v>44225</v>
      </c>
      <c r="C981" s="1" t="n">
        <v>45627</v>
      </c>
      <c r="D981" t="inlineStr">
        <is>
          <t>HALLANDS LÄN</t>
        </is>
      </c>
      <c r="E981" t="inlineStr">
        <is>
          <t>KUNGSBACKA</t>
        </is>
      </c>
      <c r="G981" t="n">
        <v>6.6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4901-2021</t>
        </is>
      </c>
      <c r="B982" s="1" t="n">
        <v>44225</v>
      </c>
      <c r="C982" s="1" t="n">
        <v>45627</v>
      </c>
      <c r="D982" t="inlineStr">
        <is>
          <t>HALLANDS LÄN</t>
        </is>
      </c>
      <c r="E982" t="inlineStr">
        <is>
          <t>VARBERG</t>
        </is>
      </c>
      <c r="G982" t="n">
        <v>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4908-2021</t>
        </is>
      </c>
      <c r="B983" s="1" t="n">
        <v>44225</v>
      </c>
      <c r="C983" s="1" t="n">
        <v>45627</v>
      </c>
      <c r="D983" t="inlineStr">
        <is>
          <t>HALLANDS LÄN</t>
        </is>
      </c>
      <c r="E983" t="inlineStr">
        <is>
          <t>VARBERG</t>
        </is>
      </c>
      <c r="G983" t="n">
        <v>0.6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4906-2021</t>
        </is>
      </c>
      <c r="B984" s="1" t="n">
        <v>44225</v>
      </c>
      <c r="C984" s="1" t="n">
        <v>45627</v>
      </c>
      <c r="D984" t="inlineStr">
        <is>
          <t>HALLANDS LÄN</t>
        </is>
      </c>
      <c r="E984" t="inlineStr">
        <is>
          <t>VARBERG</t>
        </is>
      </c>
      <c r="G984" t="n">
        <v>2.1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4919-2021</t>
        </is>
      </c>
      <c r="B985" s="1" t="n">
        <v>44226</v>
      </c>
      <c r="C985" s="1" t="n">
        <v>45627</v>
      </c>
      <c r="D985" t="inlineStr">
        <is>
          <t>HALLANDS LÄN</t>
        </is>
      </c>
      <c r="E985" t="inlineStr">
        <is>
          <t>LAHOLM</t>
        </is>
      </c>
      <c r="G985" t="n">
        <v>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4932-2021</t>
        </is>
      </c>
      <c r="B986" s="1" t="n">
        <v>44227</v>
      </c>
      <c r="C986" s="1" t="n">
        <v>45627</v>
      </c>
      <c r="D986" t="inlineStr">
        <is>
          <t>HALLANDS LÄN</t>
        </is>
      </c>
      <c r="E986" t="inlineStr">
        <is>
          <t>FALKENBERG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4951-2021</t>
        </is>
      </c>
      <c r="B987" s="1" t="n">
        <v>44228</v>
      </c>
      <c r="C987" s="1" t="n">
        <v>45627</v>
      </c>
      <c r="D987" t="inlineStr">
        <is>
          <t>HALLANDS LÄN</t>
        </is>
      </c>
      <c r="E987" t="inlineStr">
        <is>
          <t>FALKENBERG</t>
        </is>
      </c>
      <c r="G987" t="n">
        <v>1.5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5066-2021</t>
        </is>
      </c>
      <c r="B988" s="1" t="n">
        <v>44228</v>
      </c>
      <c r="C988" s="1" t="n">
        <v>45627</v>
      </c>
      <c r="D988" t="inlineStr">
        <is>
          <t>HALLANDS LÄN</t>
        </is>
      </c>
      <c r="E988" t="inlineStr">
        <is>
          <t>HALMSTAD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5061-2021</t>
        </is>
      </c>
      <c r="B989" s="1" t="n">
        <v>44228</v>
      </c>
      <c r="C989" s="1" t="n">
        <v>45627</v>
      </c>
      <c r="D989" t="inlineStr">
        <is>
          <t>HALLANDS LÄN</t>
        </is>
      </c>
      <c r="E989" t="inlineStr">
        <is>
          <t>HALMSTAD</t>
        </is>
      </c>
      <c r="G989" t="n">
        <v>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5057-2021</t>
        </is>
      </c>
      <c r="B990" s="1" t="n">
        <v>44228</v>
      </c>
      <c r="C990" s="1" t="n">
        <v>45627</v>
      </c>
      <c r="D990" t="inlineStr">
        <is>
          <t>HALLANDS LÄN</t>
        </is>
      </c>
      <c r="E990" t="inlineStr">
        <is>
          <t>LAHOLM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5065-2021</t>
        </is>
      </c>
      <c r="B991" s="1" t="n">
        <v>44228</v>
      </c>
      <c r="C991" s="1" t="n">
        <v>45627</v>
      </c>
      <c r="D991" t="inlineStr">
        <is>
          <t>HALLANDS LÄN</t>
        </is>
      </c>
      <c r="E991" t="inlineStr">
        <is>
          <t>HALMSTAD</t>
        </is>
      </c>
      <c r="G991" t="n">
        <v>0.5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5129-2021</t>
        </is>
      </c>
      <c r="B992" s="1" t="n">
        <v>44228</v>
      </c>
      <c r="C992" s="1" t="n">
        <v>45627</v>
      </c>
      <c r="D992" t="inlineStr">
        <is>
          <t>HALLANDS LÄN</t>
        </is>
      </c>
      <c r="E992" t="inlineStr">
        <is>
          <t>VARBERG</t>
        </is>
      </c>
      <c r="G992" t="n">
        <v>0.8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5302-2021</t>
        </is>
      </c>
      <c r="B993" s="1" t="n">
        <v>44229</v>
      </c>
      <c r="C993" s="1" t="n">
        <v>45627</v>
      </c>
      <c r="D993" t="inlineStr">
        <is>
          <t>HALLANDS LÄN</t>
        </is>
      </c>
      <c r="E993" t="inlineStr">
        <is>
          <t>VARBERG</t>
        </is>
      </c>
      <c r="F993" t="inlineStr">
        <is>
          <t>Övriga statliga verk och myndigheter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5540-2021</t>
        </is>
      </c>
      <c r="B994" s="1" t="n">
        <v>44230</v>
      </c>
      <c r="C994" s="1" t="n">
        <v>45627</v>
      </c>
      <c r="D994" t="inlineStr">
        <is>
          <t>HALLANDS LÄN</t>
        </is>
      </c>
      <c r="E994" t="inlineStr">
        <is>
          <t>HYLTE</t>
        </is>
      </c>
      <c r="G994" t="n">
        <v>0.9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5745-2021</t>
        </is>
      </c>
      <c r="B995" s="1" t="n">
        <v>44230</v>
      </c>
      <c r="C995" s="1" t="n">
        <v>45627</v>
      </c>
      <c r="D995" t="inlineStr">
        <is>
          <t>HALLANDS LÄN</t>
        </is>
      </c>
      <c r="E995" t="inlineStr">
        <is>
          <t>FALKENBERG</t>
        </is>
      </c>
      <c r="G995" t="n">
        <v>2.6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5548-2021</t>
        </is>
      </c>
      <c r="B996" s="1" t="n">
        <v>44230</v>
      </c>
      <c r="C996" s="1" t="n">
        <v>45627</v>
      </c>
      <c r="D996" t="inlineStr">
        <is>
          <t>HALLANDS LÄN</t>
        </is>
      </c>
      <c r="E996" t="inlineStr">
        <is>
          <t>FALKENBERG</t>
        </is>
      </c>
      <c r="G996" t="n">
        <v>3.1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5598-2021</t>
        </is>
      </c>
      <c r="B997" s="1" t="n">
        <v>44230</v>
      </c>
      <c r="C997" s="1" t="n">
        <v>45627</v>
      </c>
      <c r="D997" t="inlineStr">
        <is>
          <t>HALLANDS LÄN</t>
        </is>
      </c>
      <c r="E997" t="inlineStr">
        <is>
          <t>HYLTE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5736-2021</t>
        </is>
      </c>
      <c r="B998" s="1" t="n">
        <v>44230</v>
      </c>
      <c r="C998" s="1" t="n">
        <v>45627</v>
      </c>
      <c r="D998" t="inlineStr">
        <is>
          <t>HALLANDS LÄN</t>
        </is>
      </c>
      <c r="E998" t="inlineStr">
        <is>
          <t>FALKENBERG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5945-2021</t>
        </is>
      </c>
      <c r="B999" s="1" t="n">
        <v>44231</v>
      </c>
      <c r="C999" s="1" t="n">
        <v>45627</v>
      </c>
      <c r="D999" t="inlineStr">
        <is>
          <t>HALLANDS LÄN</t>
        </is>
      </c>
      <c r="E999" t="inlineStr">
        <is>
          <t>VARBERG</t>
        </is>
      </c>
      <c r="G999" t="n">
        <v>7.9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5955-2021</t>
        </is>
      </c>
      <c r="B1000" s="1" t="n">
        <v>44231</v>
      </c>
      <c r="C1000" s="1" t="n">
        <v>45627</v>
      </c>
      <c r="D1000" t="inlineStr">
        <is>
          <t>HALLANDS LÄN</t>
        </is>
      </c>
      <c r="E1000" t="inlineStr">
        <is>
          <t>HYLTE</t>
        </is>
      </c>
      <c r="G1000" t="n">
        <v>4.3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5844-2021</t>
        </is>
      </c>
      <c r="B1001" s="1" t="n">
        <v>44231</v>
      </c>
      <c r="C1001" s="1" t="n">
        <v>45627</v>
      </c>
      <c r="D1001" t="inlineStr">
        <is>
          <t>HALLANDS LÄN</t>
        </is>
      </c>
      <c r="E1001" t="inlineStr">
        <is>
          <t>VARBERG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6422-2021</t>
        </is>
      </c>
      <c r="B1002" s="1" t="n">
        <v>44235</v>
      </c>
      <c r="C1002" s="1" t="n">
        <v>45627</v>
      </c>
      <c r="D1002" t="inlineStr">
        <is>
          <t>HALLANDS LÄN</t>
        </is>
      </c>
      <c r="E1002" t="inlineStr">
        <is>
          <t>VARBERG</t>
        </is>
      </c>
      <c r="G1002" t="n">
        <v>2.5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6473-2021</t>
        </is>
      </c>
      <c r="B1003" s="1" t="n">
        <v>44235</v>
      </c>
      <c r="C1003" s="1" t="n">
        <v>45627</v>
      </c>
      <c r="D1003" t="inlineStr">
        <is>
          <t>HALLANDS LÄN</t>
        </is>
      </c>
      <c r="E1003" t="inlineStr">
        <is>
          <t>LAHOLM</t>
        </is>
      </c>
      <c r="G1003" t="n">
        <v>0.5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6497-2021</t>
        </is>
      </c>
      <c r="B1004" s="1" t="n">
        <v>44236</v>
      </c>
      <c r="C1004" s="1" t="n">
        <v>45627</v>
      </c>
      <c r="D1004" t="inlineStr">
        <is>
          <t>HALLANDS LÄN</t>
        </is>
      </c>
      <c r="E1004" t="inlineStr">
        <is>
          <t>VARBERG</t>
        </is>
      </c>
      <c r="G1004" t="n">
        <v>1.7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6693-2021</t>
        </is>
      </c>
      <c r="B1005" s="1" t="n">
        <v>44236</v>
      </c>
      <c r="C1005" s="1" t="n">
        <v>45627</v>
      </c>
      <c r="D1005" t="inlineStr">
        <is>
          <t>HALLANDS LÄN</t>
        </is>
      </c>
      <c r="E1005" t="inlineStr">
        <is>
          <t>HYLTE</t>
        </is>
      </c>
      <c r="G1005" t="n">
        <v>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6786-2021</t>
        </is>
      </c>
      <c r="B1006" s="1" t="n">
        <v>44236</v>
      </c>
      <c r="C1006" s="1" t="n">
        <v>45627</v>
      </c>
      <c r="D1006" t="inlineStr">
        <is>
          <t>HALLANDS LÄN</t>
        </is>
      </c>
      <c r="E1006" t="inlineStr">
        <is>
          <t>HYLTE</t>
        </is>
      </c>
      <c r="G1006" t="n">
        <v>3.9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6789-2021</t>
        </is>
      </c>
      <c r="B1007" s="1" t="n">
        <v>44236</v>
      </c>
      <c r="C1007" s="1" t="n">
        <v>45627</v>
      </c>
      <c r="D1007" t="inlineStr">
        <is>
          <t>HALLANDS LÄN</t>
        </is>
      </c>
      <c r="E1007" t="inlineStr">
        <is>
          <t>HYLTE</t>
        </is>
      </c>
      <c r="G1007" t="n">
        <v>5.3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6977-2021</t>
        </is>
      </c>
      <c r="B1008" s="1" t="n">
        <v>44237</v>
      </c>
      <c r="C1008" s="1" t="n">
        <v>45627</v>
      </c>
      <c r="D1008" t="inlineStr">
        <is>
          <t>HALLANDS LÄN</t>
        </is>
      </c>
      <c r="E1008" t="inlineStr">
        <is>
          <t>HALMSTAD</t>
        </is>
      </c>
      <c r="G1008" t="n">
        <v>1.6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6992-2021</t>
        </is>
      </c>
      <c r="B1009" s="1" t="n">
        <v>44237</v>
      </c>
      <c r="C1009" s="1" t="n">
        <v>45627</v>
      </c>
      <c r="D1009" t="inlineStr">
        <is>
          <t>HALLANDS LÄN</t>
        </is>
      </c>
      <c r="E1009" t="inlineStr">
        <is>
          <t>HALMSTAD</t>
        </is>
      </c>
      <c r="G1009" t="n">
        <v>0.9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7031-2021</t>
        </is>
      </c>
      <c r="B1010" s="1" t="n">
        <v>44237</v>
      </c>
      <c r="C1010" s="1" t="n">
        <v>45627</v>
      </c>
      <c r="D1010" t="inlineStr">
        <is>
          <t>HALLANDS LÄN</t>
        </is>
      </c>
      <c r="E1010" t="inlineStr">
        <is>
          <t>FALKENBERG</t>
        </is>
      </c>
      <c r="F1010" t="inlineStr">
        <is>
          <t>Kyrkan</t>
        </is>
      </c>
      <c r="G1010" t="n">
        <v>2.2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7119-2021</t>
        </is>
      </c>
      <c r="B1011" s="1" t="n">
        <v>44237</v>
      </c>
      <c r="C1011" s="1" t="n">
        <v>45627</v>
      </c>
      <c r="D1011" t="inlineStr">
        <is>
          <t>HALLANDS LÄN</t>
        </is>
      </c>
      <c r="E1011" t="inlineStr">
        <is>
          <t>FALKENBERG</t>
        </is>
      </c>
      <c r="F1011" t="inlineStr">
        <is>
          <t>Kyrkan</t>
        </is>
      </c>
      <c r="G1011" t="n">
        <v>0.6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7035-2021</t>
        </is>
      </c>
      <c r="B1012" s="1" t="n">
        <v>44237</v>
      </c>
      <c r="C1012" s="1" t="n">
        <v>45627</v>
      </c>
      <c r="D1012" t="inlineStr">
        <is>
          <t>HALLANDS LÄN</t>
        </is>
      </c>
      <c r="E1012" t="inlineStr">
        <is>
          <t>FALKENBERG</t>
        </is>
      </c>
      <c r="F1012" t="inlineStr">
        <is>
          <t>Kyrkan</t>
        </is>
      </c>
      <c r="G1012" t="n">
        <v>1.3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7220-2021</t>
        </is>
      </c>
      <c r="B1013" s="1" t="n">
        <v>44238</v>
      </c>
      <c r="C1013" s="1" t="n">
        <v>45627</v>
      </c>
      <c r="D1013" t="inlineStr">
        <is>
          <t>HALLANDS LÄN</t>
        </is>
      </c>
      <c r="E1013" t="inlineStr">
        <is>
          <t>HYLTE</t>
        </is>
      </c>
      <c r="G1013" t="n">
        <v>1.1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7326-2021</t>
        </is>
      </c>
      <c r="B1014" s="1" t="n">
        <v>44239</v>
      </c>
      <c r="C1014" s="1" t="n">
        <v>45627</v>
      </c>
      <c r="D1014" t="inlineStr">
        <is>
          <t>HALLANDS LÄN</t>
        </is>
      </c>
      <c r="E1014" t="inlineStr">
        <is>
          <t>HALMSTAD</t>
        </is>
      </c>
      <c r="G1014" t="n">
        <v>4.1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7796-2021</t>
        </is>
      </c>
      <c r="B1015" s="1" t="n">
        <v>44242</v>
      </c>
      <c r="C1015" s="1" t="n">
        <v>45627</v>
      </c>
      <c r="D1015" t="inlineStr">
        <is>
          <t>HALLANDS LÄN</t>
        </is>
      </c>
      <c r="E1015" t="inlineStr">
        <is>
          <t>HYLTE</t>
        </is>
      </c>
      <c r="G1015" t="n">
        <v>1.7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7894-2021</t>
        </is>
      </c>
      <c r="B1016" s="1" t="n">
        <v>44243</v>
      </c>
      <c r="C1016" s="1" t="n">
        <v>45627</v>
      </c>
      <c r="D1016" t="inlineStr">
        <is>
          <t>HALLANDS LÄN</t>
        </is>
      </c>
      <c r="E1016" t="inlineStr">
        <is>
          <t>VARBERG</t>
        </is>
      </c>
      <c r="G1016" t="n">
        <v>6.8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7914-2021</t>
        </is>
      </c>
      <c r="B1017" s="1" t="n">
        <v>44243</v>
      </c>
      <c r="C1017" s="1" t="n">
        <v>45627</v>
      </c>
      <c r="D1017" t="inlineStr">
        <is>
          <t>HALLANDS LÄN</t>
        </is>
      </c>
      <c r="E1017" t="inlineStr">
        <is>
          <t>HYLTE</t>
        </is>
      </c>
      <c r="G1017" t="n">
        <v>7.7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8345-2021</t>
        </is>
      </c>
      <c r="B1018" s="1" t="n">
        <v>44244</v>
      </c>
      <c r="C1018" s="1" t="n">
        <v>45627</v>
      </c>
      <c r="D1018" t="inlineStr">
        <is>
          <t>HALLANDS LÄN</t>
        </is>
      </c>
      <c r="E1018" t="inlineStr">
        <is>
          <t>HALMSTAD</t>
        </is>
      </c>
      <c r="G1018" t="n">
        <v>2.6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8403-2021</t>
        </is>
      </c>
      <c r="B1019" s="1" t="n">
        <v>44245</v>
      </c>
      <c r="C1019" s="1" t="n">
        <v>45627</v>
      </c>
      <c r="D1019" t="inlineStr">
        <is>
          <t>HALLANDS LÄN</t>
        </is>
      </c>
      <c r="E1019" t="inlineStr">
        <is>
          <t>HYLTE</t>
        </is>
      </c>
      <c r="G1019" t="n">
        <v>4.2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8433-2021</t>
        </is>
      </c>
      <c r="B1020" s="1" t="n">
        <v>44245</v>
      </c>
      <c r="C1020" s="1" t="n">
        <v>45627</v>
      </c>
      <c r="D1020" t="inlineStr">
        <is>
          <t>HALLANDS LÄN</t>
        </is>
      </c>
      <c r="E1020" t="inlineStr">
        <is>
          <t>HYLTE</t>
        </is>
      </c>
      <c r="G1020" t="n">
        <v>2.2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8441-2021</t>
        </is>
      </c>
      <c r="B1021" s="1" t="n">
        <v>44245</v>
      </c>
      <c r="C1021" s="1" t="n">
        <v>45627</v>
      </c>
      <c r="D1021" t="inlineStr">
        <is>
          <t>HALLANDS LÄN</t>
        </is>
      </c>
      <c r="E1021" t="inlineStr">
        <is>
          <t>LAHOLM</t>
        </is>
      </c>
      <c r="G1021" t="n">
        <v>0.9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8410-2021</t>
        </is>
      </c>
      <c r="B1022" s="1" t="n">
        <v>44245</v>
      </c>
      <c r="C1022" s="1" t="n">
        <v>45627</v>
      </c>
      <c r="D1022" t="inlineStr">
        <is>
          <t>HALLANDS LÄN</t>
        </is>
      </c>
      <c r="E1022" t="inlineStr">
        <is>
          <t>KUNGSBACKA</t>
        </is>
      </c>
      <c r="G1022" t="n">
        <v>1.4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8468-2021</t>
        </is>
      </c>
      <c r="B1023" s="1" t="n">
        <v>44245</v>
      </c>
      <c r="C1023" s="1" t="n">
        <v>45627</v>
      </c>
      <c r="D1023" t="inlineStr">
        <is>
          <t>HALLANDS LÄN</t>
        </is>
      </c>
      <c r="E1023" t="inlineStr">
        <is>
          <t>LAHOLM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9011-2021</t>
        </is>
      </c>
      <c r="B1024" s="1" t="n">
        <v>44246</v>
      </c>
      <c r="C1024" s="1" t="n">
        <v>45627</v>
      </c>
      <c r="D1024" t="inlineStr">
        <is>
          <t>HALLANDS LÄN</t>
        </is>
      </c>
      <c r="E1024" t="inlineStr">
        <is>
          <t>FALKENBERG</t>
        </is>
      </c>
      <c r="G1024" t="n">
        <v>2.8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9223-2021</t>
        </is>
      </c>
      <c r="B1025" s="1" t="n">
        <v>44250</v>
      </c>
      <c r="C1025" s="1" t="n">
        <v>45627</v>
      </c>
      <c r="D1025" t="inlineStr">
        <is>
          <t>HALLANDS LÄN</t>
        </is>
      </c>
      <c r="E1025" t="inlineStr">
        <is>
          <t>LAHOLM</t>
        </is>
      </c>
      <c r="G1025" t="n">
        <v>2.2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9282-2021</t>
        </is>
      </c>
      <c r="B1026" s="1" t="n">
        <v>44250</v>
      </c>
      <c r="C1026" s="1" t="n">
        <v>45627</v>
      </c>
      <c r="D1026" t="inlineStr">
        <is>
          <t>HALLANDS LÄN</t>
        </is>
      </c>
      <c r="E1026" t="inlineStr">
        <is>
          <t>KUNGSBACKA</t>
        </is>
      </c>
      <c r="G1026" t="n">
        <v>3.5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9375-2021</t>
        </is>
      </c>
      <c r="B1027" s="1" t="n">
        <v>44250</v>
      </c>
      <c r="C1027" s="1" t="n">
        <v>45627</v>
      </c>
      <c r="D1027" t="inlineStr">
        <is>
          <t>HALLANDS LÄN</t>
        </is>
      </c>
      <c r="E1027" t="inlineStr">
        <is>
          <t>HYLTE</t>
        </is>
      </c>
      <c r="G1027" t="n">
        <v>1.2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9462-2021</t>
        </is>
      </c>
      <c r="B1028" s="1" t="n">
        <v>44250</v>
      </c>
      <c r="C1028" s="1" t="n">
        <v>45627</v>
      </c>
      <c r="D1028" t="inlineStr">
        <is>
          <t>HALLANDS LÄN</t>
        </is>
      </c>
      <c r="E1028" t="inlineStr">
        <is>
          <t>FALKENBERG</t>
        </is>
      </c>
      <c r="F1028" t="inlineStr">
        <is>
          <t>Kyrkan</t>
        </is>
      </c>
      <c r="G1028" t="n">
        <v>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9200-2021</t>
        </is>
      </c>
      <c r="B1029" s="1" t="n">
        <v>44250</v>
      </c>
      <c r="C1029" s="1" t="n">
        <v>45627</v>
      </c>
      <c r="D1029" t="inlineStr">
        <is>
          <t>HALLANDS LÄN</t>
        </is>
      </c>
      <c r="E1029" t="inlineStr">
        <is>
          <t>HYLTE</t>
        </is>
      </c>
      <c r="G1029" t="n">
        <v>1.3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9559-2021</t>
        </is>
      </c>
      <c r="B1030" s="1" t="n">
        <v>44251</v>
      </c>
      <c r="C1030" s="1" t="n">
        <v>45627</v>
      </c>
      <c r="D1030" t="inlineStr">
        <is>
          <t>HALLANDS LÄN</t>
        </is>
      </c>
      <c r="E1030" t="inlineStr">
        <is>
          <t>HYLTE</t>
        </is>
      </c>
      <c r="G1030" t="n">
        <v>1.1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9499-2021</t>
        </is>
      </c>
      <c r="B1031" s="1" t="n">
        <v>44251</v>
      </c>
      <c r="C1031" s="1" t="n">
        <v>45627</v>
      </c>
      <c r="D1031" t="inlineStr">
        <is>
          <t>HALLANDS LÄN</t>
        </is>
      </c>
      <c r="E1031" t="inlineStr">
        <is>
          <t>KUNGSBACKA</t>
        </is>
      </c>
      <c r="G1031" t="n">
        <v>1.4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9701-2021</t>
        </is>
      </c>
      <c r="B1032" s="1" t="n">
        <v>44252</v>
      </c>
      <c r="C1032" s="1" t="n">
        <v>45627</v>
      </c>
      <c r="D1032" t="inlineStr">
        <is>
          <t>HALLANDS LÄN</t>
        </is>
      </c>
      <c r="E1032" t="inlineStr">
        <is>
          <t>FALKENBERG</t>
        </is>
      </c>
      <c r="G1032" t="n">
        <v>3.6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10208-2021</t>
        </is>
      </c>
      <c r="B1033" s="1" t="n">
        <v>44256</v>
      </c>
      <c r="C1033" s="1" t="n">
        <v>45627</v>
      </c>
      <c r="D1033" t="inlineStr">
        <is>
          <t>HALLANDS LÄN</t>
        </is>
      </c>
      <c r="E1033" t="inlineStr">
        <is>
          <t>HYLTE</t>
        </is>
      </c>
      <c r="G1033" t="n">
        <v>0.9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10076-2021</t>
        </is>
      </c>
      <c r="B1034" s="1" t="n">
        <v>44256</v>
      </c>
      <c r="C1034" s="1" t="n">
        <v>45627</v>
      </c>
      <c r="D1034" t="inlineStr">
        <is>
          <t>HALLANDS LÄN</t>
        </is>
      </c>
      <c r="E1034" t="inlineStr">
        <is>
          <t>LAHOLM</t>
        </is>
      </c>
      <c r="F1034" t="inlineStr">
        <is>
          <t>Övriga Aktiebolag</t>
        </is>
      </c>
      <c r="G1034" t="n">
        <v>3.2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10320-2021</t>
        </is>
      </c>
      <c r="B1035" s="1" t="n">
        <v>44257</v>
      </c>
      <c r="C1035" s="1" t="n">
        <v>45627</v>
      </c>
      <c r="D1035" t="inlineStr">
        <is>
          <t>HALLANDS LÄN</t>
        </is>
      </c>
      <c r="E1035" t="inlineStr">
        <is>
          <t>FALKENBERG</t>
        </is>
      </c>
      <c r="G1035" t="n">
        <v>1.9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10346-2021</t>
        </is>
      </c>
      <c r="B1036" s="1" t="n">
        <v>44257</v>
      </c>
      <c r="C1036" s="1" t="n">
        <v>45627</v>
      </c>
      <c r="D1036" t="inlineStr">
        <is>
          <t>HALLANDS LÄN</t>
        </is>
      </c>
      <c r="E1036" t="inlineStr">
        <is>
          <t>KUNGSBACKA</t>
        </is>
      </c>
      <c r="G1036" t="n">
        <v>0.2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10503-2021</t>
        </is>
      </c>
      <c r="B1037" s="1" t="n">
        <v>44258</v>
      </c>
      <c r="C1037" s="1" t="n">
        <v>45627</v>
      </c>
      <c r="D1037" t="inlineStr">
        <is>
          <t>HALLANDS LÄN</t>
        </is>
      </c>
      <c r="E1037" t="inlineStr">
        <is>
          <t>HALMSTAD</t>
        </is>
      </c>
      <c r="G1037" t="n">
        <v>1.9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10780-2021</t>
        </is>
      </c>
      <c r="B1038" s="1" t="n">
        <v>44259</v>
      </c>
      <c r="C1038" s="1" t="n">
        <v>45627</v>
      </c>
      <c r="D1038" t="inlineStr">
        <is>
          <t>HALLANDS LÄN</t>
        </is>
      </c>
      <c r="E1038" t="inlineStr">
        <is>
          <t>LAHOLM</t>
        </is>
      </c>
      <c r="G1038" t="n">
        <v>1.9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11253-2021</t>
        </is>
      </c>
      <c r="B1039" s="1" t="n">
        <v>44261</v>
      </c>
      <c r="C1039" s="1" t="n">
        <v>45627</v>
      </c>
      <c r="D1039" t="inlineStr">
        <is>
          <t>HALLANDS LÄN</t>
        </is>
      </c>
      <c r="E1039" t="inlineStr">
        <is>
          <t>HYLTE</t>
        </is>
      </c>
      <c r="F1039" t="inlineStr">
        <is>
          <t>Kyrkan</t>
        </is>
      </c>
      <c r="G1039" t="n">
        <v>0.8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11274-2021</t>
        </is>
      </c>
      <c r="B1040" s="1" t="n">
        <v>44263</v>
      </c>
      <c r="C1040" s="1" t="n">
        <v>45627</v>
      </c>
      <c r="D1040" t="inlineStr">
        <is>
          <t>HALLANDS LÄN</t>
        </is>
      </c>
      <c r="E1040" t="inlineStr">
        <is>
          <t>HYLTE</t>
        </is>
      </c>
      <c r="G1040" t="n">
        <v>2.2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11325-2021</t>
        </is>
      </c>
      <c r="B1041" s="1" t="n">
        <v>44263</v>
      </c>
      <c r="C1041" s="1" t="n">
        <v>45627</v>
      </c>
      <c r="D1041" t="inlineStr">
        <is>
          <t>HALLANDS LÄN</t>
        </is>
      </c>
      <c r="E1041" t="inlineStr">
        <is>
          <t>HYLTE</t>
        </is>
      </c>
      <c r="G1041" t="n">
        <v>1.9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11468-2021</t>
        </is>
      </c>
      <c r="B1042" s="1" t="n">
        <v>44264</v>
      </c>
      <c r="C1042" s="1" t="n">
        <v>45627</v>
      </c>
      <c r="D1042" t="inlineStr">
        <is>
          <t>HALLANDS LÄN</t>
        </is>
      </c>
      <c r="E1042" t="inlineStr">
        <is>
          <t>VARBERG</t>
        </is>
      </c>
      <c r="G1042" t="n">
        <v>3.1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11495-2021</t>
        </is>
      </c>
      <c r="B1043" s="1" t="n">
        <v>44264</v>
      </c>
      <c r="C1043" s="1" t="n">
        <v>45627</v>
      </c>
      <c r="D1043" t="inlineStr">
        <is>
          <t>HALLANDS LÄN</t>
        </is>
      </c>
      <c r="E1043" t="inlineStr">
        <is>
          <t>VARBERG</t>
        </is>
      </c>
      <c r="G1043" t="n">
        <v>1.4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11753-2021</t>
        </is>
      </c>
      <c r="B1044" s="1" t="n">
        <v>44265</v>
      </c>
      <c r="C1044" s="1" t="n">
        <v>45627</v>
      </c>
      <c r="D1044" t="inlineStr">
        <is>
          <t>HALLANDS LÄN</t>
        </is>
      </c>
      <c r="E1044" t="inlineStr">
        <is>
          <t>LAHOLM</t>
        </is>
      </c>
      <c r="G1044" t="n">
        <v>0.5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11876-2021</t>
        </is>
      </c>
      <c r="B1045" s="1" t="n">
        <v>44265</v>
      </c>
      <c r="C1045" s="1" t="n">
        <v>45627</v>
      </c>
      <c r="D1045" t="inlineStr">
        <is>
          <t>HALLANDS LÄN</t>
        </is>
      </c>
      <c r="E1045" t="inlineStr">
        <is>
          <t>HYLTE</t>
        </is>
      </c>
      <c r="G1045" t="n">
        <v>1.2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11899-2021</t>
        </is>
      </c>
      <c r="B1046" s="1" t="n">
        <v>44265</v>
      </c>
      <c r="C1046" s="1" t="n">
        <v>45627</v>
      </c>
      <c r="D1046" t="inlineStr">
        <is>
          <t>HALLANDS LÄN</t>
        </is>
      </c>
      <c r="E1046" t="inlineStr">
        <is>
          <t>LAHOLM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11798-2021</t>
        </is>
      </c>
      <c r="B1047" s="1" t="n">
        <v>44265</v>
      </c>
      <c r="C1047" s="1" t="n">
        <v>45627</v>
      </c>
      <c r="D1047" t="inlineStr">
        <is>
          <t>HALLANDS LÄN</t>
        </is>
      </c>
      <c r="E1047" t="inlineStr">
        <is>
          <t>HALMSTAD</t>
        </is>
      </c>
      <c r="G1047" t="n">
        <v>0.6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11978-2021</t>
        </is>
      </c>
      <c r="B1048" s="1" t="n">
        <v>44266</v>
      </c>
      <c r="C1048" s="1" t="n">
        <v>45627</v>
      </c>
      <c r="D1048" t="inlineStr">
        <is>
          <t>HALLANDS LÄN</t>
        </is>
      </c>
      <c r="E1048" t="inlineStr">
        <is>
          <t>HYLTE</t>
        </is>
      </c>
      <c r="F1048" t="inlineStr">
        <is>
          <t>Bergvik skog väst AB</t>
        </is>
      </c>
      <c r="G1048" t="n">
        <v>2.4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11992-2021</t>
        </is>
      </c>
      <c r="B1049" s="1" t="n">
        <v>44266</v>
      </c>
      <c r="C1049" s="1" t="n">
        <v>45627</v>
      </c>
      <c r="D1049" t="inlineStr">
        <is>
          <t>HALLANDS LÄN</t>
        </is>
      </c>
      <c r="E1049" t="inlineStr">
        <is>
          <t>HYLTE</t>
        </is>
      </c>
      <c r="F1049" t="inlineStr">
        <is>
          <t>Bergvik skog väst AB</t>
        </is>
      </c>
      <c r="G1049" t="n">
        <v>3.5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11998-2021</t>
        </is>
      </c>
      <c r="B1050" s="1" t="n">
        <v>44266</v>
      </c>
      <c r="C1050" s="1" t="n">
        <v>45627</v>
      </c>
      <c r="D1050" t="inlineStr">
        <is>
          <t>HALLANDS LÄN</t>
        </is>
      </c>
      <c r="E1050" t="inlineStr">
        <is>
          <t>HYLTE</t>
        </is>
      </c>
      <c r="F1050" t="inlineStr">
        <is>
          <t>Bergvik skog väst AB</t>
        </is>
      </c>
      <c r="G1050" t="n">
        <v>3.1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12004-2021</t>
        </is>
      </c>
      <c r="B1051" s="1" t="n">
        <v>44266</v>
      </c>
      <c r="C1051" s="1" t="n">
        <v>45627</v>
      </c>
      <c r="D1051" t="inlineStr">
        <is>
          <t>HALLANDS LÄN</t>
        </is>
      </c>
      <c r="E1051" t="inlineStr">
        <is>
          <t>HYLTE</t>
        </is>
      </c>
      <c r="F1051" t="inlineStr">
        <is>
          <t>Bergvik skog väst AB</t>
        </is>
      </c>
      <c r="G1051" t="n">
        <v>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12001-2021</t>
        </is>
      </c>
      <c r="B1052" s="1" t="n">
        <v>44266</v>
      </c>
      <c r="C1052" s="1" t="n">
        <v>45627</v>
      </c>
      <c r="D1052" t="inlineStr">
        <is>
          <t>HALLANDS LÄN</t>
        </is>
      </c>
      <c r="E1052" t="inlineStr">
        <is>
          <t>HYLTE</t>
        </is>
      </c>
      <c r="F1052" t="inlineStr">
        <is>
          <t>Bergvik skog väst AB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12044-2021</t>
        </is>
      </c>
      <c r="B1053" s="1" t="n">
        <v>44266</v>
      </c>
      <c r="C1053" s="1" t="n">
        <v>45627</v>
      </c>
      <c r="D1053" t="inlineStr">
        <is>
          <t>HALLANDS LÄN</t>
        </is>
      </c>
      <c r="E1053" t="inlineStr">
        <is>
          <t>FALKENBERG</t>
        </is>
      </c>
      <c r="G1053" t="n">
        <v>0.8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11994-2021</t>
        </is>
      </c>
      <c r="B1054" s="1" t="n">
        <v>44266</v>
      </c>
      <c r="C1054" s="1" t="n">
        <v>45627</v>
      </c>
      <c r="D1054" t="inlineStr">
        <is>
          <t>HALLANDS LÄN</t>
        </is>
      </c>
      <c r="E1054" t="inlineStr">
        <is>
          <t>HYLTE</t>
        </is>
      </c>
      <c r="F1054" t="inlineStr">
        <is>
          <t>Bergvik skog väst AB</t>
        </is>
      </c>
      <c r="G1054" t="n">
        <v>6.1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11999-2021</t>
        </is>
      </c>
      <c r="B1055" s="1" t="n">
        <v>44266</v>
      </c>
      <c r="C1055" s="1" t="n">
        <v>45627</v>
      </c>
      <c r="D1055" t="inlineStr">
        <is>
          <t>HALLANDS LÄN</t>
        </is>
      </c>
      <c r="E1055" t="inlineStr">
        <is>
          <t>HYLTE</t>
        </is>
      </c>
      <c r="F1055" t="inlineStr">
        <is>
          <t>Bergvik skog väst AB</t>
        </is>
      </c>
      <c r="G1055" t="n">
        <v>1.8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12173-2021</t>
        </is>
      </c>
      <c r="B1056" s="1" t="n">
        <v>44266</v>
      </c>
      <c r="C1056" s="1" t="n">
        <v>45627</v>
      </c>
      <c r="D1056" t="inlineStr">
        <is>
          <t>HALLANDS LÄN</t>
        </is>
      </c>
      <c r="E1056" t="inlineStr">
        <is>
          <t>VARBERG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12179-2021</t>
        </is>
      </c>
      <c r="B1057" s="1" t="n">
        <v>44266</v>
      </c>
      <c r="C1057" s="1" t="n">
        <v>45627</v>
      </c>
      <c r="D1057" t="inlineStr">
        <is>
          <t>HALLANDS LÄN</t>
        </is>
      </c>
      <c r="E1057" t="inlineStr">
        <is>
          <t>VARBERG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12263-2021</t>
        </is>
      </c>
      <c r="B1058" s="1" t="n">
        <v>44266</v>
      </c>
      <c r="C1058" s="1" t="n">
        <v>45627</v>
      </c>
      <c r="D1058" t="inlineStr">
        <is>
          <t>HALLANDS LÄN</t>
        </is>
      </c>
      <c r="E1058" t="inlineStr">
        <is>
          <t>HALMSTAD</t>
        </is>
      </c>
      <c r="G1058" t="n">
        <v>1.3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12264-2021</t>
        </is>
      </c>
      <c r="B1059" s="1" t="n">
        <v>44266</v>
      </c>
      <c r="C1059" s="1" t="n">
        <v>45627</v>
      </c>
      <c r="D1059" t="inlineStr">
        <is>
          <t>HALLANDS LÄN</t>
        </is>
      </c>
      <c r="E1059" t="inlineStr">
        <is>
          <t>HALMSTAD</t>
        </is>
      </c>
      <c r="G1059" t="n">
        <v>3.1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12175-2021</t>
        </is>
      </c>
      <c r="B1060" s="1" t="n">
        <v>44266</v>
      </c>
      <c r="C1060" s="1" t="n">
        <v>45627</v>
      </c>
      <c r="D1060" t="inlineStr">
        <is>
          <t>HALLANDS LÄN</t>
        </is>
      </c>
      <c r="E1060" t="inlineStr">
        <is>
          <t>VARBERG</t>
        </is>
      </c>
      <c r="G1060" t="n">
        <v>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12432-2021</t>
        </is>
      </c>
      <c r="B1061" s="1" t="n">
        <v>44267</v>
      </c>
      <c r="C1061" s="1" t="n">
        <v>45627</v>
      </c>
      <c r="D1061" t="inlineStr">
        <is>
          <t>HALLANDS LÄN</t>
        </is>
      </c>
      <c r="E1061" t="inlineStr">
        <is>
          <t>FALKENBERG</t>
        </is>
      </c>
      <c r="G1061" t="n">
        <v>2.5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12640-2021</t>
        </is>
      </c>
      <c r="B1062" s="1" t="n">
        <v>44267</v>
      </c>
      <c r="C1062" s="1" t="n">
        <v>45627</v>
      </c>
      <c r="D1062" t="inlineStr">
        <is>
          <t>HALLANDS LÄN</t>
        </is>
      </c>
      <c r="E1062" t="inlineStr">
        <is>
          <t>HYLTE</t>
        </is>
      </c>
      <c r="F1062" t="inlineStr">
        <is>
          <t>Bergvik skog väst AB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12630-2021</t>
        </is>
      </c>
      <c r="B1063" s="1" t="n">
        <v>44267</v>
      </c>
      <c r="C1063" s="1" t="n">
        <v>45627</v>
      </c>
      <c r="D1063" t="inlineStr">
        <is>
          <t>HALLANDS LÄN</t>
        </is>
      </c>
      <c r="E1063" t="inlineStr">
        <is>
          <t>HYLTE</t>
        </is>
      </c>
      <c r="F1063" t="inlineStr">
        <is>
          <t>Bergvik skog väst AB</t>
        </is>
      </c>
      <c r="G1063" t="n">
        <v>3.9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12487-2021</t>
        </is>
      </c>
      <c r="B1064" s="1" t="n">
        <v>44267</v>
      </c>
      <c r="C1064" s="1" t="n">
        <v>45627</v>
      </c>
      <c r="D1064" t="inlineStr">
        <is>
          <t>HALLANDS LÄN</t>
        </is>
      </c>
      <c r="E1064" t="inlineStr">
        <is>
          <t>FALKENBERG</t>
        </is>
      </c>
      <c r="G1064" t="n">
        <v>1.2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12637-2021</t>
        </is>
      </c>
      <c r="B1065" s="1" t="n">
        <v>44267</v>
      </c>
      <c r="C1065" s="1" t="n">
        <v>45627</v>
      </c>
      <c r="D1065" t="inlineStr">
        <is>
          <t>HALLANDS LÄN</t>
        </is>
      </c>
      <c r="E1065" t="inlineStr">
        <is>
          <t>HYLTE</t>
        </is>
      </c>
      <c r="F1065" t="inlineStr">
        <is>
          <t>Bergvik skog väst AB</t>
        </is>
      </c>
      <c r="G1065" t="n">
        <v>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12645-2021</t>
        </is>
      </c>
      <c r="B1066" s="1" t="n">
        <v>44267</v>
      </c>
      <c r="C1066" s="1" t="n">
        <v>45627</v>
      </c>
      <c r="D1066" t="inlineStr">
        <is>
          <t>HALLANDS LÄN</t>
        </is>
      </c>
      <c r="E1066" t="inlineStr">
        <is>
          <t>HALMSTAD</t>
        </is>
      </c>
      <c r="F1066" t="inlineStr">
        <is>
          <t>Bergvik skog väst AB</t>
        </is>
      </c>
      <c r="G1066" t="n">
        <v>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12643-2021</t>
        </is>
      </c>
      <c r="B1067" s="1" t="n">
        <v>44267</v>
      </c>
      <c r="C1067" s="1" t="n">
        <v>45627</v>
      </c>
      <c r="D1067" t="inlineStr">
        <is>
          <t>HALLANDS LÄN</t>
        </is>
      </c>
      <c r="E1067" t="inlineStr">
        <is>
          <t>HYLTE</t>
        </is>
      </c>
      <c r="F1067" t="inlineStr">
        <is>
          <t>Bergvik skog väst AB</t>
        </is>
      </c>
      <c r="G1067" t="n">
        <v>4.4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12632-2021</t>
        </is>
      </c>
      <c r="B1068" s="1" t="n">
        <v>44267</v>
      </c>
      <c r="C1068" s="1" t="n">
        <v>45627</v>
      </c>
      <c r="D1068" t="inlineStr">
        <is>
          <t>HALLANDS LÄN</t>
        </is>
      </c>
      <c r="E1068" t="inlineStr">
        <is>
          <t>HYLTE</t>
        </is>
      </c>
      <c r="F1068" t="inlineStr">
        <is>
          <t>Bergvik skog väst AB</t>
        </is>
      </c>
      <c r="G1068" t="n">
        <v>9.9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12599-2021</t>
        </is>
      </c>
      <c r="B1069" s="1" t="n">
        <v>44270</v>
      </c>
      <c r="C1069" s="1" t="n">
        <v>45627</v>
      </c>
      <c r="D1069" t="inlineStr">
        <is>
          <t>HALLANDS LÄN</t>
        </is>
      </c>
      <c r="E1069" t="inlineStr">
        <is>
          <t>VARBERG</t>
        </is>
      </c>
      <c r="G1069" t="n">
        <v>0.5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13026-2021</t>
        </is>
      </c>
      <c r="B1070" s="1" t="n">
        <v>44271</v>
      </c>
      <c r="C1070" s="1" t="n">
        <v>45627</v>
      </c>
      <c r="D1070" t="inlineStr">
        <is>
          <t>HALLANDS LÄN</t>
        </is>
      </c>
      <c r="E1070" t="inlineStr">
        <is>
          <t>FALKENBERG</t>
        </is>
      </c>
      <c r="G1070" t="n">
        <v>2.3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13029-2021</t>
        </is>
      </c>
      <c r="B1071" s="1" t="n">
        <v>44271</v>
      </c>
      <c r="C1071" s="1" t="n">
        <v>45627</v>
      </c>
      <c r="D1071" t="inlineStr">
        <is>
          <t>HALLANDS LÄN</t>
        </is>
      </c>
      <c r="E1071" t="inlineStr">
        <is>
          <t>HALMSTAD</t>
        </is>
      </c>
      <c r="G1071" t="n">
        <v>1.5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13155-2021</t>
        </is>
      </c>
      <c r="B1072" s="1" t="n">
        <v>44272</v>
      </c>
      <c r="C1072" s="1" t="n">
        <v>45627</v>
      </c>
      <c r="D1072" t="inlineStr">
        <is>
          <t>HALLANDS LÄN</t>
        </is>
      </c>
      <c r="E1072" t="inlineStr">
        <is>
          <t>FALKENBERG</t>
        </is>
      </c>
      <c r="G1072" t="n">
        <v>1.2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13408-2021</t>
        </is>
      </c>
      <c r="B1073" s="1" t="n">
        <v>44273</v>
      </c>
      <c r="C1073" s="1" t="n">
        <v>45627</v>
      </c>
      <c r="D1073" t="inlineStr">
        <is>
          <t>HALLANDS LÄN</t>
        </is>
      </c>
      <c r="E1073" t="inlineStr">
        <is>
          <t>HALMSTAD</t>
        </is>
      </c>
      <c r="G1073" t="n">
        <v>1.2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13493-2021</t>
        </is>
      </c>
      <c r="B1074" s="1" t="n">
        <v>44273</v>
      </c>
      <c r="C1074" s="1" t="n">
        <v>45627</v>
      </c>
      <c r="D1074" t="inlineStr">
        <is>
          <t>HALLANDS LÄN</t>
        </is>
      </c>
      <c r="E1074" t="inlineStr">
        <is>
          <t>LAHOLM</t>
        </is>
      </c>
      <c r="G1074" t="n">
        <v>2.9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13486-2021</t>
        </is>
      </c>
      <c r="B1075" s="1" t="n">
        <v>44273</v>
      </c>
      <c r="C1075" s="1" t="n">
        <v>45627</v>
      </c>
      <c r="D1075" t="inlineStr">
        <is>
          <t>HALLANDS LÄN</t>
        </is>
      </c>
      <c r="E1075" t="inlineStr">
        <is>
          <t>LAHOLM</t>
        </is>
      </c>
      <c r="G1075" t="n">
        <v>0.5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13655-2021</t>
        </is>
      </c>
      <c r="B1076" s="1" t="n">
        <v>44274</v>
      </c>
      <c r="C1076" s="1" t="n">
        <v>45627</v>
      </c>
      <c r="D1076" t="inlineStr">
        <is>
          <t>HALLANDS LÄN</t>
        </is>
      </c>
      <c r="E1076" t="inlineStr">
        <is>
          <t>HYLTE</t>
        </is>
      </c>
      <c r="G1076" t="n">
        <v>0.3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13607-2021</t>
        </is>
      </c>
      <c r="B1077" s="1" t="n">
        <v>44274</v>
      </c>
      <c r="C1077" s="1" t="n">
        <v>45627</v>
      </c>
      <c r="D1077" t="inlineStr">
        <is>
          <t>HALLANDS LÄN</t>
        </is>
      </c>
      <c r="E1077" t="inlineStr">
        <is>
          <t>HYLTE</t>
        </is>
      </c>
      <c r="G1077" t="n">
        <v>1.7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13653-2021</t>
        </is>
      </c>
      <c r="B1078" s="1" t="n">
        <v>44274</v>
      </c>
      <c r="C1078" s="1" t="n">
        <v>45627</v>
      </c>
      <c r="D1078" t="inlineStr">
        <is>
          <t>HALLANDS LÄN</t>
        </is>
      </c>
      <c r="E1078" t="inlineStr">
        <is>
          <t>HYLTE</t>
        </is>
      </c>
      <c r="G1078" t="n">
        <v>0.4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13775-2021</t>
        </is>
      </c>
      <c r="B1079" s="1" t="n">
        <v>44274</v>
      </c>
      <c r="C1079" s="1" t="n">
        <v>45627</v>
      </c>
      <c r="D1079" t="inlineStr">
        <is>
          <t>HALLANDS LÄN</t>
        </is>
      </c>
      <c r="E1079" t="inlineStr">
        <is>
          <t>KUNGSBACKA</t>
        </is>
      </c>
      <c r="G1079" t="n">
        <v>1.7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14011-2021</t>
        </is>
      </c>
      <c r="B1080" s="1" t="n">
        <v>44277</v>
      </c>
      <c r="C1080" s="1" t="n">
        <v>45627</v>
      </c>
      <c r="D1080" t="inlineStr">
        <is>
          <t>HALLANDS LÄN</t>
        </is>
      </c>
      <c r="E1080" t="inlineStr">
        <is>
          <t>HYLTE</t>
        </is>
      </c>
      <c r="G1080" t="n">
        <v>0.9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14009-2021</t>
        </is>
      </c>
      <c r="B1081" s="1" t="n">
        <v>44277</v>
      </c>
      <c r="C1081" s="1" t="n">
        <v>45627</v>
      </c>
      <c r="D1081" t="inlineStr">
        <is>
          <t>HALLANDS LÄN</t>
        </is>
      </c>
      <c r="E1081" t="inlineStr">
        <is>
          <t>HYLTE</t>
        </is>
      </c>
      <c r="G1081" t="n">
        <v>0.7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14180-2021</t>
        </is>
      </c>
      <c r="B1082" s="1" t="n">
        <v>44278</v>
      </c>
      <c r="C1082" s="1" t="n">
        <v>45627</v>
      </c>
      <c r="D1082" t="inlineStr">
        <is>
          <t>HALLANDS LÄN</t>
        </is>
      </c>
      <c r="E1082" t="inlineStr">
        <is>
          <t>HYLTE</t>
        </is>
      </c>
      <c r="G1082" t="n">
        <v>4.4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14319-2021</t>
        </is>
      </c>
      <c r="B1083" s="1" t="n">
        <v>44278</v>
      </c>
      <c r="C1083" s="1" t="n">
        <v>45627</v>
      </c>
      <c r="D1083" t="inlineStr">
        <is>
          <t>HALLANDS LÄN</t>
        </is>
      </c>
      <c r="E1083" t="inlineStr">
        <is>
          <t>HALMSTAD</t>
        </is>
      </c>
      <c r="G1083" t="n">
        <v>5.7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14324-2021</t>
        </is>
      </c>
      <c r="B1084" s="1" t="n">
        <v>44278</v>
      </c>
      <c r="C1084" s="1" t="n">
        <v>45627</v>
      </c>
      <c r="D1084" t="inlineStr">
        <is>
          <t>HALLANDS LÄN</t>
        </is>
      </c>
      <c r="E1084" t="inlineStr">
        <is>
          <t>FALKENBERG</t>
        </is>
      </c>
      <c r="G1084" t="n">
        <v>0.3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14361-2021</t>
        </is>
      </c>
      <c r="B1085" s="1" t="n">
        <v>44279</v>
      </c>
      <c r="C1085" s="1" t="n">
        <v>45627</v>
      </c>
      <c r="D1085" t="inlineStr">
        <is>
          <t>HALLANDS LÄN</t>
        </is>
      </c>
      <c r="E1085" t="inlineStr">
        <is>
          <t>KUNGSBACKA</t>
        </is>
      </c>
      <c r="G1085" t="n">
        <v>3.6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14399-2021</t>
        </is>
      </c>
      <c r="B1086" s="1" t="n">
        <v>44279</v>
      </c>
      <c r="C1086" s="1" t="n">
        <v>45627</v>
      </c>
      <c r="D1086" t="inlineStr">
        <is>
          <t>HALLANDS LÄN</t>
        </is>
      </c>
      <c r="E1086" t="inlineStr">
        <is>
          <t>KUNGSBACKA</t>
        </is>
      </c>
      <c r="G1086" t="n">
        <v>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14357-2021</t>
        </is>
      </c>
      <c r="B1087" s="1" t="n">
        <v>44279</v>
      </c>
      <c r="C1087" s="1" t="n">
        <v>45627</v>
      </c>
      <c r="D1087" t="inlineStr">
        <is>
          <t>HALLANDS LÄN</t>
        </is>
      </c>
      <c r="E1087" t="inlineStr">
        <is>
          <t>VARBERG</t>
        </is>
      </c>
      <c r="G1087" t="n">
        <v>6.4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14374-2021</t>
        </is>
      </c>
      <c r="B1088" s="1" t="n">
        <v>44279</v>
      </c>
      <c r="C1088" s="1" t="n">
        <v>45627</v>
      </c>
      <c r="D1088" t="inlineStr">
        <is>
          <t>HALLANDS LÄN</t>
        </is>
      </c>
      <c r="E1088" t="inlineStr">
        <is>
          <t>KUNGSBACKA</t>
        </is>
      </c>
      <c r="G1088" t="n">
        <v>0.7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14390-2021</t>
        </is>
      </c>
      <c r="B1089" s="1" t="n">
        <v>44279</v>
      </c>
      <c r="C1089" s="1" t="n">
        <v>45627</v>
      </c>
      <c r="D1089" t="inlineStr">
        <is>
          <t>HALLANDS LÄN</t>
        </is>
      </c>
      <c r="E1089" t="inlineStr">
        <is>
          <t>KUNGSBACKA</t>
        </is>
      </c>
      <c r="G1089" t="n">
        <v>0.7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14633-2021</t>
        </is>
      </c>
      <c r="B1090" s="1" t="n">
        <v>44280</v>
      </c>
      <c r="C1090" s="1" t="n">
        <v>45627</v>
      </c>
      <c r="D1090" t="inlineStr">
        <is>
          <t>HALLANDS LÄN</t>
        </is>
      </c>
      <c r="E1090" t="inlineStr">
        <is>
          <t>LAHOLM</t>
        </is>
      </c>
      <c r="G1090" t="n">
        <v>1.1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14651-2021</t>
        </is>
      </c>
      <c r="B1091" s="1" t="n">
        <v>44280</v>
      </c>
      <c r="C1091" s="1" t="n">
        <v>45627</v>
      </c>
      <c r="D1091" t="inlineStr">
        <is>
          <t>HALLANDS LÄN</t>
        </is>
      </c>
      <c r="E1091" t="inlineStr">
        <is>
          <t>VARBERG</t>
        </is>
      </c>
      <c r="G1091" t="n">
        <v>5.8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14608-2021</t>
        </is>
      </c>
      <c r="B1092" s="1" t="n">
        <v>44280</v>
      </c>
      <c r="C1092" s="1" t="n">
        <v>45627</v>
      </c>
      <c r="D1092" t="inlineStr">
        <is>
          <t>HALLANDS LÄN</t>
        </is>
      </c>
      <c r="E1092" t="inlineStr">
        <is>
          <t>VARBERG</t>
        </is>
      </c>
      <c r="G1092" t="n">
        <v>2.8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14759-2021</t>
        </is>
      </c>
      <c r="B1093" s="1" t="n">
        <v>44280</v>
      </c>
      <c r="C1093" s="1" t="n">
        <v>45627</v>
      </c>
      <c r="D1093" t="inlineStr">
        <is>
          <t>HALLANDS LÄN</t>
        </is>
      </c>
      <c r="E1093" t="inlineStr">
        <is>
          <t>HALMSTAD</t>
        </is>
      </c>
      <c r="G1093" t="n">
        <v>1.6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14655-2021</t>
        </is>
      </c>
      <c r="B1094" s="1" t="n">
        <v>44280</v>
      </c>
      <c r="C1094" s="1" t="n">
        <v>45627</v>
      </c>
      <c r="D1094" t="inlineStr">
        <is>
          <t>HALLANDS LÄN</t>
        </is>
      </c>
      <c r="E1094" t="inlineStr">
        <is>
          <t>VARBERG</t>
        </is>
      </c>
      <c r="G1094" t="n">
        <v>0.8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14895-2021</t>
        </is>
      </c>
      <c r="B1095" s="1" t="n">
        <v>44281</v>
      </c>
      <c r="C1095" s="1" t="n">
        <v>45627</v>
      </c>
      <c r="D1095" t="inlineStr">
        <is>
          <t>HALLANDS LÄN</t>
        </is>
      </c>
      <c r="E1095" t="inlineStr">
        <is>
          <t>HALMSTAD</t>
        </is>
      </c>
      <c r="G1095" t="n">
        <v>1.1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15059-2021</t>
        </is>
      </c>
      <c r="B1096" s="1" t="n">
        <v>44281</v>
      </c>
      <c r="C1096" s="1" t="n">
        <v>45627</v>
      </c>
      <c r="D1096" t="inlineStr">
        <is>
          <t>HALLANDS LÄN</t>
        </is>
      </c>
      <c r="E1096" t="inlineStr">
        <is>
          <t>HYLTE</t>
        </is>
      </c>
      <c r="G1096" t="n">
        <v>0.4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14958-2021</t>
        </is>
      </c>
      <c r="B1097" s="1" t="n">
        <v>44281</v>
      </c>
      <c r="C1097" s="1" t="n">
        <v>45627</v>
      </c>
      <c r="D1097" t="inlineStr">
        <is>
          <t>HALLANDS LÄN</t>
        </is>
      </c>
      <c r="E1097" t="inlineStr">
        <is>
          <t>HALMSTAD</t>
        </is>
      </c>
      <c r="G1097" t="n">
        <v>1.9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15396-2021</t>
        </is>
      </c>
      <c r="B1098" s="1" t="n">
        <v>44285</v>
      </c>
      <c r="C1098" s="1" t="n">
        <v>45627</v>
      </c>
      <c r="D1098" t="inlineStr">
        <is>
          <t>HALLANDS LÄN</t>
        </is>
      </c>
      <c r="E1098" t="inlineStr">
        <is>
          <t>HALMSTAD</t>
        </is>
      </c>
      <c r="G1098" t="n">
        <v>2.3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15632-2021</t>
        </is>
      </c>
      <c r="B1099" s="1" t="n">
        <v>44285</v>
      </c>
      <c r="C1099" s="1" t="n">
        <v>45627</v>
      </c>
      <c r="D1099" t="inlineStr">
        <is>
          <t>HALLANDS LÄN</t>
        </is>
      </c>
      <c r="E1099" t="inlineStr">
        <is>
          <t>KUNGSBACKA</t>
        </is>
      </c>
      <c r="G1099" t="n">
        <v>2.3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15673-2021</t>
        </is>
      </c>
      <c r="B1100" s="1" t="n">
        <v>44286</v>
      </c>
      <c r="C1100" s="1" t="n">
        <v>45627</v>
      </c>
      <c r="D1100" t="inlineStr">
        <is>
          <t>HALLANDS LÄN</t>
        </is>
      </c>
      <c r="E1100" t="inlineStr">
        <is>
          <t>KUNGSBACKA</t>
        </is>
      </c>
      <c r="G1100" t="n">
        <v>3.1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15865-2021</t>
        </is>
      </c>
      <c r="B1101" s="1" t="n">
        <v>44286</v>
      </c>
      <c r="C1101" s="1" t="n">
        <v>45627</v>
      </c>
      <c r="D1101" t="inlineStr">
        <is>
          <t>HALLANDS LÄN</t>
        </is>
      </c>
      <c r="E1101" t="inlineStr">
        <is>
          <t>HALMSTAD</t>
        </is>
      </c>
      <c r="G1101" t="n">
        <v>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15678-2021</t>
        </is>
      </c>
      <c r="B1102" s="1" t="n">
        <v>44286</v>
      </c>
      <c r="C1102" s="1" t="n">
        <v>45627</v>
      </c>
      <c r="D1102" t="inlineStr">
        <is>
          <t>HALLANDS LÄN</t>
        </is>
      </c>
      <c r="E1102" t="inlineStr">
        <is>
          <t>LAHOLM</t>
        </is>
      </c>
      <c r="G1102" t="n">
        <v>0.7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15686-2021</t>
        </is>
      </c>
      <c r="B1103" s="1" t="n">
        <v>44286</v>
      </c>
      <c r="C1103" s="1" t="n">
        <v>45627</v>
      </c>
      <c r="D1103" t="inlineStr">
        <is>
          <t>HALLANDS LÄN</t>
        </is>
      </c>
      <c r="E1103" t="inlineStr">
        <is>
          <t>KUNGSBACKA</t>
        </is>
      </c>
      <c r="G1103" t="n">
        <v>1.2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15864-2021</t>
        </is>
      </c>
      <c r="B1104" s="1" t="n">
        <v>44286</v>
      </c>
      <c r="C1104" s="1" t="n">
        <v>45627</v>
      </c>
      <c r="D1104" t="inlineStr">
        <is>
          <t>HALLANDS LÄN</t>
        </is>
      </c>
      <c r="E1104" t="inlineStr">
        <is>
          <t>HALMSTAD</t>
        </is>
      </c>
      <c r="G1104" t="n">
        <v>0.5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15991-2021</t>
        </is>
      </c>
      <c r="B1105" s="1" t="n">
        <v>44287</v>
      </c>
      <c r="C1105" s="1" t="n">
        <v>45627</v>
      </c>
      <c r="D1105" t="inlineStr">
        <is>
          <t>HALLANDS LÄN</t>
        </is>
      </c>
      <c r="E1105" t="inlineStr">
        <is>
          <t>VARBERG</t>
        </is>
      </c>
      <c r="G1105" t="n">
        <v>2.7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16068-2021</t>
        </is>
      </c>
      <c r="B1106" s="1" t="n">
        <v>44287</v>
      </c>
      <c r="C1106" s="1" t="n">
        <v>45627</v>
      </c>
      <c r="D1106" t="inlineStr">
        <is>
          <t>HALLANDS LÄN</t>
        </is>
      </c>
      <c r="E1106" t="inlineStr">
        <is>
          <t>FALKENBERG</t>
        </is>
      </c>
      <c r="G1106" t="n">
        <v>1.7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16028-2021</t>
        </is>
      </c>
      <c r="B1107" s="1" t="n">
        <v>44287</v>
      </c>
      <c r="C1107" s="1" t="n">
        <v>45627</v>
      </c>
      <c r="D1107" t="inlineStr">
        <is>
          <t>HALLANDS LÄN</t>
        </is>
      </c>
      <c r="E1107" t="inlineStr">
        <is>
          <t>FALKENBERG</t>
        </is>
      </c>
      <c r="G1107" t="n">
        <v>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16238-2021</t>
        </is>
      </c>
      <c r="B1108" s="1" t="n">
        <v>44287</v>
      </c>
      <c r="C1108" s="1" t="n">
        <v>45627</v>
      </c>
      <c r="D1108" t="inlineStr">
        <is>
          <t>HALLANDS LÄN</t>
        </is>
      </c>
      <c r="E1108" t="inlineStr">
        <is>
          <t>FALKENBERG</t>
        </is>
      </c>
      <c r="F1108" t="inlineStr">
        <is>
          <t>Kyrkan</t>
        </is>
      </c>
      <c r="G1108" t="n">
        <v>0.5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16515-2021</t>
        </is>
      </c>
      <c r="B1109" s="1" t="n">
        <v>44293</v>
      </c>
      <c r="C1109" s="1" t="n">
        <v>45627</v>
      </c>
      <c r="D1109" t="inlineStr">
        <is>
          <t>HALLANDS LÄN</t>
        </is>
      </c>
      <c r="E1109" t="inlineStr">
        <is>
          <t>HYLTE</t>
        </is>
      </c>
      <c r="G1109" t="n">
        <v>5.7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16513-2021</t>
        </is>
      </c>
      <c r="B1110" s="1" t="n">
        <v>44293</v>
      </c>
      <c r="C1110" s="1" t="n">
        <v>45627</v>
      </c>
      <c r="D1110" t="inlineStr">
        <is>
          <t>HALLANDS LÄN</t>
        </is>
      </c>
      <c r="E1110" t="inlineStr">
        <is>
          <t>HYLTE</t>
        </is>
      </c>
      <c r="G1110" t="n">
        <v>6.1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16641-2021</t>
        </is>
      </c>
      <c r="B1111" s="1" t="n">
        <v>44294</v>
      </c>
      <c r="C1111" s="1" t="n">
        <v>45627</v>
      </c>
      <c r="D1111" t="inlineStr">
        <is>
          <t>HALLANDS LÄN</t>
        </is>
      </c>
      <c r="E1111" t="inlineStr">
        <is>
          <t>FALKENBERG</t>
        </is>
      </c>
      <c r="G1111" t="n">
        <v>1.2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16952-2021</t>
        </is>
      </c>
      <c r="B1112" s="1" t="n">
        <v>44295</v>
      </c>
      <c r="C1112" s="1" t="n">
        <v>45627</v>
      </c>
      <c r="D1112" t="inlineStr">
        <is>
          <t>HALLANDS LÄN</t>
        </is>
      </c>
      <c r="E1112" t="inlineStr">
        <is>
          <t>HYLTE</t>
        </is>
      </c>
      <c r="G1112" t="n">
        <v>2.3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16914-2021</t>
        </is>
      </c>
      <c r="B1113" s="1" t="n">
        <v>44295</v>
      </c>
      <c r="C1113" s="1" t="n">
        <v>45627</v>
      </c>
      <c r="D1113" t="inlineStr">
        <is>
          <t>HALLANDS LÄN</t>
        </is>
      </c>
      <c r="E1113" t="inlineStr">
        <is>
          <t>VARBERG</t>
        </is>
      </c>
      <c r="G1113" t="n">
        <v>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16994-2021</t>
        </is>
      </c>
      <c r="B1114" s="1" t="n">
        <v>44295</v>
      </c>
      <c r="C1114" s="1" t="n">
        <v>45627</v>
      </c>
      <c r="D1114" t="inlineStr">
        <is>
          <t>HALLANDS LÄN</t>
        </is>
      </c>
      <c r="E1114" t="inlineStr">
        <is>
          <t>FALKENBERG</t>
        </is>
      </c>
      <c r="G1114" t="n">
        <v>2.4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17242-2021</t>
        </is>
      </c>
      <c r="B1115" s="1" t="n">
        <v>44298</v>
      </c>
      <c r="C1115" s="1" t="n">
        <v>45627</v>
      </c>
      <c r="D1115" t="inlineStr">
        <is>
          <t>HALLANDS LÄN</t>
        </is>
      </c>
      <c r="E1115" t="inlineStr">
        <is>
          <t>KUNGSBACKA</t>
        </is>
      </c>
      <c r="G1115" t="n">
        <v>4.1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17171-2021</t>
        </is>
      </c>
      <c r="B1116" s="1" t="n">
        <v>44298</v>
      </c>
      <c r="C1116" s="1" t="n">
        <v>45627</v>
      </c>
      <c r="D1116" t="inlineStr">
        <is>
          <t>HALLANDS LÄN</t>
        </is>
      </c>
      <c r="E1116" t="inlineStr">
        <is>
          <t>HALMSTAD</t>
        </is>
      </c>
      <c r="G1116" t="n">
        <v>4.8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17224-2021</t>
        </is>
      </c>
      <c r="B1117" s="1" t="n">
        <v>44298</v>
      </c>
      <c r="C1117" s="1" t="n">
        <v>45627</v>
      </c>
      <c r="D1117" t="inlineStr">
        <is>
          <t>HALLANDS LÄN</t>
        </is>
      </c>
      <c r="E1117" t="inlineStr">
        <is>
          <t>HYLTE</t>
        </is>
      </c>
      <c r="G1117" t="n">
        <v>2.5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17243-2021</t>
        </is>
      </c>
      <c r="B1118" s="1" t="n">
        <v>44298</v>
      </c>
      <c r="C1118" s="1" t="n">
        <v>45627</v>
      </c>
      <c r="D1118" t="inlineStr">
        <is>
          <t>HALLANDS LÄN</t>
        </is>
      </c>
      <c r="E1118" t="inlineStr">
        <is>
          <t>KUNGSBACKA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17237-2021</t>
        </is>
      </c>
      <c r="B1119" s="1" t="n">
        <v>44298</v>
      </c>
      <c r="C1119" s="1" t="n">
        <v>45627</v>
      </c>
      <c r="D1119" t="inlineStr">
        <is>
          <t>HALLANDS LÄN</t>
        </is>
      </c>
      <c r="E1119" t="inlineStr">
        <is>
          <t>HALMSTAD</t>
        </is>
      </c>
      <c r="G1119" t="n">
        <v>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17230-2021</t>
        </is>
      </c>
      <c r="B1120" s="1" t="n">
        <v>44298</v>
      </c>
      <c r="C1120" s="1" t="n">
        <v>45627</v>
      </c>
      <c r="D1120" t="inlineStr">
        <is>
          <t>HALLANDS LÄN</t>
        </is>
      </c>
      <c r="E1120" t="inlineStr">
        <is>
          <t>VARBERG</t>
        </is>
      </c>
      <c r="G1120" t="n">
        <v>1.6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17341-2021</t>
        </is>
      </c>
      <c r="B1121" s="1" t="n">
        <v>44298</v>
      </c>
      <c r="C1121" s="1" t="n">
        <v>45627</v>
      </c>
      <c r="D1121" t="inlineStr">
        <is>
          <t>HALLANDS LÄN</t>
        </is>
      </c>
      <c r="E1121" t="inlineStr">
        <is>
          <t>HYLTE</t>
        </is>
      </c>
      <c r="G1121" t="n">
        <v>1.7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17353-2021</t>
        </is>
      </c>
      <c r="B1122" s="1" t="n">
        <v>44298</v>
      </c>
      <c r="C1122" s="1" t="n">
        <v>45627</v>
      </c>
      <c r="D1122" t="inlineStr">
        <is>
          <t>HALLANDS LÄN</t>
        </is>
      </c>
      <c r="E1122" t="inlineStr">
        <is>
          <t>HALMSTAD</t>
        </is>
      </c>
      <c r="F1122" t="inlineStr">
        <is>
          <t>Kommuner</t>
        </is>
      </c>
      <c r="G1122" t="n">
        <v>1.5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17352-2021</t>
        </is>
      </c>
      <c r="B1123" s="1" t="n">
        <v>44298</v>
      </c>
      <c r="C1123" s="1" t="n">
        <v>45627</v>
      </c>
      <c r="D1123" t="inlineStr">
        <is>
          <t>HALLANDS LÄN</t>
        </is>
      </c>
      <c r="E1123" t="inlineStr">
        <is>
          <t>HALMSTAD</t>
        </is>
      </c>
      <c r="F1123" t="inlineStr">
        <is>
          <t>Kommuner</t>
        </is>
      </c>
      <c r="G1123" t="n">
        <v>3.3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17354-2021</t>
        </is>
      </c>
      <c r="B1124" s="1" t="n">
        <v>44298</v>
      </c>
      <c r="C1124" s="1" t="n">
        <v>45627</v>
      </c>
      <c r="D1124" t="inlineStr">
        <is>
          <t>HALLANDS LÄN</t>
        </is>
      </c>
      <c r="E1124" t="inlineStr">
        <is>
          <t>HALMSTAD</t>
        </is>
      </c>
      <c r="F1124" t="inlineStr">
        <is>
          <t>Kommuner</t>
        </is>
      </c>
      <c r="G1124" t="n">
        <v>2.1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17999-2021</t>
        </is>
      </c>
      <c r="B1125" s="1" t="n">
        <v>44301</v>
      </c>
      <c r="C1125" s="1" t="n">
        <v>45627</v>
      </c>
      <c r="D1125" t="inlineStr">
        <is>
          <t>HALLANDS LÄN</t>
        </is>
      </c>
      <c r="E1125" t="inlineStr">
        <is>
          <t>FALKENBERG</t>
        </is>
      </c>
      <c r="G1125" t="n">
        <v>0.9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18017-2021</t>
        </is>
      </c>
      <c r="B1126" s="1" t="n">
        <v>44302</v>
      </c>
      <c r="C1126" s="1" t="n">
        <v>45627</v>
      </c>
      <c r="D1126" t="inlineStr">
        <is>
          <t>HALLANDS LÄN</t>
        </is>
      </c>
      <c r="E1126" t="inlineStr">
        <is>
          <t>VARBERG</t>
        </is>
      </c>
      <c r="G1126" t="n">
        <v>2.4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18144-2021</t>
        </is>
      </c>
      <c r="B1127" s="1" t="n">
        <v>44302</v>
      </c>
      <c r="C1127" s="1" t="n">
        <v>45627</v>
      </c>
      <c r="D1127" t="inlineStr">
        <is>
          <t>HALLANDS LÄN</t>
        </is>
      </c>
      <c r="E1127" t="inlineStr">
        <is>
          <t>HYLTE</t>
        </is>
      </c>
      <c r="G1127" t="n">
        <v>2.8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18153-2021</t>
        </is>
      </c>
      <c r="B1128" s="1" t="n">
        <v>44302</v>
      </c>
      <c r="C1128" s="1" t="n">
        <v>45627</v>
      </c>
      <c r="D1128" t="inlineStr">
        <is>
          <t>HALLANDS LÄN</t>
        </is>
      </c>
      <c r="E1128" t="inlineStr">
        <is>
          <t>HYLTE</t>
        </is>
      </c>
      <c r="G1128" t="n">
        <v>5.3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18196-2021</t>
        </is>
      </c>
      <c r="B1129" s="1" t="n">
        <v>44302</v>
      </c>
      <c r="C1129" s="1" t="n">
        <v>45627</v>
      </c>
      <c r="D1129" t="inlineStr">
        <is>
          <t>HALLANDS LÄN</t>
        </is>
      </c>
      <c r="E1129" t="inlineStr">
        <is>
          <t>VARBERG</t>
        </is>
      </c>
      <c r="G1129" t="n">
        <v>9.6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18595-2021</t>
        </is>
      </c>
      <c r="B1130" s="1" t="n">
        <v>44306</v>
      </c>
      <c r="C1130" s="1" t="n">
        <v>45627</v>
      </c>
      <c r="D1130" t="inlineStr">
        <is>
          <t>HALLANDS LÄN</t>
        </is>
      </c>
      <c r="E1130" t="inlineStr">
        <is>
          <t>HYLTE</t>
        </is>
      </c>
      <c r="G1130" t="n">
        <v>2.1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18689-2021</t>
        </is>
      </c>
      <c r="B1131" s="1" t="n">
        <v>44307</v>
      </c>
      <c r="C1131" s="1" t="n">
        <v>45627</v>
      </c>
      <c r="D1131" t="inlineStr">
        <is>
          <t>HALLANDS LÄN</t>
        </is>
      </c>
      <c r="E1131" t="inlineStr">
        <is>
          <t>VARBERG</t>
        </is>
      </c>
      <c r="G1131" t="n">
        <v>1.4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18859-2021</t>
        </is>
      </c>
      <c r="B1132" s="1" t="n">
        <v>44307</v>
      </c>
      <c r="C1132" s="1" t="n">
        <v>45627</v>
      </c>
      <c r="D1132" t="inlineStr">
        <is>
          <t>HALLANDS LÄN</t>
        </is>
      </c>
      <c r="E1132" t="inlineStr">
        <is>
          <t>VARBERG</t>
        </is>
      </c>
      <c r="G1132" t="n">
        <v>1.5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18778-2021</t>
        </is>
      </c>
      <c r="B1133" s="1" t="n">
        <v>44307</v>
      </c>
      <c r="C1133" s="1" t="n">
        <v>45627</v>
      </c>
      <c r="D1133" t="inlineStr">
        <is>
          <t>HALLANDS LÄN</t>
        </is>
      </c>
      <c r="E1133" t="inlineStr">
        <is>
          <t>HYLTE</t>
        </is>
      </c>
      <c r="G1133" t="n">
        <v>5.7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18967-2021</t>
        </is>
      </c>
      <c r="B1134" s="1" t="n">
        <v>44308</v>
      </c>
      <c r="C1134" s="1" t="n">
        <v>45627</v>
      </c>
      <c r="D1134" t="inlineStr">
        <is>
          <t>HALLANDS LÄN</t>
        </is>
      </c>
      <c r="E1134" t="inlineStr">
        <is>
          <t>HALMSTAD</t>
        </is>
      </c>
      <c r="G1134" t="n">
        <v>1.6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19027-2021</t>
        </is>
      </c>
      <c r="B1135" s="1" t="n">
        <v>44308</v>
      </c>
      <c r="C1135" s="1" t="n">
        <v>45627</v>
      </c>
      <c r="D1135" t="inlineStr">
        <is>
          <t>HALLANDS LÄN</t>
        </is>
      </c>
      <c r="E1135" t="inlineStr">
        <is>
          <t>KUNGSBACKA</t>
        </is>
      </c>
      <c r="G1135" t="n">
        <v>3.1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19198-2021</t>
        </is>
      </c>
      <c r="B1136" s="1" t="n">
        <v>44308</v>
      </c>
      <c r="C1136" s="1" t="n">
        <v>45627</v>
      </c>
      <c r="D1136" t="inlineStr">
        <is>
          <t>HALLANDS LÄN</t>
        </is>
      </c>
      <c r="E1136" t="inlineStr">
        <is>
          <t>VARBERG</t>
        </is>
      </c>
      <c r="G1136" t="n">
        <v>1.8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19306-2021</t>
        </is>
      </c>
      <c r="B1137" s="1" t="n">
        <v>44309</v>
      </c>
      <c r="C1137" s="1" t="n">
        <v>45627</v>
      </c>
      <c r="D1137" t="inlineStr">
        <is>
          <t>HALLANDS LÄN</t>
        </is>
      </c>
      <c r="E1137" t="inlineStr">
        <is>
          <t>FALKENBERG</t>
        </is>
      </c>
      <c r="G1137" t="n">
        <v>1.5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19296-2021</t>
        </is>
      </c>
      <c r="B1138" s="1" t="n">
        <v>44309</v>
      </c>
      <c r="C1138" s="1" t="n">
        <v>45627</v>
      </c>
      <c r="D1138" t="inlineStr">
        <is>
          <t>HALLANDS LÄN</t>
        </is>
      </c>
      <c r="E1138" t="inlineStr">
        <is>
          <t>HALMSTAD</t>
        </is>
      </c>
      <c r="G1138" t="n">
        <v>1.3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19885-2021</t>
        </is>
      </c>
      <c r="B1139" s="1" t="n">
        <v>44312</v>
      </c>
      <c r="C1139" s="1" t="n">
        <v>45627</v>
      </c>
      <c r="D1139" t="inlineStr">
        <is>
          <t>HALLANDS LÄN</t>
        </is>
      </c>
      <c r="E1139" t="inlineStr">
        <is>
          <t>LAHOLM</t>
        </is>
      </c>
      <c r="F1139" t="inlineStr">
        <is>
          <t>Kyrkan</t>
        </is>
      </c>
      <c r="G1139" t="n">
        <v>1.9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19653-2021</t>
        </is>
      </c>
      <c r="B1140" s="1" t="n">
        <v>44312</v>
      </c>
      <c r="C1140" s="1" t="n">
        <v>45627</v>
      </c>
      <c r="D1140" t="inlineStr">
        <is>
          <t>HALLANDS LÄN</t>
        </is>
      </c>
      <c r="E1140" t="inlineStr">
        <is>
          <t>HALMSTAD</t>
        </is>
      </c>
      <c r="G1140" t="n">
        <v>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19735-2021</t>
        </is>
      </c>
      <c r="B1141" s="1" t="n">
        <v>44313</v>
      </c>
      <c r="C1141" s="1" t="n">
        <v>45627</v>
      </c>
      <c r="D1141" t="inlineStr">
        <is>
          <t>HALLANDS LÄN</t>
        </is>
      </c>
      <c r="E1141" t="inlineStr">
        <is>
          <t>FALKENBERG</t>
        </is>
      </c>
      <c r="G1141" t="n">
        <v>0.8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19938-2021</t>
        </is>
      </c>
      <c r="B1142" s="1" t="n">
        <v>44313</v>
      </c>
      <c r="C1142" s="1" t="n">
        <v>45627</v>
      </c>
      <c r="D1142" t="inlineStr">
        <is>
          <t>HALLANDS LÄN</t>
        </is>
      </c>
      <c r="E1142" t="inlineStr">
        <is>
          <t>LAHOLM</t>
        </is>
      </c>
      <c r="G1142" t="n">
        <v>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19936-2021</t>
        </is>
      </c>
      <c r="B1143" s="1" t="n">
        <v>44313</v>
      </c>
      <c r="C1143" s="1" t="n">
        <v>45627</v>
      </c>
      <c r="D1143" t="inlineStr">
        <is>
          <t>HALLANDS LÄN</t>
        </is>
      </c>
      <c r="E1143" t="inlineStr">
        <is>
          <t>LAHOLM</t>
        </is>
      </c>
      <c r="G1143" t="n">
        <v>0.5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20489-2021</t>
        </is>
      </c>
      <c r="B1144" s="1" t="n">
        <v>44313</v>
      </c>
      <c r="C1144" s="1" t="n">
        <v>45627</v>
      </c>
      <c r="D1144" t="inlineStr">
        <is>
          <t>HALLANDS LÄN</t>
        </is>
      </c>
      <c r="E1144" t="inlineStr">
        <is>
          <t>FALKENBERG</t>
        </is>
      </c>
      <c r="G1144" t="n">
        <v>6.2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20486-2021</t>
        </is>
      </c>
      <c r="B1145" s="1" t="n">
        <v>44313</v>
      </c>
      <c r="C1145" s="1" t="n">
        <v>45627</v>
      </c>
      <c r="D1145" t="inlineStr">
        <is>
          <t>HALLANDS LÄN</t>
        </is>
      </c>
      <c r="E1145" t="inlineStr">
        <is>
          <t>FALKENBERG</t>
        </is>
      </c>
      <c r="G1145" t="n">
        <v>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20027-2021</t>
        </is>
      </c>
      <c r="B1146" s="1" t="n">
        <v>44314</v>
      </c>
      <c r="C1146" s="1" t="n">
        <v>45627</v>
      </c>
      <c r="D1146" t="inlineStr">
        <is>
          <t>HALLANDS LÄN</t>
        </is>
      </c>
      <c r="E1146" t="inlineStr">
        <is>
          <t>VARBERG</t>
        </is>
      </c>
      <c r="G1146" t="n">
        <v>3.2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20043-2021</t>
        </is>
      </c>
      <c r="B1147" s="1" t="n">
        <v>44314</v>
      </c>
      <c r="C1147" s="1" t="n">
        <v>45627</v>
      </c>
      <c r="D1147" t="inlineStr">
        <is>
          <t>HALLANDS LÄN</t>
        </is>
      </c>
      <c r="E1147" t="inlineStr">
        <is>
          <t>HALMSTAD</t>
        </is>
      </c>
      <c r="G1147" t="n">
        <v>0.5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20025-2021</t>
        </is>
      </c>
      <c r="B1148" s="1" t="n">
        <v>44314</v>
      </c>
      <c r="C1148" s="1" t="n">
        <v>45627</v>
      </c>
      <c r="D1148" t="inlineStr">
        <is>
          <t>HALLANDS LÄN</t>
        </is>
      </c>
      <c r="E1148" t="inlineStr">
        <is>
          <t>VARBERG</t>
        </is>
      </c>
      <c r="G1148" t="n">
        <v>5.8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20117-2021</t>
        </is>
      </c>
      <c r="B1149" s="1" t="n">
        <v>44314</v>
      </c>
      <c r="C1149" s="1" t="n">
        <v>45627</v>
      </c>
      <c r="D1149" t="inlineStr">
        <is>
          <t>HALLANDS LÄN</t>
        </is>
      </c>
      <c r="E1149" t="inlineStr">
        <is>
          <t>FALKENBERG</t>
        </is>
      </c>
      <c r="G1149" t="n">
        <v>12.9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20396-2021</t>
        </is>
      </c>
      <c r="B1150" s="1" t="n">
        <v>44315</v>
      </c>
      <c r="C1150" s="1" t="n">
        <v>45627</v>
      </c>
      <c r="D1150" t="inlineStr">
        <is>
          <t>HALLANDS LÄN</t>
        </is>
      </c>
      <c r="E1150" t="inlineStr">
        <is>
          <t>VARBERG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20400-2021</t>
        </is>
      </c>
      <c r="B1151" s="1" t="n">
        <v>44315</v>
      </c>
      <c r="C1151" s="1" t="n">
        <v>45627</v>
      </c>
      <c r="D1151" t="inlineStr">
        <is>
          <t>HALLANDS LÄN</t>
        </is>
      </c>
      <c r="E1151" t="inlineStr">
        <is>
          <t>HALMSTAD</t>
        </is>
      </c>
      <c r="G1151" t="n">
        <v>1.9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20588-2021</t>
        </is>
      </c>
      <c r="B1152" s="1" t="n">
        <v>44316</v>
      </c>
      <c r="C1152" s="1" t="n">
        <v>45627</v>
      </c>
      <c r="D1152" t="inlineStr">
        <is>
          <t>HALLANDS LÄN</t>
        </is>
      </c>
      <c r="E1152" t="inlineStr">
        <is>
          <t>HALMSTAD</t>
        </is>
      </c>
      <c r="G1152" t="n">
        <v>2.9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20591-2021</t>
        </is>
      </c>
      <c r="B1153" s="1" t="n">
        <v>44316</v>
      </c>
      <c r="C1153" s="1" t="n">
        <v>45627</v>
      </c>
      <c r="D1153" t="inlineStr">
        <is>
          <t>HALLANDS LÄN</t>
        </is>
      </c>
      <c r="E1153" t="inlineStr">
        <is>
          <t>HALMSTAD</t>
        </is>
      </c>
      <c r="G1153" t="n">
        <v>3.9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20826-2021</t>
        </is>
      </c>
      <c r="B1154" s="1" t="n">
        <v>44318</v>
      </c>
      <c r="C1154" s="1" t="n">
        <v>45627</v>
      </c>
      <c r="D1154" t="inlineStr">
        <is>
          <t>HALLANDS LÄN</t>
        </is>
      </c>
      <c r="E1154" t="inlineStr">
        <is>
          <t>HALMSTAD</t>
        </is>
      </c>
      <c r="G1154" t="n">
        <v>3.6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20989-2021</t>
        </is>
      </c>
      <c r="B1155" s="1" t="n">
        <v>44319</v>
      </c>
      <c r="C1155" s="1" t="n">
        <v>45627</v>
      </c>
      <c r="D1155" t="inlineStr">
        <is>
          <t>HALLANDS LÄN</t>
        </is>
      </c>
      <c r="E1155" t="inlineStr">
        <is>
          <t>LAHOLM</t>
        </is>
      </c>
      <c r="G1155" t="n">
        <v>2.3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20987-2021</t>
        </is>
      </c>
      <c r="B1156" s="1" t="n">
        <v>44319</v>
      </c>
      <c r="C1156" s="1" t="n">
        <v>45627</v>
      </c>
      <c r="D1156" t="inlineStr">
        <is>
          <t>HALLANDS LÄN</t>
        </is>
      </c>
      <c r="E1156" t="inlineStr">
        <is>
          <t>LAHOLM</t>
        </is>
      </c>
      <c r="G1156" t="n">
        <v>2.1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21152-2021</t>
        </is>
      </c>
      <c r="B1157" s="1" t="n">
        <v>44320</v>
      </c>
      <c r="C1157" s="1" t="n">
        <v>45627</v>
      </c>
      <c r="D1157" t="inlineStr">
        <is>
          <t>HALLANDS LÄN</t>
        </is>
      </c>
      <c r="E1157" t="inlineStr">
        <is>
          <t>FALKENBERG</t>
        </is>
      </c>
      <c r="G1157" t="n">
        <v>4.3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21133-2021</t>
        </is>
      </c>
      <c r="B1158" s="1" t="n">
        <v>44320</v>
      </c>
      <c r="C1158" s="1" t="n">
        <v>45627</v>
      </c>
      <c r="D1158" t="inlineStr">
        <is>
          <t>HALLANDS LÄN</t>
        </is>
      </c>
      <c r="E1158" t="inlineStr">
        <is>
          <t>FALKENBERG</t>
        </is>
      </c>
      <c r="G1158" t="n">
        <v>5.1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21325-2021</t>
        </is>
      </c>
      <c r="B1159" s="1" t="n">
        <v>44320</v>
      </c>
      <c r="C1159" s="1" t="n">
        <v>45627</v>
      </c>
      <c r="D1159" t="inlineStr">
        <is>
          <t>HALLANDS LÄN</t>
        </is>
      </c>
      <c r="E1159" t="inlineStr">
        <is>
          <t>VARBERG</t>
        </is>
      </c>
      <c r="G1159" t="n">
        <v>1.3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21453-2021</t>
        </is>
      </c>
      <c r="B1160" s="1" t="n">
        <v>44321</v>
      </c>
      <c r="C1160" s="1" t="n">
        <v>45627</v>
      </c>
      <c r="D1160" t="inlineStr">
        <is>
          <t>HALLANDS LÄN</t>
        </is>
      </c>
      <c r="E1160" t="inlineStr">
        <is>
          <t>HYLTE</t>
        </is>
      </c>
      <c r="G1160" t="n">
        <v>0.7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21457-2021</t>
        </is>
      </c>
      <c r="B1161" s="1" t="n">
        <v>44321</v>
      </c>
      <c r="C1161" s="1" t="n">
        <v>45627</v>
      </c>
      <c r="D1161" t="inlineStr">
        <is>
          <t>HALLANDS LÄN</t>
        </is>
      </c>
      <c r="E1161" t="inlineStr">
        <is>
          <t>HALMSTAD</t>
        </is>
      </c>
      <c r="G1161" t="n">
        <v>0.6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22424-2021</t>
        </is>
      </c>
      <c r="B1162" s="1" t="n">
        <v>44322</v>
      </c>
      <c r="C1162" s="1" t="n">
        <v>45627</v>
      </c>
      <c r="D1162" t="inlineStr">
        <is>
          <t>HALLANDS LÄN</t>
        </is>
      </c>
      <c r="E1162" t="inlineStr">
        <is>
          <t>HYLTE</t>
        </is>
      </c>
      <c r="G1162" t="n">
        <v>1.7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22809-2021</t>
        </is>
      </c>
      <c r="B1163" s="1" t="n">
        <v>44322</v>
      </c>
      <c r="C1163" s="1" t="n">
        <v>45627</v>
      </c>
      <c r="D1163" t="inlineStr">
        <is>
          <t>HALLANDS LÄN</t>
        </is>
      </c>
      <c r="E1163" t="inlineStr">
        <is>
          <t>HYLTE</t>
        </is>
      </c>
      <c r="G1163" t="n">
        <v>2.1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22034-2021</t>
        </is>
      </c>
      <c r="B1164" s="1" t="n">
        <v>44323</v>
      </c>
      <c r="C1164" s="1" t="n">
        <v>45627</v>
      </c>
      <c r="D1164" t="inlineStr">
        <is>
          <t>HALLANDS LÄN</t>
        </is>
      </c>
      <c r="E1164" t="inlineStr">
        <is>
          <t>HYLTE</t>
        </is>
      </c>
      <c r="G1164" t="n">
        <v>1.7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22251-2021</t>
        </is>
      </c>
      <c r="B1165" s="1" t="n">
        <v>44326</v>
      </c>
      <c r="C1165" s="1" t="n">
        <v>45627</v>
      </c>
      <c r="D1165" t="inlineStr">
        <is>
          <t>HALLANDS LÄN</t>
        </is>
      </c>
      <c r="E1165" t="inlineStr">
        <is>
          <t>FALKENBERG</t>
        </is>
      </c>
      <c r="G1165" t="n">
        <v>1.9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22385-2021</t>
        </is>
      </c>
      <c r="B1166" s="1" t="n">
        <v>44326</v>
      </c>
      <c r="C1166" s="1" t="n">
        <v>45627</v>
      </c>
      <c r="D1166" t="inlineStr">
        <is>
          <t>HALLANDS LÄN</t>
        </is>
      </c>
      <c r="E1166" t="inlineStr">
        <is>
          <t>VARBERG</t>
        </is>
      </c>
      <c r="G1166" t="n">
        <v>2.6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22594-2021</t>
        </is>
      </c>
      <c r="B1167" s="1" t="n">
        <v>44327</v>
      </c>
      <c r="C1167" s="1" t="n">
        <v>45627</v>
      </c>
      <c r="D1167" t="inlineStr">
        <is>
          <t>HALLANDS LÄN</t>
        </is>
      </c>
      <c r="E1167" t="inlineStr">
        <is>
          <t>FALKENBERG</t>
        </is>
      </c>
      <c r="G1167" t="n">
        <v>1.6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23148-2021</t>
        </is>
      </c>
      <c r="B1168" s="1" t="n">
        <v>44331</v>
      </c>
      <c r="C1168" s="1" t="n">
        <v>45627</v>
      </c>
      <c r="D1168" t="inlineStr">
        <is>
          <t>HALLANDS LÄN</t>
        </is>
      </c>
      <c r="E1168" t="inlineStr">
        <is>
          <t>LAHOLM</t>
        </is>
      </c>
      <c r="G1168" t="n">
        <v>2.7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23165-2021</t>
        </is>
      </c>
      <c r="B1169" s="1" t="n">
        <v>44332</v>
      </c>
      <c r="C1169" s="1" t="n">
        <v>45627</v>
      </c>
      <c r="D1169" t="inlineStr">
        <is>
          <t>HALLANDS LÄN</t>
        </is>
      </c>
      <c r="E1169" t="inlineStr">
        <is>
          <t>HYLTE</t>
        </is>
      </c>
      <c r="G1169" t="n">
        <v>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23407-2021</t>
        </is>
      </c>
      <c r="B1170" s="1" t="n">
        <v>44333</v>
      </c>
      <c r="C1170" s="1" t="n">
        <v>45627</v>
      </c>
      <c r="D1170" t="inlineStr">
        <is>
          <t>HALLANDS LÄN</t>
        </is>
      </c>
      <c r="E1170" t="inlineStr">
        <is>
          <t>HYLTE</t>
        </is>
      </c>
      <c r="G1170" t="n">
        <v>1.3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23447-2021</t>
        </is>
      </c>
      <c r="B1171" s="1" t="n">
        <v>44333</v>
      </c>
      <c r="C1171" s="1" t="n">
        <v>45627</v>
      </c>
      <c r="D1171" t="inlineStr">
        <is>
          <t>HALLANDS LÄN</t>
        </is>
      </c>
      <c r="E1171" t="inlineStr">
        <is>
          <t>FALKENBERG</t>
        </is>
      </c>
      <c r="G1171" t="n">
        <v>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23206-2021</t>
        </is>
      </c>
      <c r="B1172" s="1" t="n">
        <v>44333</v>
      </c>
      <c r="C1172" s="1" t="n">
        <v>45627</v>
      </c>
      <c r="D1172" t="inlineStr">
        <is>
          <t>HALLANDS LÄN</t>
        </is>
      </c>
      <c r="E1172" t="inlineStr">
        <is>
          <t>HALMSTAD</t>
        </is>
      </c>
      <c r="G1172" t="n">
        <v>1.6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23409-2021</t>
        </is>
      </c>
      <c r="B1173" s="1" t="n">
        <v>44333</v>
      </c>
      <c r="C1173" s="1" t="n">
        <v>45627</v>
      </c>
      <c r="D1173" t="inlineStr">
        <is>
          <t>HALLANDS LÄN</t>
        </is>
      </c>
      <c r="E1173" t="inlineStr">
        <is>
          <t>LAHOLM</t>
        </is>
      </c>
      <c r="G1173" t="n">
        <v>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23651-2021</t>
        </is>
      </c>
      <c r="B1174" s="1" t="n">
        <v>44334</v>
      </c>
      <c r="C1174" s="1" t="n">
        <v>45627</v>
      </c>
      <c r="D1174" t="inlineStr">
        <is>
          <t>HALLANDS LÄN</t>
        </is>
      </c>
      <c r="E1174" t="inlineStr">
        <is>
          <t>FALKENBERG</t>
        </is>
      </c>
      <c r="G1174" t="n">
        <v>3.7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23782-2021</t>
        </is>
      </c>
      <c r="B1175" s="1" t="n">
        <v>44335</v>
      </c>
      <c r="C1175" s="1" t="n">
        <v>45627</v>
      </c>
      <c r="D1175" t="inlineStr">
        <is>
          <t>HALLANDS LÄN</t>
        </is>
      </c>
      <c r="E1175" t="inlineStr">
        <is>
          <t>FALKENBERG</t>
        </is>
      </c>
      <c r="G1175" t="n">
        <v>1.2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23781-2021</t>
        </is>
      </c>
      <c r="B1176" s="1" t="n">
        <v>44335</v>
      </c>
      <c r="C1176" s="1" t="n">
        <v>45627</v>
      </c>
      <c r="D1176" t="inlineStr">
        <is>
          <t>HALLANDS LÄN</t>
        </is>
      </c>
      <c r="E1176" t="inlineStr">
        <is>
          <t>FALKENBERG</t>
        </is>
      </c>
      <c r="G1176" t="n">
        <v>2.7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23780-2021</t>
        </is>
      </c>
      <c r="B1177" s="1" t="n">
        <v>44335</v>
      </c>
      <c r="C1177" s="1" t="n">
        <v>45627</v>
      </c>
      <c r="D1177" t="inlineStr">
        <is>
          <t>HALLANDS LÄN</t>
        </is>
      </c>
      <c r="E1177" t="inlineStr">
        <is>
          <t>FALKENBERG</t>
        </is>
      </c>
      <c r="G1177" t="n">
        <v>2.5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23922-2021</t>
        </is>
      </c>
      <c r="B1178" s="1" t="n">
        <v>44335</v>
      </c>
      <c r="C1178" s="1" t="n">
        <v>45627</v>
      </c>
      <c r="D1178" t="inlineStr">
        <is>
          <t>HALLANDS LÄN</t>
        </is>
      </c>
      <c r="E1178" t="inlineStr">
        <is>
          <t>HYLTE</t>
        </is>
      </c>
      <c r="G1178" t="n">
        <v>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23779-2021</t>
        </is>
      </c>
      <c r="B1179" s="1" t="n">
        <v>44335</v>
      </c>
      <c r="C1179" s="1" t="n">
        <v>45627</v>
      </c>
      <c r="D1179" t="inlineStr">
        <is>
          <t>HALLANDS LÄN</t>
        </is>
      </c>
      <c r="E1179" t="inlineStr">
        <is>
          <t>FALKENBERG</t>
        </is>
      </c>
      <c r="G1179" t="n">
        <v>1.9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23783-2021</t>
        </is>
      </c>
      <c r="B1180" s="1" t="n">
        <v>44335</v>
      </c>
      <c r="C1180" s="1" t="n">
        <v>45627</v>
      </c>
      <c r="D1180" t="inlineStr">
        <is>
          <t>HALLANDS LÄN</t>
        </is>
      </c>
      <c r="E1180" t="inlineStr">
        <is>
          <t>FALKENBERG</t>
        </is>
      </c>
      <c r="G1180" t="n">
        <v>1.2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23858-2021</t>
        </is>
      </c>
      <c r="B1181" s="1" t="n">
        <v>44335</v>
      </c>
      <c r="C1181" s="1" t="n">
        <v>45627</v>
      </c>
      <c r="D1181" t="inlineStr">
        <is>
          <t>HALLANDS LÄN</t>
        </is>
      </c>
      <c r="E1181" t="inlineStr">
        <is>
          <t>HYLTE</t>
        </is>
      </c>
      <c r="G1181" t="n">
        <v>1.3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24185-2021</t>
        </is>
      </c>
      <c r="B1182" s="1" t="n">
        <v>44336</v>
      </c>
      <c r="C1182" s="1" t="n">
        <v>45627</v>
      </c>
      <c r="D1182" t="inlineStr">
        <is>
          <t>HALLANDS LÄN</t>
        </is>
      </c>
      <c r="E1182" t="inlineStr">
        <is>
          <t>HYLTE</t>
        </is>
      </c>
      <c r="G1182" t="n">
        <v>1.1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24020-2021</t>
        </is>
      </c>
      <c r="B1183" s="1" t="n">
        <v>44336</v>
      </c>
      <c r="C1183" s="1" t="n">
        <v>45627</v>
      </c>
      <c r="D1183" t="inlineStr">
        <is>
          <t>HALLANDS LÄN</t>
        </is>
      </c>
      <c r="E1183" t="inlineStr">
        <is>
          <t>HYLTE</t>
        </is>
      </c>
      <c r="G1183" t="n">
        <v>0.6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24170-2021</t>
        </is>
      </c>
      <c r="B1184" s="1" t="n">
        <v>44336</v>
      </c>
      <c r="C1184" s="1" t="n">
        <v>45627</v>
      </c>
      <c r="D1184" t="inlineStr">
        <is>
          <t>HALLANDS LÄN</t>
        </is>
      </c>
      <c r="E1184" t="inlineStr">
        <is>
          <t>HYLTE</t>
        </is>
      </c>
      <c r="G1184" t="n">
        <v>2.5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24191-2021</t>
        </is>
      </c>
      <c r="B1185" s="1" t="n">
        <v>44336</v>
      </c>
      <c r="C1185" s="1" t="n">
        <v>45627</v>
      </c>
      <c r="D1185" t="inlineStr">
        <is>
          <t>HALLANDS LÄN</t>
        </is>
      </c>
      <c r="E1185" t="inlineStr">
        <is>
          <t>HYLTE</t>
        </is>
      </c>
      <c r="G1185" t="n">
        <v>1.2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24305-2021</t>
        </is>
      </c>
      <c r="B1186" s="1" t="n">
        <v>44337</v>
      </c>
      <c r="C1186" s="1" t="n">
        <v>45627</v>
      </c>
      <c r="D1186" t="inlineStr">
        <is>
          <t>HALLANDS LÄN</t>
        </is>
      </c>
      <c r="E1186" t="inlineStr">
        <is>
          <t>LAHOLM</t>
        </is>
      </c>
      <c r="G1186" t="n">
        <v>0.6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24292-2021</t>
        </is>
      </c>
      <c r="B1187" s="1" t="n">
        <v>44337</v>
      </c>
      <c r="C1187" s="1" t="n">
        <v>45627</v>
      </c>
      <c r="D1187" t="inlineStr">
        <is>
          <t>HALLANDS LÄN</t>
        </is>
      </c>
      <c r="E1187" t="inlineStr">
        <is>
          <t>LAHOLM</t>
        </is>
      </c>
      <c r="G1187" t="n">
        <v>0.8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24724-2021</t>
        </is>
      </c>
      <c r="B1188" s="1" t="n">
        <v>44340</v>
      </c>
      <c r="C1188" s="1" t="n">
        <v>45627</v>
      </c>
      <c r="D1188" t="inlineStr">
        <is>
          <t>HALLANDS LÄN</t>
        </is>
      </c>
      <c r="E1188" t="inlineStr">
        <is>
          <t>HYLTE</t>
        </is>
      </c>
      <c r="G1188" t="n">
        <v>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24742-2021</t>
        </is>
      </c>
      <c r="B1189" s="1" t="n">
        <v>44340</v>
      </c>
      <c r="C1189" s="1" t="n">
        <v>45627</v>
      </c>
      <c r="D1189" t="inlineStr">
        <is>
          <t>HALLANDS LÄN</t>
        </is>
      </c>
      <c r="E1189" t="inlineStr">
        <is>
          <t>FALKENBERG</t>
        </is>
      </c>
      <c r="F1189" t="inlineStr">
        <is>
          <t>Kommuner</t>
        </is>
      </c>
      <c r="G1189" t="n">
        <v>0.8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24624-2021</t>
        </is>
      </c>
      <c r="B1190" s="1" t="n">
        <v>44340</v>
      </c>
      <c r="C1190" s="1" t="n">
        <v>45627</v>
      </c>
      <c r="D1190" t="inlineStr">
        <is>
          <t>HALLANDS LÄN</t>
        </is>
      </c>
      <c r="E1190" t="inlineStr">
        <is>
          <t>FALKENBERG</t>
        </is>
      </c>
      <c r="G1190" t="n">
        <v>2.5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24826-2021</t>
        </is>
      </c>
      <c r="B1191" s="1" t="n">
        <v>44340</v>
      </c>
      <c r="C1191" s="1" t="n">
        <v>45627</v>
      </c>
      <c r="D1191" t="inlineStr">
        <is>
          <t>HALLANDS LÄN</t>
        </is>
      </c>
      <c r="E1191" t="inlineStr">
        <is>
          <t>VARBERG</t>
        </is>
      </c>
      <c r="G1191" t="n">
        <v>2.1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24954-2021</t>
        </is>
      </c>
      <c r="B1192" s="1" t="n">
        <v>44341</v>
      </c>
      <c r="C1192" s="1" t="n">
        <v>45627</v>
      </c>
      <c r="D1192" t="inlineStr">
        <is>
          <t>HALLANDS LÄN</t>
        </is>
      </c>
      <c r="E1192" t="inlineStr">
        <is>
          <t>VARBERG</t>
        </is>
      </c>
      <c r="G1192" t="n">
        <v>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24969-2021</t>
        </is>
      </c>
      <c r="B1193" s="1" t="n">
        <v>44341</v>
      </c>
      <c r="C1193" s="1" t="n">
        <v>45627</v>
      </c>
      <c r="D1193" t="inlineStr">
        <is>
          <t>HALLANDS LÄN</t>
        </is>
      </c>
      <c r="E1193" t="inlineStr">
        <is>
          <t>HYLTE</t>
        </is>
      </c>
      <c r="G1193" t="n">
        <v>1.8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25289-2021</t>
        </is>
      </c>
      <c r="B1194" s="1" t="n">
        <v>44342</v>
      </c>
      <c r="C1194" s="1" t="n">
        <v>45627</v>
      </c>
      <c r="D1194" t="inlineStr">
        <is>
          <t>HALLANDS LÄN</t>
        </is>
      </c>
      <c r="E1194" t="inlineStr">
        <is>
          <t>LAHOLM</t>
        </is>
      </c>
      <c r="G1194" t="n">
        <v>1.7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25406-2021</t>
        </is>
      </c>
      <c r="B1195" s="1" t="n">
        <v>44342</v>
      </c>
      <c r="C1195" s="1" t="n">
        <v>45627</v>
      </c>
      <c r="D1195" t="inlineStr">
        <is>
          <t>HALLANDS LÄN</t>
        </is>
      </c>
      <c r="E1195" t="inlineStr">
        <is>
          <t>LAHOLM</t>
        </is>
      </c>
      <c r="G1195" t="n">
        <v>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25546-2021</t>
        </is>
      </c>
      <c r="B1196" s="1" t="n">
        <v>44343</v>
      </c>
      <c r="C1196" s="1" t="n">
        <v>45627</v>
      </c>
      <c r="D1196" t="inlineStr">
        <is>
          <t>HALLANDS LÄN</t>
        </is>
      </c>
      <c r="E1196" t="inlineStr">
        <is>
          <t>FALKENBERG</t>
        </is>
      </c>
      <c r="G1196" t="n">
        <v>10.1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25564-2021</t>
        </is>
      </c>
      <c r="B1197" s="1" t="n">
        <v>44343</v>
      </c>
      <c r="C1197" s="1" t="n">
        <v>45627</v>
      </c>
      <c r="D1197" t="inlineStr">
        <is>
          <t>HALLANDS LÄN</t>
        </is>
      </c>
      <c r="E1197" t="inlineStr">
        <is>
          <t>LAHOLM</t>
        </is>
      </c>
      <c r="G1197" t="n">
        <v>2.8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25601-2021</t>
        </is>
      </c>
      <c r="B1198" s="1" t="n">
        <v>44343</v>
      </c>
      <c r="C1198" s="1" t="n">
        <v>45627</v>
      </c>
      <c r="D1198" t="inlineStr">
        <is>
          <t>HALLANDS LÄN</t>
        </is>
      </c>
      <c r="E1198" t="inlineStr">
        <is>
          <t>LAHOLM</t>
        </is>
      </c>
      <c r="G1198" t="n">
        <v>0.6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25886-2021</t>
        </is>
      </c>
      <c r="B1199" s="1" t="n">
        <v>44344</v>
      </c>
      <c r="C1199" s="1" t="n">
        <v>45627</v>
      </c>
      <c r="D1199" t="inlineStr">
        <is>
          <t>HALLANDS LÄN</t>
        </is>
      </c>
      <c r="E1199" t="inlineStr">
        <is>
          <t>VARBERG</t>
        </is>
      </c>
      <c r="G1199" t="n">
        <v>2.9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26002-2021</t>
        </is>
      </c>
      <c r="B1200" s="1" t="n">
        <v>44344</v>
      </c>
      <c r="C1200" s="1" t="n">
        <v>45627</v>
      </c>
      <c r="D1200" t="inlineStr">
        <is>
          <t>HALLANDS LÄN</t>
        </is>
      </c>
      <c r="E1200" t="inlineStr">
        <is>
          <t>HALMSTAD</t>
        </is>
      </c>
      <c r="G1200" t="n">
        <v>6.7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26006-2021</t>
        </is>
      </c>
      <c r="B1201" s="1" t="n">
        <v>44344</v>
      </c>
      <c r="C1201" s="1" t="n">
        <v>45627</v>
      </c>
      <c r="D1201" t="inlineStr">
        <is>
          <t>HALLANDS LÄN</t>
        </is>
      </c>
      <c r="E1201" t="inlineStr">
        <is>
          <t>HALMSTAD</t>
        </is>
      </c>
      <c r="G1201" t="n">
        <v>0.7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26114-2021</t>
        </is>
      </c>
      <c r="B1202" s="1" t="n">
        <v>44345</v>
      </c>
      <c r="C1202" s="1" t="n">
        <v>45627</v>
      </c>
      <c r="D1202" t="inlineStr">
        <is>
          <t>HALLANDS LÄN</t>
        </is>
      </c>
      <c r="E1202" t="inlineStr">
        <is>
          <t>VARBERG</t>
        </is>
      </c>
      <c r="G1202" t="n">
        <v>2.6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26140-2021</t>
        </is>
      </c>
      <c r="B1203" s="1" t="n">
        <v>44346</v>
      </c>
      <c r="C1203" s="1" t="n">
        <v>45627</v>
      </c>
      <c r="D1203" t="inlineStr">
        <is>
          <t>HALLANDS LÄN</t>
        </is>
      </c>
      <c r="E1203" t="inlineStr">
        <is>
          <t>VARBERG</t>
        </is>
      </c>
      <c r="G1203" t="n">
        <v>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26273-2021</t>
        </is>
      </c>
      <c r="B1204" s="1" t="n">
        <v>44347</v>
      </c>
      <c r="C1204" s="1" t="n">
        <v>45627</v>
      </c>
      <c r="D1204" t="inlineStr">
        <is>
          <t>HALLANDS LÄN</t>
        </is>
      </c>
      <c r="E1204" t="inlineStr">
        <is>
          <t>HYLTE</t>
        </is>
      </c>
      <c r="G1204" t="n">
        <v>4.2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26166-2021</t>
        </is>
      </c>
      <c r="B1205" s="1" t="n">
        <v>44347</v>
      </c>
      <c r="C1205" s="1" t="n">
        <v>45627</v>
      </c>
      <c r="D1205" t="inlineStr">
        <is>
          <t>HALLANDS LÄN</t>
        </is>
      </c>
      <c r="E1205" t="inlineStr">
        <is>
          <t>VARBERG</t>
        </is>
      </c>
      <c r="G1205" t="n">
        <v>2.7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26275-2021</t>
        </is>
      </c>
      <c r="B1206" s="1" t="n">
        <v>44347</v>
      </c>
      <c r="C1206" s="1" t="n">
        <v>45627</v>
      </c>
      <c r="D1206" t="inlineStr">
        <is>
          <t>HALLANDS LÄN</t>
        </is>
      </c>
      <c r="E1206" t="inlineStr">
        <is>
          <t>HYLTE</t>
        </is>
      </c>
      <c r="G1206" t="n">
        <v>2.7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26446-2021</t>
        </is>
      </c>
      <c r="B1207" s="1" t="n">
        <v>44348</v>
      </c>
      <c r="C1207" s="1" t="n">
        <v>45627</v>
      </c>
      <c r="D1207" t="inlineStr">
        <is>
          <t>HALLANDS LÄN</t>
        </is>
      </c>
      <c r="E1207" t="inlineStr">
        <is>
          <t>LAHOLM</t>
        </is>
      </c>
      <c r="G1207" t="n">
        <v>0.4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26825-2021</t>
        </is>
      </c>
      <c r="B1208" s="1" t="n">
        <v>44349</v>
      </c>
      <c r="C1208" s="1" t="n">
        <v>45627</v>
      </c>
      <c r="D1208" t="inlineStr">
        <is>
          <t>HALLANDS LÄN</t>
        </is>
      </c>
      <c r="E1208" t="inlineStr">
        <is>
          <t>LAHOLM</t>
        </is>
      </c>
      <c r="G1208" t="n">
        <v>0.7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26684-2021</t>
        </is>
      </c>
      <c r="B1209" s="1" t="n">
        <v>44349</v>
      </c>
      <c r="C1209" s="1" t="n">
        <v>45627</v>
      </c>
      <c r="D1209" t="inlineStr">
        <is>
          <t>HALLANDS LÄN</t>
        </is>
      </c>
      <c r="E1209" t="inlineStr">
        <is>
          <t>VARBERG</t>
        </is>
      </c>
      <c r="G1209" t="n">
        <v>1.8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27285-2021</t>
        </is>
      </c>
      <c r="B1210" s="1" t="n">
        <v>44351</v>
      </c>
      <c r="C1210" s="1" t="n">
        <v>45627</v>
      </c>
      <c r="D1210" t="inlineStr">
        <is>
          <t>HALLANDS LÄN</t>
        </is>
      </c>
      <c r="E1210" t="inlineStr">
        <is>
          <t>VARBERG</t>
        </is>
      </c>
      <c r="G1210" t="n">
        <v>1.1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27471-2021</t>
        </is>
      </c>
      <c r="B1211" s="1" t="n">
        <v>44351</v>
      </c>
      <c r="C1211" s="1" t="n">
        <v>45627</v>
      </c>
      <c r="D1211" t="inlineStr">
        <is>
          <t>HALLANDS LÄN</t>
        </is>
      </c>
      <c r="E1211" t="inlineStr">
        <is>
          <t>FALKENBERG</t>
        </is>
      </c>
      <c r="G1211" t="n">
        <v>2.5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27442-2021</t>
        </is>
      </c>
      <c r="B1212" s="1" t="n">
        <v>44351</v>
      </c>
      <c r="C1212" s="1" t="n">
        <v>45627</v>
      </c>
      <c r="D1212" t="inlineStr">
        <is>
          <t>HALLANDS LÄN</t>
        </is>
      </c>
      <c r="E1212" t="inlineStr">
        <is>
          <t>FALKENBERG</t>
        </is>
      </c>
      <c r="G1212" t="n">
        <v>3.3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27625-2021</t>
        </is>
      </c>
      <c r="B1213" s="1" t="n">
        <v>44354</v>
      </c>
      <c r="C1213" s="1" t="n">
        <v>45627</v>
      </c>
      <c r="D1213" t="inlineStr">
        <is>
          <t>HALLANDS LÄN</t>
        </is>
      </c>
      <c r="E1213" t="inlineStr">
        <is>
          <t>HALMSTAD</t>
        </is>
      </c>
      <c r="G1213" t="n">
        <v>2.4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27669-2021</t>
        </is>
      </c>
      <c r="B1214" s="1" t="n">
        <v>44354</v>
      </c>
      <c r="C1214" s="1" t="n">
        <v>45627</v>
      </c>
      <c r="D1214" t="inlineStr">
        <is>
          <t>HALLANDS LÄN</t>
        </is>
      </c>
      <c r="E1214" t="inlineStr">
        <is>
          <t>HALMSTAD</t>
        </is>
      </c>
      <c r="G1214" t="n">
        <v>3.9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27607-2021</t>
        </is>
      </c>
      <c r="B1215" s="1" t="n">
        <v>44354</v>
      </c>
      <c r="C1215" s="1" t="n">
        <v>45627</v>
      </c>
      <c r="D1215" t="inlineStr">
        <is>
          <t>HALLANDS LÄN</t>
        </is>
      </c>
      <c r="E1215" t="inlineStr">
        <is>
          <t>VARBERG</t>
        </is>
      </c>
      <c r="G1215" t="n">
        <v>0.4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27710-2021</t>
        </is>
      </c>
      <c r="B1216" s="1" t="n">
        <v>44354</v>
      </c>
      <c r="C1216" s="1" t="n">
        <v>45627</v>
      </c>
      <c r="D1216" t="inlineStr">
        <is>
          <t>HALLANDS LÄN</t>
        </is>
      </c>
      <c r="E1216" t="inlineStr">
        <is>
          <t>FALKENBERG</t>
        </is>
      </c>
      <c r="G1216" t="n">
        <v>0.7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28118-2021</t>
        </is>
      </c>
      <c r="B1217" s="1" t="n">
        <v>44355</v>
      </c>
      <c r="C1217" s="1" t="n">
        <v>45627</v>
      </c>
      <c r="D1217" t="inlineStr">
        <is>
          <t>HALLANDS LÄN</t>
        </is>
      </c>
      <c r="E1217" t="inlineStr">
        <is>
          <t>KUNGSBACKA</t>
        </is>
      </c>
      <c r="G1217" t="n">
        <v>12.2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28495-2021</t>
        </is>
      </c>
      <c r="B1218" s="1" t="n">
        <v>44356</v>
      </c>
      <c r="C1218" s="1" t="n">
        <v>45627</v>
      </c>
      <c r="D1218" t="inlineStr">
        <is>
          <t>HALLANDS LÄN</t>
        </is>
      </c>
      <c r="E1218" t="inlineStr">
        <is>
          <t>HYLTE</t>
        </is>
      </c>
      <c r="G1218" t="n">
        <v>1.4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28506-2021</t>
        </is>
      </c>
      <c r="B1219" s="1" t="n">
        <v>44356</v>
      </c>
      <c r="C1219" s="1" t="n">
        <v>45627</v>
      </c>
      <c r="D1219" t="inlineStr">
        <is>
          <t>HALLANDS LÄN</t>
        </is>
      </c>
      <c r="E1219" t="inlineStr">
        <is>
          <t>HYLTE</t>
        </is>
      </c>
      <c r="G1219" t="n">
        <v>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28498-2021</t>
        </is>
      </c>
      <c r="B1220" s="1" t="n">
        <v>44356</v>
      </c>
      <c r="C1220" s="1" t="n">
        <v>45627</v>
      </c>
      <c r="D1220" t="inlineStr">
        <is>
          <t>HALLANDS LÄN</t>
        </is>
      </c>
      <c r="E1220" t="inlineStr">
        <is>
          <t>HYLTE</t>
        </is>
      </c>
      <c r="G1220" t="n">
        <v>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28513-2021</t>
        </is>
      </c>
      <c r="B1221" s="1" t="n">
        <v>44356</v>
      </c>
      <c r="C1221" s="1" t="n">
        <v>45627</v>
      </c>
      <c r="D1221" t="inlineStr">
        <is>
          <t>HALLANDS LÄN</t>
        </is>
      </c>
      <c r="E1221" t="inlineStr">
        <is>
          <t>HYLTE</t>
        </is>
      </c>
      <c r="G1221" t="n">
        <v>0.8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28508-2021</t>
        </is>
      </c>
      <c r="B1222" s="1" t="n">
        <v>44356</v>
      </c>
      <c r="C1222" s="1" t="n">
        <v>45627</v>
      </c>
      <c r="D1222" t="inlineStr">
        <is>
          <t>HALLANDS LÄN</t>
        </is>
      </c>
      <c r="E1222" t="inlineStr">
        <is>
          <t>HYLTE</t>
        </is>
      </c>
      <c r="G1222" t="n">
        <v>0.4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28507-2021</t>
        </is>
      </c>
      <c r="B1223" s="1" t="n">
        <v>44356</v>
      </c>
      <c r="C1223" s="1" t="n">
        <v>45627</v>
      </c>
      <c r="D1223" t="inlineStr">
        <is>
          <t>HALLANDS LÄN</t>
        </is>
      </c>
      <c r="E1223" t="inlineStr">
        <is>
          <t>HYLTE</t>
        </is>
      </c>
      <c r="G1223" t="n">
        <v>0.5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28687-2021</t>
        </is>
      </c>
      <c r="B1224" s="1" t="n">
        <v>44357</v>
      </c>
      <c r="C1224" s="1" t="n">
        <v>45627</v>
      </c>
      <c r="D1224" t="inlineStr">
        <is>
          <t>HALLANDS LÄN</t>
        </is>
      </c>
      <c r="E1224" t="inlineStr">
        <is>
          <t>HYLTE</t>
        </is>
      </c>
      <c r="G1224" t="n">
        <v>2.5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28920-2021</t>
        </is>
      </c>
      <c r="B1225" s="1" t="n">
        <v>44357</v>
      </c>
      <c r="C1225" s="1" t="n">
        <v>45627</v>
      </c>
      <c r="D1225" t="inlineStr">
        <is>
          <t>HALLANDS LÄN</t>
        </is>
      </c>
      <c r="E1225" t="inlineStr">
        <is>
          <t>FALKENBERG</t>
        </is>
      </c>
      <c r="F1225" t="inlineStr">
        <is>
          <t>Kyrkan</t>
        </is>
      </c>
      <c r="G1225" t="n">
        <v>0.7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28925-2021</t>
        </is>
      </c>
      <c r="B1226" s="1" t="n">
        <v>44357</v>
      </c>
      <c r="C1226" s="1" t="n">
        <v>45627</v>
      </c>
      <c r="D1226" t="inlineStr">
        <is>
          <t>HALLANDS LÄN</t>
        </is>
      </c>
      <c r="E1226" t="inlineStr">
        <is>
          <t>HYLTE</t>
        </is>
      </c>
      <c r="F1226" t="inlineStr">
        <is>
          <t>Kyrkan</t>
        </is>
      </c>
      <c r="G1226" t="n">
        <v>0.7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28974-2021</t>
        </is>
      </c>
      <c r="B1227" s="1" t="n">
        <v>44358</v>
      </c>
      <c r="C1227" s="1" t="n">
        <v>45627</v>
      </c>
      <c r="D1227" t="inlineStr">
        <is>
          <t>HALLANDS LÄN</t>
        </is>
      </c>
      <c r="E1227" t="inlineStr">
        <is>
          <t>VARBERG</t>
        </is>
      </c>
      <c r="G1227" t="n">
        <v>0.7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29429-2021</t>
        </is>
      </c>
      <c r="B1228" s="1" t="n">
        <v>44361</v>
      </c>
      <c r="C1228" s="1" t="n">
        <v>45627</v>
      </c>
      <c r="D1228" t="inlineStr">
        <is>
          <t>HALLANDS LÄN</t>
        </is>
      </c>
      <c r="E1228" t="inlineStr">
        <is>
          <t>VARBERG</t>
        </is>
      </c>
      <c r="G1228" t="n">
        <v>4.1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29786-2021</t>
        </is>
      </c>
      <c r="B1229" s="1" t="n">
        <v>44361</v>
      </c>
      <c r="C1229" s="1" t="n">
        <v>45627</v>
      </c>
      <c r="D1229" t="inlineStr">
        <is>
          <t>HALLANDS LÄN</t>
        </is>
      </c>
      <c r="E1229" t="inlineStr">
        <is>
          <t>VARBERG</t>
        </is>
      </c>
      <c r="F1229" t="inlineStr">
        <is>
          <t>Kyrkan</t>
        </is>
      </c>
      <c r="G1229" t="n">
        <v>8.699999999999999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29990-2021</t>
        </is>
      </c>
      <c r="B1230" s="1" t="n">
        <v>44363</v>
      </c>
      <c r="C1230" s="1" t="n">
        <v>45627</v>
      </c>
      <c r="D1230" t="inlineStr">
        <is>
          <t>HALLANDS LÄN</t>
        </is>
      </c>
      <c r="E1230" t="inlineStr">
        <is>
          <t>HYLTE</t>
        </is>
      </c>
      <c r="G1230" t="n">
        <v>0.6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29976-2021</t>
        </is>
      </c>
      <c r="B1231" s="1" t="n">
        <v>44363</v>
      </c>
      <c r="C1231" s="1" t="n">
        <v>45627</v>
      </c>
      <c r="D1231" t="inlineStr">
        <is>
          <t>HALLANDS LÄN</t>
        </is>
      </c>
      <c r="E1231" t="inlineStr">
        <is>
          <t>VARBERG</t>
        </is>
      </c>
      <c r="G1231" t="n">
        <v>0.6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30013-2021</t>
        </is>
      </c>
      <c r="B1232" s="1" t="n">
        <v>44363</v>
      </c>
      <c r="C1232" s="1" t="n">
        <v>45627</v>
      </c>
      <c r="D1232" t="inlineStr">
        <is>
          <t>HALLANDS LÄN</t>
        </is>
      </c>
      <c r="E1232" t="inlineStr">
        <is>
          <t>HYLTE</t>
        </is>
      </c>
      <c r="G1232" t="n">
        <v>4.7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30473-2021</t>
        </is>
      </c>
      <c r="B1233" s="1" t="n">
        <v>44364</v>
      </c>
      <c r="C1233" s="1" t="n">
        <v>45627</v>
      </c>
      <c r="D1233" t="inlineStr">
        <is>
          <t>HALLANDS LÄN</t>
        </is>
      </c>
      <c r="E1233" t="inlineStr">
        <is>
          <t>KUNGSBACKA</t>
        </is>
      </c>
      <c r="G1233" t="n">
        <v>2.7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30610-2021</t>
        </is>
      </c>
      <c r="B1234" s="1" t="n">
        <v>44365</v>
      </c>
      <c r="C1234" s="1" t="n">
        <v>45627</v>
      </c>
      <c r="D1234" t="inlineStr">
        <is>
          <t>HALLANDS LÄN</t>
        </is>
      </c>
      <c r="E1234" t="inlineStr">
        <is>
          <t>HALMSTAD</t>
        </is>
      </c>
      <c r="G1234" t="n">
        <v>0.4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30821-2021</t>
        </is>
      </c>
      <c r="B1235" s="1" t="n">
        <v>44365</v>
      </c>
      <c r="C1235" s="1" t="n">
        <v>45627</v>
      </c>
      <c r="D1235" t="inlineStr">
        <is>
          <t>HALLANDS LÄN</t>
        </is>
      </c>
      <c r="E1235" t="inlineStr">
        <is>
          <t>HYLTE</t>
        </is>
      </c>
      <c r="G1235" t="n">
        <v>3.5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30928-2021</t>
        </is>
      </c>
      <c r="B1236" s="1" t="n">
        <v>44365</v>
      </c>
      <c r="C1236" s="1" t="n">
        <v>45627</v>
      </c>
      <c r="D1236" t="inlineStr">
        <is>
          <t>HALLANDS LÄN</t>
        </is>
      </c>
      <c r="E1236" t="inlineStr">
        <is>
          <t>VARBERG</t>
        </is>
      </c>
      <c r="G1236" t="n">
        <v>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30926-2021</t>
        </is>
      </c>
      <c r="B1237" s="1" t="n">
        <v>44365</v>
      </c>
      <c r="C1237" s="1" t="n">
        <v>45627</v>
      </c>
      <c r="D1237" t="inlineStr">
        <is>
          <t>HALLANDS LÄN</t>
        </is>
      </c>
      <c r="E1237" t="inlineStr">
        <is>
          <t>VARBERG</t>
        </is>
      </c>
      <c r="G1237" t="n">
        <v>1.4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31087-2021</t>
        </is>
      </c>
      <c r="B1238" s="1" t="n">
        <v>44368</v>
      </c>
      <c r="C1238" s="1" t="n">
        <v>45627</v>
      </c>
      <c r="D1238" t="inlineStr">
        <is>
          <t>HALLANDS LÄN</t>
        </is>
      </c>
      <c r="E1238" t="inlineStr">
        <is>
          <t>VARBERG</t>
        </is>
      </c>
      <c r="G1238" t="n">
        <v>1.9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31246-2021</t>
        </is>
      </c>
      <c r="B1239" s="1" t="n">
        <v>44368</v>
      </c>
      <c r="C1239" s="1" t="n">
        <v>45627</v>
      </c>
      <c r="D1239" t="inlineStr">
        <is>
          <t>HALLANDS LÄN</t>
        </is>
      </c>
      <c r="E1239" t="inlineStr">
        <is>
          <t>KUNGSBACKA</t>
        </is>
      </c>
      <c r="G1239" t="n">
        <v>2.8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31381-2021</t>
        </is>
      </c>
      <c r="B1240" s="1" t="n">
        <v>44369</v>
      </c>
      <c r="C1240" s="1" t="n">
        <v>45627</v>
      </c>
      <c r="D1240" t="inlineStr">
        <is>
          <t>HALLANDS LÄN</t>
        </is>
      </c>
      <c r="E1240" t="inlineStr">
        <is>
          <t>HALMSTAD</t>
        </is>
      </c>
      <c r="G1240" t="n">
        <v>1.2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31919-2021</t>
        </is>
      </c>
      <c r="B1241" s="1" t="n">
        <v>44370</v>
      </c>
      <c r="C1241" s="1" t="n">
        <v>45627</v>
      </c>
      <c r="D1241" t="inlineStr">
        <is>
          <t>HALLANDS LÄN</t>
        </is>
      </c>
      <c r="E1241" t="inlineStr">
        <is>
          <t>VARBERG</t>
        </is>
      </c>
      <c r="G1241" t="n">
        <v>14.8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32069-2021</t>
        </is>
      </c>
      <c r="B1242" s="1" t="n">
        <v>44370</v>
      </c>
      <c r="C1242" s="1" t="n">
        <v>45627</v>
      </c>
      <c r="D1242" t="inlineStr">
        <is>
          <t>HALLANDS LÄN</t>
        </is>
      </c>
      <c r="E1242" t="inlineStr">
        <is>
          <t>HALMSTAD</t>
        </is>
      </c>
      <c r="G1242" t="n">
        <v>0.8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32235-2021</t>
        </is>
      </c>
      <c r="B1243" s="1" t="n">
        <v>44371</v>
      </c>
      <c r="C1243" s="1" t="n">
        <v>45627</v>
      </c>
      <c r="D1243" t="inlineStr">
        <is>
          <t>HALLANDS LÄN</t>
        </is>
      </c>
      <c r="E1243" t="inlineStr">
        <is>
          <t>VARBERG</t>
        </is>
      </c>
      <c r="G1243" t="n">
        <v>13.7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32300-2021</t>
        </is>
      </c>
      <c r="B1244" s="1" t="n">
        <v>44371</v>
      </c>
      <c r="C1244" s="1" t="n">
        <v>45627</v>
      </c>
      <c r="D1244" t="inlineStr">
        <is>
          <t>HALLANDS LÄN</t>
        </is>
      </c>
      <c r="E1244" t="inlineStr">
        <is>
          <t>HYLTE</t>
        </is>
      </c>
      <c r="G1244" t="n">
        <v>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32304-2021</t>
        </is>
      </c>
      <c r="B1245" s="1" t="n">
        <v>44371</v>
      </c>
      <c r="C1245" s="1" t="n">
        <v>45627</v>
      </c>
      <c r="D1245" t="inlineStr">
        <is>
          <t>HALLANDS LÄN</t>
        </is>
      </c>
      <c r="E1245" t="inlineStr">
        <is>
          <t>HYLTE</t>
        </is>
      </c>
      <c r="G1245" t="n">
        <v>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32352-2021</t>
        </is>
      </c>
      <c r="B1246" s="1" t="n">
        <v>44371</v>
      </c>
      <c r="C1246" s="1" t="n">
        <v>45627</v>
      </c>
      <c r="D1246" t="inlineStr">
        <is>
          <t>HALLANDS LÄN</t>
        </is>
      </c>
      <c r="E1246" t="inlineStr">
        <is>
          <t>VARBERG</t>
        </is>
      </c>
      <c r="G1246" t="n">
        <v>0.5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32367-2021</t>
        </is>
      </c>
      <c r="B1247" s="1" t="n">
        <v>44371</v>
      </c>
      <c r="C1247" s="1" t="n">
        <v>45627</v>
      </c>
      <c r="D1247" t="inlineStr">
        <is>
          <t>HALLANDS LÄN</t>
        </is>
      </c>
      <c r="E1247" t="inlineStr">
        <is>
          <t>HYLTE</t>
        </is>
      </c>
      <c r="G1247" t="n">
        <v>3.4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32501-2021</t>
        </is>
      </c>
      <c r="B1248" s="1" t="n">
        <v>44373</v>
      </c>
      <c r="C1248" s="1" t="n">
        <v>45627</v>
      </c>
      <c r="D1248" t="inlineStr">
        <is>
          <t>HALLANDS LÄN</t>
        </is>
      </c>
      <c r="E1248" t="inlineStr">
        <is>
          <t>HYLTE</t>
        </is>
      </c>
      <c r="G1248" t="n">
        <v>2.1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32499-2021</t>
        </is>
      </c>
      <c r="B1249" s="1" t="n">
        <v>44373</v>
      </c>
      <c r="C1249" s="1" t="n">
        <v>45627</v>
      </c>
      <c r="D1249" t="inlineStr">
        <is>
          <t>HALLANDS LÄN</t>
        </is>
      </c>
      <c r="E1249" t="inlineStr">
        <is>
          <t>HALMSTAD</t>
        </is>
      </c>
      <c r="G1249" t="n">
        <v>1.4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32550-2021</t>
        </is>
      </c>
      <c r="B1250" s="1" t="n">
        <v>44375</v>
      </c>
      <c r="C1250" s="1" t="n">
        <v>45627</v>
      </c>
      <c r="D1250" t="inlineStr">
        <is>
          <t>HALLANDS LÄN</t>
        </is>
      </c>
      <c r="E1250" t="inlineStr">
        <is>
          <t>HALMSTAD</t>
        </is>
      </c>
      <c r="G1250" t="n">
        <v>1.8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32852-2021</t>
        </is>
      </c>
      <c r="B1251" s="1" t="n">
        <v>44375</v>
      </c>
      <c r="C1251" s="1" t="n">
        <v>45627</v>
      </c>
      <c r="D1251" t="inlineStr">
        <is>
          <t>HALLANDS LÄN</t>
        </is>
      </c>
      <c r="E1251" t="inlineStr">
        <is>
          <t>HYLTE</t>
        </is>
      </c>
      <c r="G1251" t="n">
        <v>0.5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32930-2021</t>
        </is>
      </c>
      <c r="B1252" s="1" t="n">
        <v>44376</v>
      </c>
      <c r="C1252" s="1" t="n">
        <v>45627</v>
      </c>
      <c r="D1252" t="inlineStr">
        <is>
          <t>HALLANDS LÄN</t>
        </is>
      </c>
      <c r="E1252" t="inlineStr">
        <is>
          <t>VARBERG</t>
        </is>
      </c>
      <c r="G1252" t="n">
        <v>0.6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32931-2021</t>
        </is>
      </c>
      <c r="B1253" s="1" t="n">
        <v>44375</v>
      </c>
      <c r="C1253" s="1" t="n">
        <v>45627</v>
      </c>
      <c r="D1253" t="inlineStr">
        <is>
          <t>HALLANDS LÄN</t>
        </is>
      </c>
      <c r="E1253" t="inlineStr">
        <is>
          <t>HYLTE</t>
        </is>
      </c>
      <c r="G1253" t="n">
        <v>7.1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33029-2021</t>
        </is>
      </c>
      <c r="B1254" s="1" t="n">
        <v>44376</v>
      </c>
      <c r="C1254" s="1" t="n">
        <v>45627</v>
      </c>
      <c r="D1254" t="inlineStr">
        <is>
          <t>HALLANDS LÄN</t>
        </is>
      </c>
      <c r="E1254" t="inlineStr">
        <is>
          <t>VARBERG</t>
        </is>
      </c>
      <c r="F1254" t="inlineStr">
        <is>
          <t>Kyrkan</t>
        </is>
      </c>
      <c r="G1254" t="n">
        <v>3.6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33098-2021</t>
        </is>
      </c>
      <c r="B1255" s="1" t="n">
        <v>44376</v>
      </c>
      <c r="C1255" s="1" t="n">
        <v>45627</v>
      </c>
      <c r="D1255" t="inlineStr">
        <is>
          <t>HALLANDS LÄN</t>
        </is>
      </c>
      <c r="E1255" t="inlineStr">
        <is>
          <t>VARBERG</t>
        </is>
      </c>
      <c r="G1255" t="n">
        <v>2.5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33099-2021</t>
        </is>
      </c>
      <c r="B1256" s="1" t="n">
        <v>44376</v>
      </c>
      <c r="C1256" s="1" t="n">
        <v>45627</v>
      </c>
      <c r="D1256" t="inlineStr">
        <is>
          <t>HALLANDS LÄN</t>
        </is>
      </c>
      <c r="E1256" t="inlineStr">
        <is>
          <t>VARBERG</t>
        </is>
      </c>
      <c r="G1256" t="n">
        <v>0.7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33106-2021</t>
        </is>
      </c>
      <c r="B1257" s="1" t="n">
        <v>44376</v>
      </c>
      <c r="C1257" s="1" t="n">
        <v>45627</v>
      </c>
      <c r="D1257" t="inlineStr">
        <is>
          <t>HALLANDS LÄN</t>
        </is>
      </c>
      <c r="E1257" t="inlineStr">
        <is>
          <t>VARBERG</t>
        </is>
      </c>
      <c r="F1257" t="inlineStr">
        <is>
          <t>Kyrkan</t>
        </is>
      </c>
      <c r="G1257" t="n">
        <v>6.3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33011-2021</t>
        </is>
      </c>
      <c r="B1258" s="1" t="n">
        <v>44376</v>
      </c>
      <c r="C1258" s="1" t="n">
        <v>45627</v>
      </c>
      <c r="D1258" t="inlineStr">
        <is>
          <t>HALLANDS LÄN</t>
        </is>
      </c>
      <c r="E1258" t="inlineStr">
        <is>
          <t>HYLTE</t>
        </is>
      </c>
      <c r="G1258" t="n">
        <v>10.4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33335-2021</t>
        </is>
      </c>
      <c r="B1259" s="1" t="n">
        <v>44377</v>
      </c>
      <c r="C1259" s="1" t="n">
        <v>45627</v>
      </c>
      <c r="D1259" t="inlineStr">
        <is>
          <t>HALLANDS LÄN</t>
        </is>
      </c>
      <c r="E1259" t="inlineStr">
        <is>
          <t>FALKENBERG</t>
        </is>
      </c>
      <c r="G1259" t="n">
        <v>1.5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33535-2021</t>
        </is>
      </c>
      <c r="B1260" s="1" t="n">
        <v>44377</v>
      </c>
      <c r="C1260" s="1" t="n">
        <v>45627</v>
      </c>
      <c r="D1260" t="inlineStr">
        <is>
          <t>HALLANDS LÄN</t>
        </is>
      </c>
      <c r="E1260" t="inlineStr">
        <is>
          <t>KUNGSBACKA</t>
        </is>
      </c>
      <c r="G1260" t="n">
        <v>0.6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33482-2021</t>
        </is>
      </c>
      <c r="B1261" s="1" t="n">
        <v>44377</v>
      </c>
      <c r="C1261" s="1" t="n">
        <v>45627</v>
      </c>
      <c r="D1261" t="inlineStr">
        <is>
          <t>HALLANDS LÄN</t>
        </is>
      </c>
      <c r="E1261" t="inlineStr">
        <is>
          <t>VARBERG</t>
        </is>
      </c>
      <c r="G1261" t="n">
        <v>9.800000000000001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33715-2021</t>
        </is>
      </c>
      <c r="B1262" s="1" t="n">
        <v>44378</v>
      </c>
      <c r="C1262" s="1" t="n">
        <v>45627</v>
      </c>
      <c r="D1262" t="inlineStr">
        <is>
          <t>HALLANDS LÄN</t>
        </is>
      </c>
      <c r="E1262" t="inlineStr">
        <is>
          <t>KUNGSBACKA</t>
        </is>
      </c>
      <c r="G1262" t="n">
        <v>1.6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33952-2021</t>
        </is>
      </c>
      <c r="B1263" s="1" t="n">
        <v>44378</v>
      </c>
      <c r="C1263" s="1" t="n">
        <v>45627</v>
      </c>
      <c r="D1263" t="inlineStr">
        <is>
          <t>HALLANDS LÄN</t>
        </is>
      </c>
      <c r="E1263" t="inlineStr">
        <is>
          <t>HYLTE</t>
        </is>
      </c>
      <c r="G1263" t="n">
        <v>8.6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34008-2021</t>
        </is>
      </c>
      <c r="B1264" s="1" t="n">
        <v>44379</v>
      </c>
      <c r="C1264" s="1" t="n">
        <v>45627</v>
      </c>
      <c r="D1264" t="inlineStr">
        <is>
          <t>HALLANDS LÄN</t>
        </is>
      </c>
      <c r="E1264" t="inlineStr">
        <is>
          <t>FALKENBERG</t>
        </is>
      </c>
      <c r="G1264" t="n">
        <v>2.1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34010-2021</t>
        </is>
      </c>
      <c r="B1265" s="1" t="n">
        <v>44379</v>
      </c>
      <c r="C1265" s="1" t="n">
        <v>45627</v>
      </c>
      <c r="D1265" t="inlineStr">
        <is>
          <t>HALLANDS LÄN</t>
        </is>
      </c>
      <c r="E1265" t="inlineStr">
        <is>
          <t>FALKENBERG</t>
        </is>
      </c>
      <c r="G1265" t="n">
        <v>0.8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34239-2021</t>
        </is>
      </c>
      <c r="B1266" s="1" t="n">
        <v>44379</v>
      </c>
      <c r="C1266" s="1" t="n">
        <v>45627</v>
      </c>
      <c r="D1266" t="inlineStr">
        <is>
          <t>HALLANDS LÄN</t>
        </is>
      </c>
      <c r="E1266" t="inlineStr">
        <is>
          <t>FALKENBERG</t>
        </is>
      </c>
      <c r="G1266" t="n">
        <v>0.6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34356-2021</t>
        </is>
      </c>
      <c r="B1267" s="1" t="n">
        <v>44379</v>
      </c>
      <c r="C1267" s="1" t="n">
        <v>45627</v>
      </c>
      <c r="D1267" t="inlineStr">
        <is>
          <t>HALLANDS LÄN</t>
        </is>
      </c>
      <c r="E1267" t="inlineStr">
        <is>
          <t>VARBERG</t>
        </is>
      </c>
      <c r="G1267" t="n">
        <v>2.9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34445-2021</t>
        </is>
      </c>
      <c r="B1268" s="1" t="n">
        <v>44381</v>
      </c>
      <c r="C1268" s="1" t="n">
        <v>45627</v>
      </c>
      <c r="D1268" t="inlineStr">
        <is>
          <t>HALLANDS LÄN</t>
        </is>
      </c>
      <c r="E1268" t="inlineStr">
        <is>
          <t>FALKENBERG</t>
        </is>
      </c>
      <c r="G1268" t="n">
        <v>5.9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34446-2021</t>
        </is>
      </c>
      <c r="B1269" s="1" t="n">
        <v>44381</v>
      </c>
      <c r="C1269" s="1" t="n">
        <v>45627</v>
      </c>
      <c r="D1269" t="inlineStr">
        <is>
          <t>HALLANDS LÄN</t>
        </is>
      </c>
      <c r="E1269" t="inlineStr">
        <is>
          <t>FALKENBERG</t>
        </is>
      </c>
      <c r="G1269" t="n">
        <v>0.3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34939-2021</t>
        </is>
      </c>
      <c r="B1270" s="1" t="n">
        <v>44383</v>
      </c>
      <c r="C1270" s="1" t="n">
        <v>45627</v>
      </c>
      <c r="D1270" t="inlineStr">
        <is>
          <t>HALLANDS LÄN</t>
        </is>
      </c>
      <c r="E1270" t="inlineStr">
        <is>
          <t>KUNGSBACKA</t>
        </is>
      </c>
      <c r="G1270" t="n">
        <v>3.8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34974-2021</t>
        </is>
      </c>
      <c r="B1271" s="1" t="n">
        <v>44383</v>
      </c>
      <c r="C1271" s="1" t="n">
        <v>45627</v>
      </c>
      <c r="D1271" t="inlineStr">
        <is>
          <t>HALLANDS LÄN</t>
        </is>
      </c>
      <c r="E1271" t="inlineStr">
        <is>
          <t>VARBERG</t>
        </is>
      </c>
      <c r="G1271" t="n">
        <v>1.5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35102-2021</t>
        </is>
      </c>
      <c r="B1272" s="1" t="n">
        <v>44384</v>
      </c>
      <c r="C1272" s="1" t="n">
        <v>45627</v>
      </c>
      <c r="D1272" t="inlineStr">
        <is>
          <t>HALLANDS LÄN</t>
        </is>
      </c>
      <c r="E1272" t="inlineStr">
        <is>
          <t>HYLTE</t>
        </is>
      </c>
      <c r="G1272" t="n">
        <v>0.8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35215-2021</t>
        </is>
      </c>
      <c r="B1273" s="1" t="n">
        <v>44384</v>
      </c>
      <c r="C1273" s="1" t="n">
        <v>45627</v>
      </c>
      <c r="D1273" t="inlineStr">
        <is>
          <t>HALLANDS LÄN</t>
        </is>
      </c>
      <c r="E1273" t="inlineStr">
        <is>
          <t>LAHOLM</t>
        </is>
      </c>
      <c r="G1273" t="n">
        <v>3.2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35327-2021</t>
        </is>
      </c>
      <c r="B1274" s="1" t="n">
        <v>44384</v>
      </c>
      <c r="C1274" s="1" t="n">
        <v>45627</v>
      </c>
      <c r="D1274" t="inlineStr">
        <is>
          <t>HALLANDS LÄN</t>
        </is>
      </c>
      <c r="E1274" t="inlineStr">
        <is>
          <t>HYLTE</t>
        </is>
      </c>
      <c r="G1274" t="n">
        <v>0.8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35452-2021</t>
        </is>
      </c>
      <c r="B1275" s="1" t="n">
        <v>44384</v>
      </c>
      <c r="C1275" s="1" t="n">
        <v>45627</v>
      </c>
      <c r="D1275" t="inlineStr">
        <is>
          <t>HALLANDS LÄN</t>
        </is>
      </c>
      <c r="E1275" t="inlineStr">
        <is>
          <t>HYLTE</t>
        </is>
      </c>
      <c r="G1275" t="n">
        <v>3.5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36102-2021</t>
        </is>
      </c>
      <c r="B1276" s="1" t="n">
        <v>44386</v>
      </c>
      <c r="C1276" s="1" t="n">
        <v>45627</v>
      </c>
      <c r="D1276" t="inlineStr">
        <is>
          <t>HALLANDS LÄN</t>
        </is>
      </c>
      <c r="E1276" t="inlineStr">
        <is>
          <t>VARBERG</t>
        </is>
      </c>
      <c r="G1276" t="n">
        <v>4.7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36065-2021</t>
        </is>
      </c>
      <c r="B1277" s="1" t="n">
        <v>44389</v>
      </c>
      <c r="C1277" s="1" t="n">
        <v>45627</v>
      </c>
      <c r="D1277" t="inlineStr">
        <is>
          <t>HALLANDS LÄN</t>
        </is>
      </c>
      <c r="E1277" t="inlineStr">
        <is>
          <t>HYLTE</t>
        </is>
      </c>
      <c r="G1277" t="n">
        <v>6.2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36218-2021</t>
        </is>
      </c>
      <c r="B1278" s="1" t="n">
        <v>44389</v>
      </c>
      <c r="C1278" s="1" t="n">
        <v>45627</v>
      </c>
      <c r="D1278" t="inlineStr">
        <is>
          <t>HALLANDS LÄN</t>
        </is>
      </c>
      <c r="E1278" t="inlineStr">
        <is>
          <t>VARBERG</t>
        </is>
      </c>
      <c r="G1278" t="n">
        <v>2.1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36358-2021</t>
        </is>
      </c>
      <c r="B1279" s="1" t="n">
        <v>44390</v>
      </c>
      <c r="C1279" s="1" t="n">
        <v>45627</v>
      </c>
      <c r="D1279" t="inlineStr">
        <is>
          <t>HALLANDS LÄN</t>
        </is>
      </c>
      <c r="E1279" t="inlineStr">
        <is>
          <t>KUNGSBACKA</t>
        </is>
      </c>
      <c r="F1279" t="inlineStr">
        <is>
          <t>Kyrkan</t>
        </is>
      </c>
      <c r="G1279" t="n">
        <v>8.199999999999999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36361-2021</t>
        </is>
      </c>
      <c r="B1280" s="1" t="n">
        <v>44390</v>
      </c>
      <c r="C1280" s="1" t="n">
        <v>45627</v>
      </c>
      <c r="D1280" t="inlineStr">
        <is>
          <t>HALLANDS LÄN</t>
        </is>
      </c>
      <c r="E1280" t="inlineStr">
        <is>
          <t>KUNGSBACKA</t>
        </is>
      </c>
      <c r="F1280" t="inlineStr">
        <is>
          <t>Kyrkan</t>
        </is>
      </c>
      <c r="G1280" t="n">
        <v>11.7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36364-2021</t>
        </is>
      </c>
      <c r="B1281" s="1" t="n">
        <v>44390</v>
      </c>
      <c r="C1281" s="1" t="n">
        <v>45627</v>
      </c>
      <c r="D1281" t="inlineStr">
        <is>
          <t>HALLANDS LÄN</t>
        </is>
      </c>
      <c r="E1281" t="inlineStr">
        <is>
          <t>KUNGSBACKA</t>
        </is>
      </c>
      <c r="F1281" t="inlineStr">
        <is>
          <t>Kyrkan</t>
        </is>
      </c>
      <c r="G1281" t="n">
        <v>13.3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36436-2021</t>
        </is>
      </c>
      <c r="B1282" s="1" t="n">
        <v>44390</v>
      </c>
      <c r="C1282" s="1" t="n">
        <v>45627</v>
      </c>
      <c r="D1282" t="inlineStr">
        <is>
          <t>HALLANDS LÄN</t>
        </is>
      </c>
      <c r="E1282" t="inlineStr">
        <is>
          <t>LAHOLM</t>
        </is>
      </c>
      <c r="G1282" t="n">
        <v>2.2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36368-2021</t>
        </is>
      </c>
      <c r="B1283" s="1" t="n">
        <v>44390</v>
      </c>
      <c r="C1283" s="1" t="n">
        <v>45627</v>
      </c>
      <c r="D1283" t="inlineStr">
        <is>
          <t>HALLANDS LÄN</t>
        </is>
      </c>
      <c r="E1283" t="inlineStr">
        <is>
          <t>KUNGSBACKA</t>
        </is>
      </c>
      <c r="F1283" t="inlineStr">
        <is>
          <t>Kyrkan</t>
        </is>
      </c>
      <c r="G1283" t="n">
        <v>2.4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36425-2021</t>
        </is>
      </c>
      <c r="B1284" s="1" t="n">
        <v>44390</v>
      </c>
      <c r="C1284" s="1" t="n">
        <v>45627</v>
      </c>
      <c r="D1284" t="inlineStr">
        <is>
          <t>HALLANDS LÄN</t>
        </is>
      </c>
      <c r="E1284" t="inlineStr">
        <is>
          <t>HALMSTAD</t>
        </is>
      </c>
      <c r="G1284" t="n">
        <v>1.8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36366-2021</t>
        </is>
      </c>
      <c r="B1285" s="1" t="n">
        <v>44390</v>
      </c>
      <c r="C1285" s="1" t="n">
        <v>45627</v>
      </c>
      <c r="D1285" t="inlineStr">
        <is>
          <t>HALLANDS LÄN</t>
        </is>
      </c>
      <c r="E1285" t="inlineStr">
        <is>
          <t>KUNGSBACKA</t>
        </is>
      </c>
      <c r="F1285" t="inlineStr">
        <is>
          <t>Kyrkan</t>
        </is>
      </c>
      <c r="G1285" t="n">
        <v>6.2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36650-2021</t>
        </is>
      </c>
      <c r="B1286" s="1" t="n">
        <v>44392</v>
      </c>
      <c r="C1286" s="1" t="n">
        <v>45627</v>
      </c>
      <c r="D1286" t="inlineStr">
        <is>
          <t>HALLANDS LÄN</t>
        </is>
      </c>
      <c r="E1286" t="inlineStr">
        <is>
          <t>KUNGSBACKA</t>
        </is>
      </c>
      <c r="G1286" t="n">
        <v>2.9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36984-2021</t>
        </is>
      </c>
      <c r="B1287" s="1" t="n">
        <v>44393</v>
      </c>
      <c r="C1287" s="1" t="n">
        <v>45627</v>
      </c>
      <c r="D1287" t="inlineStr">
        <is>
          <t>HALLANDS LÄN</t>
        </is>
      </c>
      <c r="E1287" t="inlineStr">
        <is>
          <t>KUNGSBACKA</t>
        </is>
      </c>
      <c r="F1287" t="inlineStr">
        <is>
          <t>Kyrkan</t>
        </is>
      </c>
      <c r="G1287" t="n">
        <v>4.7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37093-2021</t>
        </is>
      </c>
      <c r="B1288" s="1" t="n">
        <v>44396</v>
      </c>
      <c r="C1288" s="1" t="n">
        <v>45627</v>
      </c>
      <c r="D1288" t="inlineStr">
        <is>
          <t>HALLANDS LÄN</t>
        </is>
      </c>
      <c r="E1288" t="inlineStr">
        <is>
          <t>HYLTE</t>
        </is>
      </c>
      <c r="G1288" t="n">
        <v>0.7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37448-2021</t>
        </is>
      </c>
      <c r="B1289" s="1" t="n">
        <v>44398</v>
      </c>
      <c r="C1289" s="1" t="n">
        <v>45627</v>
      </c>
      <c r="D1289" t="inlineStr">
        <is>
          <t>HALLANDS LÄN</t>
        </is>
      </c>
      <c r="E1289" t="inlineStr">
        <is>
          <t>VARBERG</t>
        </is>
      </c>
      <c r="G1289" t="n">
        <v>2.3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37454-2021</t>
        </is>
      </c>
      <c r="B1290" s="1" t="n">
        <v>44398</v>
      </c>
      <c r="C1290" s="1" t="n">
        <v>45627</v>
      </c>
      <c r="D1290" t="inlineStr">
        <is>
          <t>HALLANDS LÄN</t>
        </is>
      </c>
      <c r="E1290" t="inlineStr">
        <is>
          <t>HALMSTAD</t>
        </is>
      </c>
      <c r="G1290" t="n">
        <v>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37627-2021</t>
        </is>
      </c>
      <c r="B1291" s="1" t="n">
        <v>44400</v>
      </c>
      <c r="C1291" s="1" t="n">
        <v>45627</v>
      </c>
      <c r="D1291" t="inlineStr">
        <is>
          <t>HALLANDS LÄN</t>
        </is>
      </c>
      <c r="E1291" t="inlineStr">
        <is>
          <t>LAHOLM</t>
        </is>
      </c>
      <c r="G1291" t="n">
        <v>0.5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37762-2021</t>
        </is>
      </c>
      <c r="B1292" s="1" t="n">
        <v>44400</v>
      </c>
      <c r="C1292" s="1" t="n">
        <v>45627</v>
      </c>
      <c r="D1292" t="inlineStr">
        <is>
          <t>HALLANDS LÄN</t>
        </is>
      </c>
      <c r="E1292" t="inlineStr">
        <is>
          <t>FALKENBERG</t>
        </is>
      </c>
      <c r="G1292" t="n">
        <v>0.5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37761-2021</t>
        </is>
      </c>
      <c r="B1293" s="1" t="n">
        <v>44400</v>
      </c>
      <c r="C1293" s="1" t="n">
        <v>45627</v>
      </c>
      <c r="D1293" t="inlineStr">
        <is>
          <t>HALLANDS LÄN</t>
        </is>
      </c>
      <c r="E1293" t="inlineStr">
        <is>
          <t>FALKENBERG</t>
        </is>
      </c>
      <c r="G1293" t="n">
        <v>1.7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38076-2021</t>
        </is>
      </c>
      <c r="B1294" s="1" t="n">
        <v>44404</v>
      </c>
      <c r="C1294" s="1" t="n">
        <v>45627</v>
      </c>
      <c r="D1294" t="inlineStr">
        <is>
          <t>HALLANDS LÄN</t>
        </is>
      </c>
      <c r="E1294" t="inlineStr">
        <is>
          <t>LAHOLM</t>
        </is>
      </c>
      <c r="G1294" t="n">
        <v>1.2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38078-2021</t>
        </is>
      </c>
      <c r="B1295" s="1" t="n">
        <v>44404</v>
      </c>
      <c r="C1295" s="1" t="n">
        <v>45627</v>
      </c>
      <c r="D1295" t="inlineStr">
        <is>
          <t>HALLANDS LÄN</t>
        </is>
      </c>
      <c r="E1295" t="inlineStr">
        <is>
          <t>LAHOLM</t>
        </is>
      </c>
      <c r="G1295" t="n">
        <v>1.7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38243-2021</t>
        </is>
      </c>
      <c r="B1296" s="1" t="n">
        <v>44405</v>
      </c>
      <c r="C1296" s="1" t="n">
        <v>45627</v>
      </c>
      <c r="D1296" t="inlineStr">
        <is>
          <t>HALLANDS LÄN</t>
        </is>
      </c>
      <c r="E1296" t="inlineStr">
        <is>
          <t>HYLTE</t>
        </is>
      </c>
      <c r="G1296" t="n">
        <v>7.5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38476-2021</t>
        </is>
      </c>
      <c r="B1297" s="1" t="n">
        <v>44407</v>
      </c>
      <c r="C1297" s="1" t="n">
        <v>45627</v>
      </c>
      <c r="D1297" t="inlineStr">
        <is>
          <t>HALLANDS LÄN</t>
        </is>
      </c>
      <c r="E1297" t="inlineStr">
        <is>
          <t>HYLTE</t>
        </is>
      </c>
      <c r="G1297" t="n">
        <v>2.1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38573-2021</t>
        </is>
      </c>
      <c r="B1298" s="1" t="n">
        <v>44407</v>
      </c>
      <c r="C1298" s="1" t="n">
        <v>45627</v>
      </c>
      <c r="D1298" t="inlineStr">
        <is>
          <t>HALLANDS LÄN</t>
        </is>
      </c>
      <c r="E1298" t="inlineStr">
        <is>
          <t>FALKENBERG</t>
        </is>
      </c>
      <c r="G1298" t="n">
        <v>2.7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38596-2021</t>
        </is>
      </c>
      <c r="B1299" s="1" t="n">
        <v>44407</v>
      </c>
      <c r="C1299" s="1" t="n">
        <v>45627</v>
      </c>
      <c r="D1299" t="inlineStr">
        <is>
          <t>HALLANDS LÄN</t>
        </is>
      </c>
      <c r="E1299" t="inlineStr">
        <is>
          <t>FALKENBERG</t>
        </is>
      </c>
      <c r="G1299" t="n">
        <v>1.6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38661-2021</t>
        </is>
      </c>
      <c r="B1300" s="1" t="n">
        <v>44410</v>
      </c>
      <c r="C1300" s="1" t="n">
        <v>45627</v>
      </c>
      <c r="D1300" t="inlineStr">
        <is>
          <t>HALLANDS LÄN</t>
        </is>
      </c>
      <c r="E1300" t="inlineStr">
        <is>
          <t>HALMSTAD</t>
        </is>
      </c>
      <c r="G1300" t="n">
        <v>1.1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39395-2021</t>
        </is>
      </c>
      <c r="B1301" s="1" t="n">
        <v>44414</v>
      </c>
      <c r="C1301" s="1" t="n">
        <v>45627</v>
      </c>
      <c r="D1301" t="inlineStr">
        <is>
          <t>HALLANDS LÄN</t>
        </is>
      </c>
      <c r="E1301" t="inlineStr">
        <is>
          <t>VARBERG</t>
        </is>
      </c>
      <c r="G1301" t="n">
        <v>0.5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39418-2021</t>
        </is>
      </c>
      <c r="B1302" s="1" t="n">
        <v>44414</v>
      </c>
      <c r="C1302" s="1" t="n">
        <v>45627</v>
      </c>
      <c r="D1302" t="inlineStr">
        <is>
          <t>HALLANDS LÄN</t>
        </is>
      </c>
      <c r="E1302" t="inlineStr">
        <is>
          <t>KUNGSBACKA</t>
        </is>
      </c>
      <c r="G1302" t="n">
        <v>5.7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40024-2021</t>
        </is>
      </c>
      <c r="B1303" s="1" t="n">
        <v>44418</v>
      </c>
      <c r="C1303" s="1" t="n">
        <v>45627</v>
      </c>
      <c r="D1303" t="inlineStr">
        <is>
          <t>HALLANDS LÄN</t>
        </is>
      </c>
      <c r="E1303" t="inlineStr">
        <is>
          <t>KUNGSBACKA</t>
        </is>
      </c>
      <c r="G1303" t="n">
        <v>0.8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40705-2021</t>
        </is>
      </c>
      <c r="B1304" s="1" t="n">
        <v>44420</v>
      </c>
      <c r="C1304" s="1" t="n">
        <v>45627</v>
      </c>
      <c r="D1304" t="inlineStr">
        <is>
          <t>HALLANDS LÄN</t>
        </is>
      </c>
      <c r="E1304" t="inlineStr">
        <is>
          <t>FALKENBERG</t>
        </is>
      </c>
      <c r="G1304" t="n">
        <v>4.2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40870-2021</t>
        </is>
      </c>
      <c r="B1305" s="1" t="n">
        <v>44421</v>
      </c>
      <c r="C1305" s="1" t="n">
        <v>45627</v>
      </c>
      <c r="D1305" t="inlineStr">
        <is>
          <t>HALLANDS LÄN</t>
        </is>
      </c>
      <c r="E1305" t="inlineStr">
        <is>
          <t>HYLTE</t>
        </is>
      </c>
      <c r="G1305" t="n">
        <v>6.3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40940-2021</t>
        </is>
      </c>
      <c r="B1306" s="1" t="n">
        <v>44421</v>
      </c>
      <c r="C1306" s="1" t="n">
        <v>45627</v>
      </c>
      <c r="D1306" t="inlineStr">
        <is>
          <t>HALLANDS LÄN</t>
        </is>
      </c>
      <c r="E1306" t="inlineStr">
        <is>
          <t>VARBERG</t>
        </is>
      </c>
      <c r="G1306" t="n">
        <v>2.3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41124-2021</t>
        </is>
      </c>
      <c r="B1307" s="1" t="n">
        <v>44423</v>
      </c>
      <c r="C1307" s="1" t="n">
        <v>45627</v>
      </c>
      <c r="D1307" t="inlineStr">
        <is>
          <t>HALLANDS LÄN</t>
        </is>
      </c>
      <c r="E1307" t="inlineStr">
        <is>
          <t>HALMSTAD</t>
        </is>
      </c>
      <c r="G1307" t="n">
        <v>3.7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41278-2021</t>
        </is>
      </c>
      <c r="B1308" s="1" t="n">
        <v>44424</v>
      </c>
      <c r="C1308" s="1" t="n">
        <v>45627</v>
      </c>
      <c r="D1308" t="inlineStr">
        <is>
          <t>HALLANDS LÄN</t>
        </is>
      </c>
      <c r="E1308" t="inlineStr">
        <is>
          <t>FALKENBERG</t>
        </is>
      </c>
      <c r="G1308" t="n">
        <v>5.7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41284-2021</t>
        </is>
      </c>
      <c r="B1309" s="1" t="n">
        <v>44424</v>
      </c>
      <c r="C1309" s="1" t="n">
        <v>45627</v>
      </c>
      <c r="D1309" t="inlineStr">
        <is>
          <t>HALLANDS LÄN</t>
        </is>
      </c>
      <c r="E1309" t="inlineStr">
        <is>
          <t>FALKENBERG</t>
        </is>
      </c>
      <c r="G1309" t="n">
        <v>5.3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41152-2021</t>
        </is>
      </c>
      <c r="B1310" s="1" t="n">
        <v>44424</v>
      </c>
      <c r="C1310" s="1" t="n">
        <v>45627</v>
      </c>
      <c r="D1310" t="inlineStr">
        <is>
          <t>HALLANDS LÄN</t>
        </is>
      </c>
      <c r="E1310" t="inlineStr">
        <is>
          <t>VARBERG</t>
        </is>
      </c>
      <c r="G1310" t="n">
        <v>6.2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41151-2021</t>
        </is>
      </c>
      <c r="B1311" s="1" t="n">
        <v>44424</v>
      </c>
      <c r="C1311" s="1" t="n">
        <v>45627</v>
      </c>
      <c r="D1311" t="inlineStr">
        <is>
          <t>HALLANDS LÄN</t>
        </is>
      </c>
      <c r="E1311" t="inlineStr">
        <is>
          <t>VARBERG</t>
        </is>
      </c>
      <c r="G1311" t="n">
        <v>2.9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41289-2021</t>
        </is>
      </c>
      <c r="B1312" s="1" t="n">
        <v>44424</v>
      </c>
      <c r="C1312" s="1" t="n">
        <v>45627</v>
      </c>
      <c r="D1312" t="inlineStr">
        <is>
          <t>HALLANDS LÄN</t>
        </is>
      </c>
      <c r="E1312" t="inlineStr">
        <is>
          <t>FALKENBERG</t>
        </is>
      </c>
      <c r="G1312" t="n">
        <v>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41428-2021</t>
        </is>
      </c>
      <c r="B1313" s="1" t="n">
        <v>44424</v>
      </c>
      <c r="C1313" s="1" t="n">
        <v>45627</v>
      </c>
      <c r="D1313" t="inlineStr">
        <is>
          <t>HALLANDS LÄN</t>
        </is>
      </c>
      <c r="E1313" t="inlineStr">
        <is>
          <t>FALKENBERG</t>
        </is>
      </c>
      <c r="G1313" t="n">
        <v>0.6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41766-2021</t>
        </is>
      </c>
      <c r="B1314" s="1" t="n">
        <v>44425</v>
      </c>
      <c r="C1314" s="1" t="n">
        <v>45627</v>
      </c>
      <c r="D1314" t="inlineStr">
        <is>
          <t>HALLANDS LÄN</t>
        </is>
      </c>
      <c r="E1314" t="inlineStr">
        <is>
          <t>KUNGSBACKA</t>
        </is>
      </c>
      <c r="G1314" t="n">
        <v>1.5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41732-2021</t>
        </is>
      </c>
      <c r="B1315" s="1" t="n">
        <v>44425</v>
      </c>
      <c r="C1315" s="1" t="n">
        <v>45627</v>
      </c>
      <c r="D1315" t="inlineStr">
        <is>
          <t>HALLANDS LÄN</t>
        </is>
      </c>
      <c r="E1315" t="inlineStr">
        <is>
          <t>FALKENBERG</t>
        </is>
      </c>
      <c r="G1315" t="n">
        <v>0.9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41824-2021</t>
        </is>
      </c>
      <c r="B1316" s="1" t="n">
        <v>44425</v>
      </c>
      <c r="C1316" s="1" t="n">
        <v>45627</v>
      </c>
      <c r="D1316" t="inlineStr">
        <is>
          <t>HALLANDS LÄN</t>
        </is>
      </c>
      <c r="E1316" t="inlineStr">
        <is>
          <t>VARBERG</t>
        </is>
      </c>
      <c r="G1316" t="n">
        <v>1.2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41769-2021</t>
        </is>
      </c>
      <c r="B1317" s="1" t="n">
        <v>44425</v>
      </c>
      <c r="C1317" s="1" t="n">
        <v>45627</v>
      </c>
      <c r="D1317" t="inlineStr">
        <is>
          <t>HALLANDS LÄN</t>
        </is>
      </c>
      <c r="E1317" t="inlineStr">
        <is>
          <t>KUNGSBACKA</t>
        </is>
      </c>
      <c r="G1317" t="n">
        <v>1.9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42377-2021</t>
        </is>
      </c>
      <c r="B1318" s="1" t="n">
        <v>44427</v>
      </c>
      <c r="C1318" s="1" t="n">
        <v>45627</v>
      </c>
      <c r="D1318" t="inlineStr">
        <is>
          <t>HALLANDS LÄN</t>
        </is>
      </c>
      <c r="E1318" t="inlineStr">
        <is>
          <t>KUNGSBACKA</t>
        </is>
      </c>
      <c r="G1318" t="n">
        <v>1.5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42419-2021</t>
        </is>
      </c>
      <c r="B1319" s="1" t="n">
        <v>44427</v>
      </c>
      <c r="C1319" s="1" t="n">
        <v>45627</v>
      </c>
      <c r="D1319" t="inlineStr">
        <is>
          <t>HALLANDS LÄN</t>
        </is>
      </c>
      <c r="E1319" t="inlineStr">
        <is>
          <t>HYLTE</t>
        </is>
      </c>
      <c r="G1319" t="n">
        <v>1.4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42397-2021</t>
        </is>
      </c>
      <c r="B1320" s="1" t="n">
        <v>44427</v>
      </c>
      <c r="C1320" s="1" t="n">
        <v>45627</v>
      </c>
      <c r="D1320" t="inlineStr">
        <is>
          <t>HALLANDS LÄN</t>
        </is>
      </c>
      <c r="E1320" t="inlineStr">
        <is>
          <t>FALKENBERG</t>
        </is>
      </c>
      <c r="G1320" t="n">
        <v>1.1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42868-2021</t>
        </is>
      </c>
      <c r="B1321" s="1" t="n">
        <v>44430</v>
      </c>
      <c r="C1321" s="1" t="n">
        <v>45627</v>
      </c>
      <c r="D1321" t="inlineStr">
        <is>
          <t>HALLANDS LÄN</t>
        </is>
      </c>
      <c r="E1321" t="inlineStr">
        <is>
          <t>FALKENBERG</t>
        </is>
      </c>
      <c r="G1321" t="n">
        <v>0.4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42866-2021</t>
        </is>
      </c>
      <c r="B1322" s="1" t="n">
        <v>44431</v>
      </c>
      <c r="C1322" s="1" t="n">
        <v>45627</v>
      </c>
      <c r="D1322" t="inlineStr">
        <is>
          <t>HALLANDS LÄN</t>
        </is>
      </c>
      <c r="E1322" t="inlineStr">
        <is>
          <t>FALKENBERG</t>
        </is>
      </c>
      <c r="G1322" t="n">
        <v>0.8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43147-2021</t>
        </is>
      </c>
      <c r="B1323" s="1" t="n">
        <v>44431</v>
      </c>
      <c r="C1323" s="1" t="n">
        <v>45627</v>
      </c>
      <c r="D1323" t="inlineStr">
        <is>
          <t>HALLANDS LÄN</t>
        </is>
      </c>
      <c r="E1323" t="inlineStr">
        <is>
          <t>FALKENBERG</t>
        </is>
      </c>
      <c r="F1323" t="inlineStr">
        <is>
          <t>Bergvik skog väst AB</t>
        </is>
      </c>
      <c r="G1323" t="n">
        <v>0.7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43131-2021</t>
        </is>
      </c>
      <c r="B1324" s="1" t="n">
        <v>44431</v>
      </c>
      <c r="C1324" s="1" t="n">
        <v>45627</v>
      </c>
      <c r="D1324" t="inlineStr">
        <is>
          <t>HALLANDS LÄN</t>
        </is>
      </c>
      <c r="E1324" t="inlineStr">
        <is>
          <t>FALKENBERG</t>
        </is>
      </c>
      <c r="F1324" t="inlineStr">
        <is>
          <t>Bergvik skog väst AB</t>
        </is>
      </c>
      <c r="G1324" t="n">
        <v>9.800000000000001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43322-2021</t>
        </is>
      </c>
      <c r="B1325" s="1" t="n">
        <v>44432</v>
      </c>
      <c r="C1325" s="1" t="n">
        <v>45627</v>
      </c>
      <c r="D1325" t="inlineStr">
        <is>
          <t>HALLANDS LÄN</t>
        </is>
      </c>
      <c r="E1325" t="inlineStr">
        <is>
          <t>FALKENBERG</t>
        </is>
      </c>
      <c r="G1325" t="n">
        <v>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43331-2021</t>
        </is>
      </c>
      <c r="B1326" s="1" t="n">
        <v>44432</v>
      </c>
      <c r="C1326" s="1" t="n">
        <v>45627</v>
      </c>
      <c r="D1326" t="inlineStr">
        <is>
          <t>HALLANDS LÄN</t>
        </is>
      </c>
      <c r="E1326" t="inlineStr">
        <is>
          <t>FALKENBERG</t>
        </is>
      </c>
      <c r="G1326" t="n">
        <v>0.5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43326-2021</t>
        </is>
      </c>
      <c r="B1327" s="1" t="n">
        <v>44432</v>
      </c>
      <c r="C1327" s="1" t="n">
        <v>45627</v>
      </c>
      <c r="D1327" t="inlineStr">
        <is>
          <t>HALLANDS LÄN</t>
        </is>
      </c>
      <c r="E1327" t="inlineStr">
        <is>
          <t>FALKENBERG</t>
        </is>
      </c>
      <c r="G1327" t="n">
        <v>0.5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44188-2021</t>
        </is>
      </c>
      <c r="B1328" s="1" t="n">
        <v>44434</v>
      </c>
      <c r="C1328" s="1" t="n">
        <v>45627</v>
      </c>
      <c r="D1328" t="inlineStr">
        <is>
          <t>HALLANDS LÄN</t>
        </is>
      </c>
      <c r="E1328" t="inlineStr">
        <is>
          <t>LAHOLM</t>
        </is>
      </c>
      <c r="G1328" t="n">
        <v>0.5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44277-2021</t>
        </is>
      </c>
      <c r="B1329" s="1" t="n">
        <v>44435</v>
      </c>
      <c r="C1329" s="1" t="n">
        <v>45627</v>
      </c>
      <c r="D1329" t="inlineStr">
        <is>
          <t>HALLANDS LÄN</t>
        </is>
      </c>
      <c r="E1329" t="inlineStr">
        <is>
          <t>FALKENBERG</t>
        </is>
      </c>
      <c r="G1329" t="n">
        <v>1.5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44702-2021</t>
        </is>
      </c>
      <c r="B1330" s="1" t="n">
        <v>44438</v>
      </c>
      <c r="C1330" s="1" t="n">
        <v>45627</v>
      </c>
      <c r="D1330" t="inlineStr">
        <is>
          <t>HALLANDS LÄN</t>
        </is>
      </c>
      <c r="E1330" t="inlineStr">
        <is>
          <t>LAHOLM</t>
        </is>
      </c>
      <c r="G1330" t="n">
        <v>1.7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44800-2021</t>
        </is>
      </c>
      <c r="B1331" s="1" t="n">
        <v>44438</v>
      </c>
      <c r="C1331" s="1" t="n">
        <v>45627</v>
      </c>
      <c r="D1331" t="inlineStr">
        <is>
          <t>HALLANDS LÄN</t>
        </is>
      </c>
      <c r="E1331" t="inlineStr">
        <is>
          <t>FALKENBERG</t>
        </is>
      </c>
      <c r="G1331" t="n">
        <v>1.1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46013-2021</t>
        </is>
      </c>
      <c r="B1332" s="1" t="n">
        <v>44441</v>
      </c>
      <c r="C1332" s="1" t="n">
        <v>45627</v>
      </c>
      <c r="D1332" t="inlineStr">
        <is>
          <t>HALLANDS LÄN</t>
        </is>
      </c>
      <c r="E1332" t="inlineStr">
        <is>
          <t>HALMSTAD</t>
        </is>
      </c>
      <c r="G1332" t="n">
        <v>3.4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45974-2021</t>
        </is>
      </c>
      <c r="B1333" s="1" t="n">
        <v>44441</v>
      </c>
      <c r="C1333" s="1" t="n">
        <v>45627</v>
      </c>
      <c r="D1333" t="inlineStr">
        <is>
          <t>HALLANDS LÄN</t>
        </is>
      </c>
      <c r="E1333" t="inlineStr">
        <is>
          <t>VARBERG</t>
        </is>
      </c>
      <c r="G1333" t="n">
        <v>1.8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46008-2021</t>
        </is>
      </c>
      <c r="B1334" s="1" t="n">
        <v>44441</v>
      </c>
      <c r="C1334" s="1" t="n">
        <v>45627</v>
      </c>
      <c r="D1334" t="inlineStr">
        <is>
          <t>HALLANDS LÄN</t>
        </is>
      </c>
      <c r="E1334" t="inlineStr">
        <is>
          <t>HALMSTAD</t>
        </is>
      </c>
      <c r="G1334" t="n">
        <v>0.7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46159-2021</t>
        </is>
      </c>
      <c r="B1335" s="1" t="n">
        <v>44442</v>
      </c>
      <c r="C1335" s="1" t="n">
        <v>45627</v>
      </c>
      <c r="D1335" t="inlineStr">
        <is>
          <t>HALLANDS LÄN</t>
        </is>
      </c>
      <c r="E1335" t="inlineStr">
        <is>
          <t>LAHOLM</t>
        </is>
      </c>
      <c r="G1335" t="n">
        <v>0.5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46101-2021</t>
        </is>
      </c>
      <c r="B1336" s="1" t="n">
        <v>44442</v>
      </c>
      <c r="C1336" s="1" t="n">
        <v>45627</v>
      </c>
      <c r="D1336" t="inlineStr">
        <is>
          <t>HALLANDS LÄN</t>
        </is>
      </c>
      <c r="E1336" t="inlineStr">
        <is>
          <t>HYLTE</t>
        </is>
      </c>
      <c r="G1336" t="n">
        <v>1.1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46317-2021</t>
        </is>
      </c>
      <c r="B1337" s="1" t="n">
        <v>44442</v>
      </c>
      <c r="C1337" s="1" t="n">
        <v>45627</v>
      </c>
      <c r="D1337" t="inlineStr">
        <is>
          <t>HALLANDS LÄN</t>
        </is>
      </c>
      <c r="E1337" t="inlineStr">
        <is>
          <t>LAHOLM</t>
        </is>
      </c>
      <c r="G1337" t="n">
        <v>2.3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46465-2021</t>
        </is>
      </c>
      <c r="B1338" s="1" t="n">
        <v>44445</v>
      </c>
      <c r="C1338" s="1" t="n">
        <v>45627</v>
      </c>
      <c r="D1338" t="inlineStr">
        <is>
          <t>HALLANDS LÄN</t>
        </is>
      </c>
      <c r="E1338" t="inlineStr">
        <is>
          <t>HALMSTAD</t>
        </is>
      </c>
      <c r="G1338" t="n">
        <v>2.3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46905-2021</t>
        </is>
      </c>
      <c r="B1339" s="1" t="n">
        <v>44446</v>
      </c>
      <c r="C1339" s="1" t="n">
        <v>45627</v>
      </c>
      <c r="D1339" t="inlineStr">
        <is>
          <t>HALLANDS LÄN</t>
        </is>
      </c>
      <c r="E1339" t="inlineStr">
        <is>
          <t>FALKENBERG</t>
        </is>
      </c>
      <c r="G1339" t="n">
        <v>1.8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46886-2021</t>
        </is>
      </c>
      <c r="B1340" s="1" t="n">
        <v>44446</v>
      </c>
      <c r="C1340" s="1" t="n">
        <v>45627</v>
      </c>
      <c r="D1340" t="inlineStr">
        <is>
          <t>HALLANDS LÄN</t>
        </is>
      </c>
      <c r="E1340" t="inlineStr">
        <is>
          <t>LAHOLM</t>
        </is>
      </c>
      <c r="G1340" t="n">
        <v>1.1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47021-2021</t>
        </is>
      </c>
      <c r="B1341" s="1" t="n">
        <v>44446</v>
      </c>
      <c r="C1341" s="1" t="n">
        <v>45627</v>
      </c>
      <c r="D1341" t="inlineStr">
        <is>
          <t>HALLANDS LÄN</t>
        </is>
      </c>
      <c r="E1341" t="inlineStr">
        <is>
          <t>HYLTE</t>
        </is>
      </c>
      <c r="G1341" t="n">
        <v>5.6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47072-2021</t>
        </is>
      </c>
      <c r="B1342" s="1" t="n">
        <v>44446</v>
      </c>
      <c r="C1342" s="1" t="n">
        <v>45627</v>
      </c>
      <c r="D1342" t="inlineStr">
        <is>
          <t>HALLANDS LÄN</t>
        </is>
      </c>
      <c r="E1342" t="inlineStr">
        <is>
          <t>LAHOLM</t>
        </is>
      </c>
      <c r="G1342" t="n">
        <v>0.5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47345-2021</t>
        </is>
      </c>
      <c r="B1343" s="1" t="n">
        <v>44447</v>
      </c>
      <c r="C1343" s="1" t="n">
        <v>45627</v>
      </c>
      <c r="D1343" t="inlineStr">
        <is>
          <t>HALLANDS LÄN</t>
        </is>
      </c>
      <c r="E1343" t="inlineStr">
        <is>
          <t>VARBERG</t>
        </is>
      </c>
      <c r="G1343" t="n">
        <v>9.9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47339-2021</t>
        </is>
      </c>
      <c r="B1344" s="1" t="n">
        <v>44447</v>
      </c>
      <c r="C1344" s="1" t="n">
        <v>45627</v>
      </c>
      <c r="D1344" t="inlineStr">
        <is>
          <t>HALLANDS LÄN</t>
        </is>
      </c>
      <c r="E1344" t="inlineStr">
        <is>
          <t>VARBERG</t>
        </is>
      </c>
      <c r="G1344" t="n">
        <v>2.1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47820-2021</t>
        </is>
      </c>
      <c r="B1345" s="1" t="n">
        <v>44448</v>
      </c>
      <c r="C1345" s="1" t="n">
        <v>45627</v>
      </c>
      <c r="D1345" t="inlineStr">
        <is>
          <t>HALLANDS LÄN</t>
        </is>
      </c>
      <c r="E1345" t="inlineStr">
        <is>
          <t>HYLTE</t>
        </is>
      </c>
      <c r="G1345" t="n">
        <v>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47763-2021</t>
        </is>
      </c>
      <c r="B1346" s="1" t="n">
        <v>44448</v>
      </c>
      <c r="C1346" s="1" t="n">
        <v>45627</v>
      </c>
      <c r="D1346" t="inlineStr">
        <is>
          <t>HALLANDS LÄN</t>
        </is>
      </c>
      <c r="E1346" t="inlineStr">
        <is>
          <t>FALKENBERG</t>
        </is>
      </c>
      <c r="G1346" t="n">
        <v>1.4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48126-2021</t>
        </is>
      </c>
      <c r="B1347" s="1" t="n">
        <v>44449</v>
      </c>
      <c r="C1347" s="1" t="n">
        <v>45627</v>
      </c>
      <c r="D1347" t="inlineStr">
        <is>
          <t>HALLANDS LÄN</t>
        </is>
      </c>
      <c r="E1347" t="inlineStr">
        <is>
          <t>HYLTE</t>
        </is>
      </c>
      <c r="G1347" t="n">
        <v>2.5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48978-2021</t>
        </is>
      </c>
      <c r="B1348" s="1" t="n">
        <v>44453</v>
      </c>
      <c r="C1348" s="1" t="n">
        <v>45627</v>
      </c>
      <c r="D1348" t="inlineStr">
        <is>
          <t>HALLANDS LÄN</t>
        </is>
      </c>
      <c r="E1348" t="inlineStr">
        <is>
          <t>VARBERG</t>
        </is>
      </c>
      <c r="G1348" t="n">
        <v>1.5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49126-2021</t>
        </is>
      </c>
      <c r="B1349" s="1" t="n">
        <v>44453</v>
      </c>
      <c r="C1349" s="1" t="n">
        <v>45627</v>
      </c>
      <c r="D1349" t="inlineStr">
        <is>
          <t>HALLANDS LÄN</t>
        </is>
      </c>
      <c r="E1349" t="inlineStr">
        <is>
          <t>FALKENBERG</t>
        </is>
      </c>
      <c r="G1349" t="n">
        <v>2.9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49217-2021</t>
        </is>
      </c>
      <c r="B1350" s="1" t="n">
        <v>44454</v>
      </c>
      <c r="C1350" s="1" t="n">
        <v>45627</v>
      </c>
      <c r="D1350" t="inlineStr">
        <is>
          <t>HALLANDS LÄN</t>
        </is>
      </c>
      <c r="E1350" t="inlineStr">
        <is>
          <t>FALKENBERG</t>
        </is>
      </c>
      <c r="F1350" t="inlineStr">
        <is>
          <t>Kyrkan</t>
        </is>
      </c>
      <c r="G1350" t="n">
        <v>1.3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49214-2021</t>
        </is>
      </c>
      <c r="B1351" s="1" t="n">
        <v>44454</v>
      </c>
      <c r="C1351" s="1" t="n">
        <v>45627</v>
      </c>
      <c r="D1351" t="inlineStr">
        <is>
          <t>HALLANDS LÄN</t>
        </is>
      </c>
      <c r="E1351" t="inlineStr">
        <is>
          <t>FALKENBERG</t>
        </is>
      </c>
      <c r="F1351" t="inlineStr">
        <is>
          <t>Kyrkan</t>
        </is>
      </c>
      <c r="G1351" t="n">
        <v>5.1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49390-2021</t>
        </is>
      </c>
      <c r="B1352" s="1" t="n">
        <v>44454</v>
      </c>
      <c r="C1352" s="1" t="n">
        <v>45627</v>
      </c>
      <c r="D1352" t="inlineStr">
        <is>
          <t>HALLANDS LÄN</t>
        </is>
      </c>
      <c r="E1352" t="inlineStr">
        <is>
          <t>HYLTE</t>
        </is>
      </c>
      <c r="G1352" t="n">
        <v>3.4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49505-2021</t>
        </is>
      </c>
      <c r="B1353" s="1" t="n">
        <v>44454</v>
      </c>
      <c r="C1353" s="1" t="n">
        <v>45627</v>
      </c>
      <c r="D1353" t="inlineStr">
        <is>
          <t>HALLANDS LÄN</t>
        </is>
      </c>
      <c r="E1353" t="inlineStr">
        <is>
          <t>HYLTE</t>
        </is>
      </c>
      <c r="G1353" t="n">
        <v>4.8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49476-2021</t>
        </is>
      </c>
      <c r="B1354" s="1" t="n">
        <v>44454</v>
      </c>
      <c r="C1354" s="1" t="n">
        <v>45627</v>
      </c>
      <c r="D1354" t="inlineStr">
        <is>
          <t>HALLANDS LÄN</t>
        </is>
      </c>
      <c r="E1354" t="inlineStr">
        <is>
          <t>FALKENBERG</t>
        </is>
      </c>
      <c r="F1354" t="inlineStr">
        <is>
          <t>Kyrkan</t>
        </is>
      </c>
      <c r="G1354" t="n">
        <v>2.2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49500-2021</t>
        </is>
      </c>
      <c r="B1355" s="1" t="n">
        <v>44454</v>
      </c>
      <c r="C1355" s="1" t="n">
        <v>45627</v>
      </c>
      <c r="D1355" t="inlineStr">
        <is>
          <t>HALLANDS LÄN</t>
        </is>
      </c>
      <c r="E1355" t="inlineStr">
        <is>
          <t>HYLTE</t>
        </is>
      </c>
      <c r="G1355" t="n">
        <v>0.8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49800-2021</t>
        </is>
      </c>
      <c r="B1356" s="1" t="n">
        <v>44455</v>
      </c>
      <c r="C1356" s="1" t="n">
        <v>45627</v>
      </c>
      <c r="D1356" t="inlineStr">
        <is>
          <t>HALLANDS LÄN</t>
        </is>
      </c>
      <c r="E1356" t="inlineStr">
        <is>
          <t>HALMSTAD</t>
        </is>
      </c>
      <c r="G1356" t="n">
        <v>1.5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49510-2021</t>
        </is>
      </c>
      <c r="B1357" s="1" t="n">
        <v>44455</v>
      </c>
      <c r="C1357" s="1" t="n">
        <v>45627</v>
      </c>
      <c r="D1357" t="inlineStr">
        <is>
          <t>HALLANDS LÄN</t>
        </is>
      </c>
      <c r="E1357" t="inlineStr">
        <is>
          <t>HYLTE</t>
        </is>
      </c>
      <c r="G1357" t="n">
        <v>1.5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49599-2021</t>
        </is>
      </c>
      <c r="B1358" s="1" t="n">
        <v>44455</v>
      </c>
      <c r="C1358" s="1" t="n">
        <v>45627</v>
      </c>
      <c r="D1358" t="inlineStr">
        <is>
          <t>HALLANDS LÄN</t>
        </is>
      </c>
      <c r="E1358" t="inlineStr">
        <is>
          <t>HYLTE</t>
        </is>
      </c>
      <c r="G1358" t="n">
        <v>1.7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49906-2021</t>
        </is>
      </c>
      <c r="B1359" s="1" t="n">
        <v>44455</v>
      </c>
      <c r="C1359" s="1" t="n">
        <v>45627</v>
      </c>
      <c r="D1359" t="inlineStr">
        <is>
          <t>HALLANDS LÄN</t>
        </is>
      </c>
      <c r="E1359" t="inlineStr">
        <is>
          <t>KUNGSBACKA</t>
        </is>
      </c>
      <c r="G1359" t="n">
        <v>1.5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49521-2021</t>
        </is>
      </c>
      <c r="B1360" s="1" t="n">
        <v>44455</v>
      </c>
      <c r="C1360" s="1" t="n">
        <v>45627</v>
      </c>
      <c r="D1360" t="inlineStr">
        <is>
          <t>HALLANDS LÄN</t>
        </is>
      </c>
      <c r="E1360" t="inlineStr">
        <is>
          <t>HYLTE</t>
        </is>
      </c>
      <c r="G1360" t="n">
        <v>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49792-2021</t>
        </is>
      </c>
      <c r="B1361" s="1" t="n">
        <v>44455</v>
      </c>
      <c r="C1361" s="1" t="n">
        <v>45627</v>
      </c>
      <c r="D1361" t="inlineStr">
        <is>
          <t>HALLANDS LÄN</t>
        </is>
      </c>
      <c r="E1361" t="inlineStr">
        <is>
          <t>HALMSTAD</t>
        </is>
      </c>
      <c r="G1361" t="n">
        <v>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50152-2021</t>
        </is>
      </c>
      <c r="B1362" s="1" t="n">
        <v>44456</v>
      </c>
      <c r="C1362" s="1" t="n">
        <v>45627</v>
      </c>
      <c r="D1362" t="inlineStr">
        <is>
          <t>HALLANDS LÄN</t>
        </is>
      </c>
      <c r="E1362" t="inlineStr">
        <is>
          <t>HYLTE</t>
        </is>
      </c>
      <c r="G1362" t="n">
        <v>3.6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50199-2021</t>
        </is>
      </c>
      <c r="B1363" s="1" t="n">
        <v>44457</v>
      </c>
      <c r="C1363" s="1" t="n">
        <v>45627</v>
      </c>
      <c r="D1363" t="inlineStr">
        <is>
          <t>HALLANDS LÄN</t>
        </is>
      </c>
      <c r="E1363" t="inlineStr">
        <is>
          <t>VARBERG</t>
        </is>
      </c>
      <c r="G1363" t="n">
        <v>1.2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50814-2021</t>
        </is>
      </c>
      <c r="B1364" s="1" t="n">
        <v>44460</v>
      </c>
      <c r="C1364" s="1" t="n">
        <v>45627</v>
      </c>
      <c r="D1364" t="inlineStr">
        <is>
          <t>HALLANDS LÄN</t>
        </is>
      </c>
      <c r="E1364" t="inlineStr">
        <is>
          <t>HYLTE</t>
        </is>
      </c>
      <c r="G1364" t="n">
        <v>1.7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50838-2021</t>
        </is>
      </c>
      <c r="B1365" s="1" t="n">
        <v>44460</v>
      </c>
      <c r="C1365" s="1" t="n">
        <v>45627</v>
      </c>
      <c r="D1365" t="inlineStr">
        <is>
          <t>HALLANDS LÄN</t>
        </is>
      </c>
      <c r="E1365" t="inlineStr">
        <is>
          <t>HYLTE</t>
        </is>
      </c>
      <c r="G1365" t="n">
        <v>2.3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50810-2021</t>
        </is>
      </c>
      <c r="B1366" s="1" t="n">
        <v>44460</v>
      </c>
      <c r="C1366" s="1" t="n">
        <v>45627</v>
      </c>
      <c r="D1366" t="inlineStr">
        <is>
          <t>HALLANDS LÄN</t>
        </is>
      </c>
      <c r="E1366" t="inlineStr">
        <is>
          <t>HYLTE</t>
        </is>
      </c>
      <c r="G1366" t="n">
        <v>3.2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51192-2021</t>
        </is>
      </c>
      <c r="B1367" s="1" t="n">
        <v>44461</v>
      </c>
      <c r="C1367" s="1" t="n">
        <v>45627</v>
      </c>
      <c r="D1367" t="inlineStr">
        <is>
          <t>HALLANDS LÄN</t>
        </is>
      </c>
      <c r="E1367" t="inlineStr">
        <is>
          <t>HALMSTAD</t>
        </is>
      </c>
      <c r="G1367" t="n">
        <v>2.4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51300-2021</t>
        </is>
      </c>
      <c r="B1368" s="1" t="n">
        <v>44461</v>
      </c>
      <c r="C1368" s="1" t="n">
        <v>45627</v>
      </c>
      <c r="D1368" t="inlineStr">
        <is>
          <t>HALLANDS LÄN</t>
        </is>
      </c>
      <c r="E1368" t="inlineStr">
        <is>
          <t>HALMSTAD</t>
        </is>
      </c>
      <c r="F1368" t="inlineStr">
        <is>
          <t>Kommuner</t>
        </is>
      </c>
      <c r="G1368" t="n">
        <v>1.4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51059-2021</t>
        </is>
      </c>
      <c r="B1369" s="1" t="n">
        <v>44461</v>
      </c>
      <c r="C1369" s="1" t="n">
        <v>45627</v>
      </c>
      <c r="D1369" t="inlineStr">
        <is>
          <t>HALLANDS LÄN</t>
        </is>
      </c>
      <c r="E1369" t="inlineStr">
        <is>
          <t>KUNGSBACKA</t>
        </is>
      </c>
      <c r="G1369" t="n">
        <v>0.5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51295-2021</t>
        </is>
      </c>
      <c r="B1370" s="1" t="n">
        <v>44461</v>
      </c>
      <c r="C1370" s="1" t="n">
        <v>45627</v>
      </c>
      <c r="D1370" t="inlineStr">
        <is>
          <t>HALLANDS LÄN</t>
        </is>
      </c>
      <c r="E1370" t="inlineStr">
        <is>
          <t>FALKENBERG</t>
        </is>
      </c>
      <c r="G1370" t="n">
        <v>1.2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51535-2021</t>
        </is>
      </c>
      <c r="B1371" s="1" t="n">
        <v>44462</v>
      </c>
      <c r="C1371" s="1" t="n">
        <v>45627</v>
      </c>
      <c r="D1371" t="inlineStr">
        <is>
          <t>HALLANDS LÄN</t>
        </is>
      </c>
      <c r="E1371" t="inlineStr">
        <is>
          <t>KUNGSBACKA</t>
        </is>
      </c>
      <c r="G1371" t="n">
        <v>3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52094-2021</t>
        </is>
      </c>
      <c r="B1372" s="1" t="n">
        <v>44462</v>
      </c>
      <c r="C1372" s="1" t="n">
        <v>45627</v>
      </c>
      <c r="D1372" t="inlineStr">
        <is>
          <t>HALLANDS LÄN</t>
        </is>
      </c>
      <c r="E1372" t="inlineStr">
        <is>
          <t>LAHOLM</t>
        </is>
      </c>
      <c r="G1372" t="n">
        <v>1.9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52168-2021</t>
        </is>
      </c>
      <c r="B1373" s="1" t="n">
        <v>44463</v>
      </c>
      <c r="C1373" s="1" t="n">
        <v>45627</v>
      </c>
      <c r="D1373" t="inlineStr">
        <is>
          <t>HALLANDS LÄN</t>
        </is>
      </c>
      <c r="E1373" t="inlineStr">
        <is>
          <t>LAHOLM</t>
        </is>
      </c>
      <c r="G1373" t="n">
        <v>1.4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52142-2021</t>
        </is>
      </c>
      <c r="B1374" s="1" t="n">
        <v>44463</v>
      </c>
      <c r="C1374" s="1" t="n">
        <v>45627</v>
      </c>
      <c r="D1374" t="inlineStr">
        <is>
          <t>HALLANDS LÄN</t>
        </is>
      </c>
      <c r="E1374" t="inlineStr">
        <is>
          <t>FALKENBERG</t>
        </is>
      </c>
      <c r="G1374" t="n">
        <v>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52580-2021</t>
        </is>
      </c>
      <c r="B1375" s="1" t="n">
        <v>44466</v>
      </c>
      <c r="C1375" s="1" t="n">
        <v>45627</v>
      </c>
      <c r="D1375" t="inlineStr">
        <is>
          <t>HALLANDS LÄN</t>
        </is>
      </c>
      <c r="E1375" t="inlineStr">
        <is>
          <t>VARBERG</t>
        </is>
      </c>
      <c r="G1375" t="n">
        <v>2.2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52577-2021</t>
        </is>
      </c>
      <c r="B1376" s="1" t="n">
        <v>44466</v>
      </c>
      <c r="C1376" s="1" t="n">
        <v>45627</v>
      </c>
      <c r="D1376" t="inlineStr">
        <is>
          <t>HALLANDS LÄN</t>
        </is>
      </c>
      <c r="E1376" t="inlineStr">
        <is>
          <t>VARBERG</t>
        </is>
      </c>
      <c r="G1376" t="n">
        <v>1.1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52469-2021</t>
        </is>
      </c>
      <c r="B1377" s="1" t="n">
        <v>44466</v>
      </c>
      <c r="C1377" s="1" t="n">
        <v>45627</v>
      </c>
      <c r="D1377" t="inlineStr">
        <is>
          <t>HALLANDS LÄN</t>
        </is>
      </c>
      <c r="E1377" t="inlineStr">
        <is>
          <t>HALMSTAD</t>
        </is>
      </c>
      <c r="G1377" t="n">
        <v>1.6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52504-2021</t>
        </is>
      </c>
      <c r="B1378" s="1" t="n">
        <v>44466</v>
      </c>
      <c r="C1378" s="1" t="n">
        <v>45627</v>
      </c>
      <c r="D1378" t="inlineStr">
        <is>
          <t>HALLANDS LÄN</t>
        </is>
      </c>
      <c r="E1378" t="inlineStr">
        <is>
          <t>FALKENBERG</t>
        </is>
      </c>
      <c r="G1378" t="n">
        <v>1.6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52477-2021</t>
        </is>
      </c>
      <c r="B1379" s="1" t="n">
        <v>44466</v>
      </c>
      <c r="C1379" s="1" t="n">
        <v>45627</v>
      </c>
      <c r="D1379" t="inlineStr">
        <is>
          <t>HALLANDS LÄN</t>
        </is>
      </c>
      <c r="E1379" t="inlineStr">
        <is>
          <t>FALKENBERG</t>
        </is>
      </c>
      <c r="G1379" t="n">
        <v>0.3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52769-2021</t>
        </is>
      </c>
      <c r="B1380" s="1" t="n">
        <v>44467</v>
      </c>
      <c r="C1380" s="1" t="n">
        <v>45627</v>
      </c>
      <c r="D1380" t="inlineStr">
        <is>
          <t>HALLANDS LÄN</t>
        </is>
      </c>
      <c r="E1380" t="inlineStr">
        <is>
          <t>FALKENBERG</t>
        </is>
      </c>
      <c r="G1380" t="n">
        <v>3.6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52772-2021</t>
        </is>
      </c>
      <c r="B1381" s="1" t="n">
        <v>44467</v>
      </c>
      <c r="C1381" s="1" t="n">
        <v>45627</v>
      </c>
      <c r="D1381" t="inlineStr">
        <is>
          <t>HALLANDS LÄN</t>
        </is>
      </c>
      <c r="E1381" t="inlineStr">
        <is>
          <t>FALKENBERG</t>
        </is>
      </c>
      <c r="G1381" t="n">
        <v>0.6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52771-2021</t>
        </is>
      </c>
      <c r="B1382" s="1" t="n">
        <v>44467</v>
      </c>
      <c r="C1382" s="1" t="n">
        <v>45627</v>
      </c>
      <c r="D1382" t="inlineStr">
        <is>
          <t>HALLANDS LÄN</t>
        </is>
      </c>
      <c r="E1382" t="inlineStr">
        <is>
          <t>FALKENBERG</t>
        </is>
      </c>
      <c r="G1382" t="n">
        <v>0.4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53051-2021</t>
        </is>
      </c>
      <c r="B1383" s="1" t="n">
        <v>44467</v>
      </c>
      <c r="C1383" s="1" t="n">
        <v>45627</v>
      </c>
      <c r="D1383" t="inlineStr">
        <is>
          <t>HALLANDS LÄN</t>
        </is>
      </c>
      <c r="E1383" t="inlineStr">
        <is>
          <t>KUNGSBACKA</t>
        </is>
      </c>
      <c r="F1383" t="inlineStr">
        <is>
          <t>Kommuner</t>
        </is>
      </c>
      <c r="G1383" t="n">
        <v>3.5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53076-2021</t>
        </is>
      </c>
      <c r="B1384" s="1" t="n">
        <v>44467</v>
      </c>
      <c r="C1384" s="1" t="n">
        <v>45627</v>
      </c>
      <c r="D1384" t="inlineStr">
        <is>
          <t>HALLANDS LÄN</t>
        </is>
      </c>
      <c r="E1384" t="inlineStr">
        <is>
          <t>FALKENBERG</t>
        </is>
      </c>
      <c r="G1384" t="n">
        <v>0.5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53081-2021</t>
        </is>
      </c>
      <c r="B1385" s="1" t="n">
        <v>44467</v>
      </c>
      <c r="C1385" s="1" t="n">
        <v>45627</v>
      </c>
      <c r="D1385" t="inlineStr">
        <is>
          <t>HALLANDS LÄN</t>
        </is>
      </c>
      <c r="E1385" t="inlineStr">
        <is>
          <t>FALKENBERG</t>
        </is>
      </c>
      <c r="G1385" t="n">
        <v>0.6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52909-2021</t>
        </is>
      </c>
      <c r="B1386" s="1" t="n">
        <v>44467</v>
      </c>
      <c r="C1386" s="1" t="n">
        <v>45627</v>
      </c>
      <c r="D1386" t="inlineStr">
        <is>
          <t>HALLANDS LÄN</t>
        </is>
      </c>
      <c r="E1386" t="inlineStr">
        <is>
          <t>KUNGSBACKA</t>
        </is>
      </c>
      <c r="G1386" t="n">
        <v>2.5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53069-2021</t>
        </is>
      </c>
      <c r="B1387" s="1" t="n">
        <v>44467</v>
      </c>
      <c r="C1387" s="1" t="n">
        <v>45627</v>
      </c>
      <c r="D1387" t="inlineStr">
        <is>
          <t>HALLANDS LÄN</t>
        </is>
      </c>
      <c r="E1387" t="inlineStr">
        <is>
          <t>FALKENBERG</t>
        </is>
      </c>
      <c r="G1387" t="n">
        <v>3.4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53127-2021</t>
        </is>
      </c>
      <c r="B1388" s="1" t="n">
        <v>44468</v>
      </c>
      <c r="C1388" s="1" t="n">
        <v>45627</v>
      </c>
      <c r="D1388" t="inlineStr">
        <is>
          <t>HALLANDS LÄN</t>
        </is>
      </c>
      <c r="E1388" t="inlineStr">
        <is>
          <t>LAHOLM</t>
        </is>
      </c>
      <c r="G1388" t="n">
        <v>1.9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53128-2021</t>
        </is>
      </c>
      <c r="B1389" s="1" t="n">
        <v>44468</v>
      </c>
      <c r="C1389" s="1" t="n">
        <v>45627</v>
      </c>
      <c r="D1389" t="inlineStr">
        <is>
          <t>HALLANDS LÄN</t>
        </is>
      </c>
      <c r="E1389" t="inlineStr">
        <is>
          <t>LAHOLM</t>
        </is>
      </c>
      <c r="G1389" t="n">
        <v>0.6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53378-2021</t>
        </is>
      </c>
      <c r="B1390" s="1" t="n">
        <v>44468</v>
      </c>
      <c r="C1390" s="1" t="n">
        <v>45627</v>
      </c>
      <c r="D1390" t="inlineStr">
        <is>
          <t>HALLANDS LÄN</t>
        </is>
      </c>
      <c r="E1390" t="inlineStr">
        <is>
          <t>KUNGSBACKA</t>
        </is>
      </c>
      <c r="G1390" t="n">
        <v>0.8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53380-2021</t>
        </is>
      </c>
      <c r="B1391" s="1" t="n">
        <v>44468</v>
      </c>
      <c r="C1391" s="1" t="n">
        <v>45627</v>
      </c>
      <c r="D1391" t="inlineStr">
        <is>
          <t>HALLANDS LÄN</t>
        </is>
      </c>
      <c r="E1391" t="inlineStr">
        <is>
          <t>KUNGSBACKA</t>
        </is>
      </c>
      <c r="G1391" t="n">
        <v>0.7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53598-2021</t>
        </is>
      </c>
      <c r="B1392" s="1" t="n">
        <v>44469</v>
      </c>
      <c r="C1392" s="1" t="n">
        <v>45627</v>
      </c>
      <c r="D1392" t="inlineStr">
        <is>
          <t>HALLANDS LÄN</t>
        </is>
      </c>
      <c r="E1392" t="inlineStr">
        <is>
          <t>LAHOLM</t>
        </is>
      </c>
      <c r="G1392" t="n">
        <v>3.6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53584-2021</t>
        </is>
      </c>
      <c r="B1393" s="1" t="n">
        <v>44469</v>
      </c>
      <c r="C1393" s="1" t="n">
        <v>45627</v>
      </c>
      <c r="D1393" t="inlineStr">
        <is>
          <t>HALLANDS LÄN</t>
        </is>
      </c>
      <c r="E1393" t="inlineStr">
        <is>
          <t>HYLTE</t>
        </is>
      </c>
      <c r="G1393" t="n">
        <v>2.1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53615-2021</t>
        </is>
      </c>
      <c r="B1394" s="1" t="n">
        <v>44469</v>
      </c>
      <c r="C1394" s="1" t="n">
        <v>45627</v>
      </c>
      <c r="D1394" t="inlineStr">
        <is>
          <t>HALLANDS LÄN</t>
        </is>
      </c>
      <c r="E1394" t="inlineStr">
        <is>
          <t>HALMSTAD</t>
        </is>
      </c>
      <c r="G1394" t="n">
        <v>1.4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53657-2021</t>
        </is>
      </c>
      <c r="B1395" s="1" t="n">
        <v>44469</v>
      </c>
      <c r="C1395" s="1" t="n">
        <v>45627</v>
      </c>
      <c r="D1395" t="inlineStr">
        <is>
          <t>HALLANDS LÄN</t>
        </is>
      </c>
      <c r="E1395" t="inlineStr">
        <is>
          <t>FALKENBERG</t>
        </is>
      </c>
      <c r="G1395" t="n">
        <v>1.6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53693-2021</t>
        </is>
      </c>
      <c r="B1396" s="1" t="n">
        <v>44469</v>
      </c>
      <c r="C1396" s="1" t="n">
        <v>45627</v>
      </c>
      <c r="D1396" t="inlineStr">
        <is>
          <t>HALLANDS LÄN</t>
        </is>
      </c>
      <c r="E1396" t="inlineStr">
        <is>
          <t>LAHOLM</t>
        </is>
      </c>
      <c r="G1396" t="n">
        <v>1.8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53815-2021</t>
        </is>
      </c>
      <c r="B1397" s="1" t="n">
        <v>44469</v>
      </c>
      <c r="C1397" s="1" t="n">
        <v>45627</v>
      </c>
      <c r="D1397" t="inlineStr">
        <is>
          <t>HALLANDS LÄN</t>
        </is>
      </c>
      <c r="E1397" t="inlineStr">
        <is>
          <t>HYLTE</t>
        </is>
      </c>
      <c r="G1397" t="n">
        <v>1.1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53939-2021</t>
        </is>
      </c>
      <c r="B1398" s="1" t="n">
        <v>44469</v>
      </c>
      <c r="C1398" s="1" t="n">
        <v>45627</v>
      </c>
      <c r="D1398" t="inlineStr">
        <is>
          <t>HALLANDS LÄN</t>
        </is>
      </c>
      <c r="E1398" t="inlineStr">
        <is>
          <t>FALKENBERG</t>
        </is>
      </c>
      <c r="G1398" t="n">
        <v>0.2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53813-2021</t>
        </is>
      </c>
      <c r="B1399" s="1" t="n">
        <v>44469</v>
      </c>
      <c r="C1399" s="1" t="n">
        <v>45627</v>
      </c>
      <c r="D1399" t="inlineStr">
        <is>
          <t>HALLANDS LÄN</t>
        </is>
      </c>
      <c r="E1399" t="inlineStr">
        <is>
          <t>HYLTE</t>
        </is>
      </c>
      <c r="G1399" t="n">
        <v>0.5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53941-2021</t>
        </is>
      </c>
      <c r="B1400" s="1" t="n">
        <v>44469</v>
      </c>
      <c r="C1400" s="1" t="n">
        <v>45627</v>
      </c>
      <c r="D1400" t="inlineStr">
        <is>
          <t>HALLANDS LÄN</t>
        </is>
      </c>
      <c r="E1400" t="inlineStr">
        <is>
          <t>LAHOLM</t>
        </is>
      </c>
      <c r="G1400" t="n">
        <v>2.5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54048-2021</t>
        </is>
      </c>
      <c r="B1401" s="1" t="n">
        <v>44470</v>
      </c>
      <c r="C1401" s="1" t="n">
        <v>45627</v>
      </c>
      <c r="D1401" t="inlineStr">
        <is>
          <t>HALLANDS LÄN</t>
        </is>
      </c>
      <c r="E1401" t="inlineStr">
        <is>
          <t>VARBERG</t>
        </is>
      </c>
      <c r="G1401" t="n">
        <v>1.9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54105-2021</t>
        </is>
      </c>
      <c r="B1402" s="1" t="n">
        <v>44470</v>
      </c>
      <c r="C1402" s="1" t="n">
        <v>45627</v>
      </c>
      <c r="D1402" t="inlineStr">
        <is>
          <t>HALLANDS LÄN</t>
        </is>
      </c>
      <c r="E1402" t="inlineStr">
        <is>
          <t>HALMSTAD</t>
        </is>
      </c>
      <c r="G1402" t="n">
        <v>1.6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54114-2021</t>
        </is>
      </c>
      <c r="B1403" s="1" t="n">
        <v>44470</v>
      </c>
      <c r="C1403" s="1" t="n">
        <v>45627</v>
      </c>
      <c r="D1403" t="inlineStr">
        <is>
          <t>HALLANDS LÄN</t>
        </is>
      </c>
      <c r="E1403" t="inlineStr">
        <is>
          <t>HALMSTAD</t>
        </is>
      </c>
      <c r="G1403" t="n">
        <v>2.5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54111-2021</t>
        </is>
      </c>
      <c r="B1404" s="1" t="n">
        <v>44470</v>
      </c>
      <c r="C1404" s="1" t="n">
        <v>45627</v>
      </c>
      <c r="D1404" t="inlineStr">
        <is>
          <t>HALLANDS LÄN</t>
        </is>
      </c>
      <c r="E1404" t="inlineStr">
        <is>
          <t>HALMSTAD</t>
        </is>
      </c>
      <c r="G1404" t="n">
        <v>0.6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54118-2021</t>
        </is>
      </c>
      <c r="B1405" s="1" t="n">
        <v>44470</v>
      </c>
      <c r="C1405" s="1" t="n">
        <v>45627</v>
      </c>
      <c r="D1405" t="inlineStr">
        <is>
          <t>HALLANDS LÄN</t>
        </is>
      </c>
      <c r="E1405" t="inlineStr">
        <is>
          <t>HALMSTAD</t>
        </is>
      </c>
      <c r="G1405" t="n">
        <v>6.1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54248-2021</t>
        </is>
      </c>
      <c r="B1406" s="1" t="n">
        <v>44470</v>
      </c>
      <c r="C1406" s="1" t="n">
        <v>45627</v>
      </c>
      <c r="D1406" t="inlineStr">
        <is>
          <t>HALLANDS LÄN</t>
        </is>
      </c>
      <c r="E1406" t="inlineStr">
        <is>
          <t>VARBERG</t>
        </is>
      </c>
      <c r="G1406" t="n">
        <v>1.3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54290-2021</t>
        </is>
      </c>
      <c r="B1407" s="1" t="n">
        <v>44471</v>
      </c>
      <c r="C1407" s="1" t="n">
        <v>45627</v>
      </c>
      <c r="D1407" t="inlineStr">
        <is>
          <t>HALLANDS LÄN</t>
        </is>
      </c>
      <c r="E1407" t="inlineStr">
        <is>
          <t>FALKENBERG</t>
        </is>
      </c>
      <c r="G1407" t="n">
        <v>6.4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54342-2021</t>
        </is>
      </c>
      <c r="B1408" s="1" t="n">
        <v>44473</v>
      </c>
      <c r="C1408" s="1" t="n">
        <v>45627</v>
      </c>
      <c r="D1408" t="inlineStr">
        <is>
          <t>HALLANDS LÄN</t>
        </is>
      </c>
      <c r="E1408" t="inlineStr">
        <is>
          <t>VARBERG</t>
        </is>
      </c>
      <c r="G1408" t="n">
        <v>1.3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54646-2021</t>
        </is>
      </c>
      <c r="B1409" s="1" t="n">
        <v>44473</v>
      </c>
      <c r="C1409" s="1" t="n">
        <v>45627</v>
      </c>
      <c r="D1409" t="inlineStr">
        <is>
          <t>HALLANDS LÄN</t>
        </is>
      </c>
      <c r="E1409" t="inlineStr">
        <is>
          <t>LAHOLM</t>
        </is>
      </c>
      <c r="G1409" t="n">
        <v>1.1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55025-2021</t>
        </is>
      </c>
      <c r="B1410" s="1" t="n">
        <v>44474</v>
      </c>
      <c r="C1410" s="1" t="n">
        <v>45627</v>
      </c>
      <c r="D1410" t="inlineStr">
        <is>
          <t>HALLANDS LÄN</t>
        </is>
      </c>
      <c r="E1410" t="inlineStr">
        <is>
          <t>HALMSTAD</t>
        </is>
      </c>
      <c r="G1410" t="n">
        <v>4.6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54838-2021</t>
        </is>
      </c>
      <c r="B1411" s="1" t="n">
        <v>44474</v>
      </c>
      <c r="C1411" s="1" t="n">
        <v>45627</v>
      </c>
      <c r="D1411" t="inlineStr">
        <is>
          <t>HALLANDS LÄN</t>
        </is>
      </c>
      <c r="E1411" t="inlineStr">
        <is>
          <t>HALMSTAD</t>
        </is>
      </c>
      <c r="G1411" t="n">
        <v>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54931-2021</t>
        </is>
      </c>
      <c r="B1412" s="1" t="n">
        <v>44474</v>
      </c>
      <c r="C1412" s="1" t="n">
        <v>45627</v>
      </c>
      <c r="D1412" t="inlineStr">
        <is>
          <t>HALLANDS LÄN</t>
        </is>
      </c>
      <c r="E1412" t="inlineStr">
        <is>
          <t>LAHOLM</t>
        </is>
      </c>
      <c r="G1412" t="n">
        <v>0.7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55183-2021</t>
        </is>
      </c>
      <c r="B1413" s="1" t="n">
        <v>44475</v>
      </c>
      <c r="C1413" s="1" t="n">
        <v>45627</v>
      </c>
      <c r="D1413" t="inlineStr">
        <is>
          <t>HALLANDS LÄN</t>
        </is>
      </c>
      <c r="E1413" t="inlineStr">
        <is>
          <t>HALMSTAD</t>
        </is>
      </c>
      <c r="G1413" t="n">
        <v>0.7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55248-2021</t>
        </is>
      </c>
      <c r="B1414" s="1" t="n">
        <v>44475</v>
      </c>
      <c r="C1414" s="1" t="n">
        <v>45627</v>
      </c>
      <c r="D1414" t="inlineStr">
        <is>
          <t>HALLANDS LÄN</t>
        </is>
      </c>
      <c r="E1414" t="inlineStr">
        <is>
          <t>HYLTE</t>
        </is>
      </c>
      <c r="G1414" t="n">
        <v>1.9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55261-2021</t>
        </is>
      </c>
      <c r="B1415" s="1" t="n">
        <v>44475</v>
      </c>
      <c r="C1415" s="1" t="n">
        <v>45627</v>
      </c>
      <c r="D1415" t="inlineStr">
        <is>
          <t>HALLANDS LÄN</t>
        </is>
      </c>
      <c r="E1415" t="inlineStr">
        <is>
          <t>HYLTE</t>
        </is>
      </c>
      <c r="G1415" t="n">
        <v>0.8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55477-2021</t>
        </is>
      </c>
      <c r="B1416" s="1" t="n">
        <v>44475</v>
      </c>
      <c r="C1416" s="1" t="n">
        <v>45627</v>
      </c>
      <c r="D1416" t="inlineStr">
        <is>
          <t>HALLANDS LÄN</t>
        </is>
      </c>
      <c r="E1416" t="inlineStr">
        <is>
          <t>KUNGSBACKA</t>
        </is>
      </c>
      <c r="G1416" t="n">
        <v>0.8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55792-2021</t>
        </is>
      </c>
      <c r="B1417" s="1" t="n">
        <v>44476</v>
      </c>
      <c r="C1417" s="1" t="n">
        <v>45627</v>
      </c>
      <c r="D1417" t="inlineStr">
        <is>
          <t>HALLANDS LÄN</t>
        </is>
      </c>
      <c r="E1417" t="inlineStr">
        <is>
          <t>HYLTE</t>
        </is>
      </c>
      <c r="G1417" t="n">
        <v>1.1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55750-2021</t>
        </is>
      </c>
      <c r="B1418" s="1" t="n">
        <v>44476</v>
      </c>
      <c r="C1418" s="1" t="n">
        <v>45627</v>
      </c>
      <c r="D1418" t="inlineStr">
        <is>
          <t>HALLANDS LÄN</t>
        </is>
      </c>
      <c r="E1418" t="inlineStr">
        <is>
          <t>HYLTE</t>
        </is>
      </c>
      <c r="G1418" t="n">
        <v>0.8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56422-2021</t>
        </is>
      </c>
      <c r="B1419" s="1" t="n">
        <v>44477</v>
      </c>
      <c r="C1419" s="1" t="n">
        <v>45627</v>
      </c>
      <c r="D1419" t="inlineStr">
        <is>
          <t>HALLANDS LÄN</t>
        </is>
      </c>
      <c r="E1419" t="inlineStr">
        <is>
          <t>HYLTE</t>
        </is>
      </c>
      <c r="G1419" t="n">
        <v>2.3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56034-2021</t>
        </is>
      </c>
      <c r="B1420" s="1" t="n">
        <v>44477</v>
      </c>
      <c r="C1420" s="1" t="n">
        <v>45627</v>
      </c>
      <c r="D1420" t="inlineStr">
        <is>
          <t>HALLANDS LÄN</t>
        </is>
      </c>
      <c r="E1420" t="inlineStr">
        <is>
          <t>HYLTE</t>
        </is>
      </c>
      <c r="G1420" t="n">
        <v>0.5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56441-2021</t>
        </is>
      </c>
      <c r="B1421" s="1" t="n">
        <v>44477</v>
      </c>
      <c r="C1421" s="1" t="n">
        <v>45627</v>
      </c>
      <c r="D1421" t="inlineStr">
        <is>
          <t>HALLANDS LÄN</t>
        </is>
      </c>
      <c r="E1421" t="inlineStr">
        <is>
          <t>HYLTE</t>
        </is>
      </c>
      <c r="G1421" t="n">
        <v>3.5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56554-2021</t>
        </is>
      </c>
      <c r="B1422" s="1" t="n">
        <v>44480</v>
      </c>
      <c r="C1422" s="1" t="n">
        <v>45627</v>
      </c>
      <c r="D1422" t="inlineStr">
        <is>
          <t>HALLANDS LÄN</t>
        </is>
      </c>
      <c r="E1422" t="inlineStr">
        <is>
          <t>HYLTE</t>
        </is>
      </c>
      <c r="G1422" t="n">
        <v>3.6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56631-2021</t>
        </is>
      </c>
      <c r="B1423" s="1" t="n">
        <v>44480</v>
      </c>
      <c r="C1423" s="1" t="n">
        <v>45627</v>
      </c>
      <c r="D1423" t="inlineStr">
        <is>
          <t>HALLANDS LÄN</t>
        </is>
      </c>
      <c r="E1423" t="inlineStr">
        <is>
          <t>VARBERG</t>
        </is>
      </c>
      <c r="G1423" t="n">
        <v>5.1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56775-2021</t>
        </is>
      </c>
      <c r="B1424" s="1" t="n">
        <v>44481</v>
      </c>
      <c r="C1424" s="1" t="n">
        <v>45627</v>
      </c>
      <c r="D1424" t="inlineStr">
        <is>
          <t>HALLANDS LÄN</t>
        </is>
      </c>
      <c r="E1424" t="inlineStr">
        <is>
          <t>FALKENBERG</t>
        </is>
      </c>
      <c r="G1424" t="n">
        <v>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56806-2021</t>
        </is>
      </c>
      <c r="B1425" s="1" t="n">
        <v>44481</v>
      </c>
      <c r="C1425" s="1" t="n">
        <v>45627</v>
      </c>
      <c r="D1425" t="inlineStr">
        <is>
          <t>HALLANDS LÄN</t>
        </is>
      </c>
      <c r="E1425" t="inlineStr">
        <is>
          <t>HYLTE</t>
        </is>
      </c>
      <c r="G1425" t="n">
        <v>0.9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56853-2021</t>
        </is>
      </c>
      <c r="B1426" s="1" t="n">
        <v>44481</v>
      </c>
      <c r="C1426" s="1" t="n">
        <v>45627</v>
      </c>
      <c r="D1426" t="inlineStr">
        <is>
          <t>HALLANDS LÄN</t>
        </is>
      </c>
      <c r="E1426" t="inlineStr">
        <is>
          <t>VARBERG</t>
        </is>
      </c>
      <c r="G1426" t="n">
        <v>1.8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56804-2021</t>
        </is>
      </c>
      <c r="B1427" s="1" t="n">
        <v>44481</v>
      </c>
      <c r="C1427" s="1" t="n">
        <v>45627</v>
      </c>
      <c r="D1427" t="inlineStr">
        <is>
          <t>HALLANDS LÄN</t>
        </is>
      </c>
      <c r="E1427" t="inlineStr">
        <is>
          <t>HYLTE</t>
        </is>
      </c>
      <c r="G1427" t="n">
        <v>0.8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57016-2021</t>
        </is>
      </c>
      <c r="B1428" s="1" t="n">
        <v>44482</v>
      </c>
      <c r="C1428" s="1" t="n">
        <v>45627</v>
      </c>
      <c r="D1428" t="inlineStr">
        <is>
          <t>HALLANDS LÄN</t>
        </is>
      </c>
      <c r="E1428" t="inlineStr">
        <is>
          <t>HYLTE</t>
        </is>
      </c>
      <c r="G1428" t="n">
        <v>1.6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57031-2021</t>
        </is>
      </c>
      <c r="B1429" s="1" t="n">
        <v>44482</v>
      </c>
      <c r="C1429" s="1" t="n">
        <v>45627</v>
      </c>
      <c r="D1429" t="inlineStr">
        <is>
          <t>HALLANDS LÄN</t>
        </is>
      </c>
      <c r="E1429" t="inlineStr">
        <is>
          <t>HALMSTAD</t>
        </is>
      </c>
      <c r="G1429" t="n">
        <v>0.9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57037-2021</t>
        </is>
      </c>
      <c r="B1430" s="1" t="n">
        <v>44482</v>
      </c>
      <c r="C1430" s="1" t="n">
        <v>45627</v>
      </c>
      <c r="D1430" t="inlineStr">
        <is>
          <t>HALLANDS LÄN</t>
        </is>
      </c>
      <c r="E1430" t="inlineStr">
        <is>
          <t>HALMSTAD</t>
        </is>
      </c>
      <c r="G1430" t="n">
        <v>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57006-2021</t>
        </is>
      </c>
      <c r="B1431" s="1" t="n">
        <v>44482</v>
      </c>
      <c r="C1431" s="1" t="n">
        <v>45627</v>
      </c>
      <c r="D1431" t="inlineStr">
        <is>
          <t>HALLANDS LÄN</t>
        </is>
      </c>
      <c r="E1431" t="inlineStr">
        <is>
          <t>HYLTE</t>
        </is>
      </c>
      <c r="G1431" t="n">
        <v>1.4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57013-2021</t>
        </is>
      </c>
      <c r="B1432" s="1" t="n">
        <v>44482</v>
      </c>
      <c r="C1432" s="1" t="n">
        <v>45627</v>
      </c>
      <c r="D1432" t="inlineStr">
        <is>
          <t>HALLANDS LÄN</t>
        </is>
      </c>
      <c r="E1432" t="inlineStr">
        <is>
          <t>HALMSTAD</t>
        </is>
      </c>
      <c r="G1432" t="n">
        <v>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57021-2021</t>
        </is>
      </c>
      <c r="B1433" s="1" t="n">
        <v>44482</v>
      </c>
      <c r="C1433" s="1" t="n">
        <v>45627</v>
      </c>
      <c r="D1433" t="inlineStr">
        <is>
          <t>HALLANDS LÄN</t>
        </is>
      </c>
      <c r="E1433" t="inlineStr">
        <is>
          <t>HALMSTAD</t>
        </is>
      </c>
      <c r="G1433" t="n">
        <v>9.300000000000001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57034-2021</t>
        </is>
      </c>
      <c r="B1434" s="1" t="n">
        <v>44482</v>
      </c>
      <c r="C1434" s="1" t="n">
        <v>45627</v>
      </c>
      <c r="D1434" t="inlineStr">
        <is>
          <t>HALLANDS LÄN</t>
        </is>
      </c>
      <c r="E1434" t="inlineStr">
        <is>
          <t>KUNGSBACKA</t>
        </is>
      </c>
      <c r="G1434" t="n">
        <v>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57015-2021</t>
        </is>
      </c>
      <c r="B1435" s="1" t="n">
        <v>44482</v>
      </c>
      <c r="C1435" s="1" t="n">
        <v>45627</v>
      </c>
      <c r="D1435" t="inlineStr">
        <is>
          <t>HALLANDS LÄN</t>
        </is>
      </c>
      <c r="E1435" t="inlineStr">
        <is>
          <t>HYLTE</t>
        </is>
      </c>
      <c r="G1435" t="n">
        <v>0.7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57025-2021</t>
        </is>
      </c>
      <c r="B1436" s="1" t="n">
        <v>44482</v>
      </c>
      <c r="C1436" s="1" t="n">
        <v>45627</v>
      </c>
      <c r="D1436" t="inlineStr">
        <is>
          <t>HALLANDS LÄN</t>
        </is>
      </c>
      <c r="E1436" t="inlineStr">
        <is>
          <t>HALMSTAD</t>
        </is>
      </c>
      <c r="G1436" t="n">
        <v>5.6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57089-2021</t>
        </is>
      </c>
      <c r="B1437" s="1" t="n">
        <v>44482</v>
      </c>
      <c r="C1437" s="1" t="n">
        <v>45627</v>
      </c>
      <c r="D1437" t="inlineStr">
        <is>
          <t>HALLANDS LÄN</t>
        </is>
      </c>
      <c r="E1437" t="inlineStr">
        <is>
          <t>HYLTE</t>
        </is>
      </c>
      <c r="G1437" t="n">
        <v>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57327-2021</t>
        </is>
      </c>
      <c r="B1438" s="1" t="n">
        <v>44483</v>
      </c>
      <c r="C1438" s="1" t="n">
        <v>45627</v>
      </c>
      <c r="D1438" t="inlineStr">
        <is>
          <t>HALLANDS LÄN</t>
        </is>
      </c>
      <c r="E1438" t="inlineStr">
        <is>
          <t>LAHOLM</t>
        </is>
      </c>
      <c r="G1438" t="n">
        <v>1.5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57267-2021</t>
        </is>
      </c>
      <c r="B1439" s="1" t="n">
        <v>44483</v>
      </c>
      <c r="C1439" s="1" t="n">
        <v>45627</v>
      </c>
      <c r="D1439" t="inlineStr">
        <is>
          <t>HALLANDS LÄN</t>
        </is>
      </c>
      <c r="E1439" t="inlineStr">
        <is>
          <t>LAHOLM</t>
        </is>
      </c>
      <c r="G1439" t="n">
        <v>0.7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57437-2021</t>
        </is>
      </c>
      <c r="B1440" s="1" t="n">
        <v>44483</v>
      </c>
      <c r="C1440" s="1" t="n">
        <v>45627</v>
      </c>
      <c r="D1440" t="inlineStr">
        <is>
          <t>HALLANDS LÄN</t>
        </is>
      </c>
      <c r="E1440" t="inlineStr">
        <is>
          <t>HYLTE</t>
        </is>
      </c>
      <c r="G1440" t="n">
        <v>2.2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57320-2021</t>
        </is>
      </c>
      <c r="B1441" s="1" t="n">
        <v>44483</v>
      </c>
      <c r="C1441" s="1" t="n">
        <v>45627</v>
      </c>
      <c r="D1441" t="inlineStr">
        <is>
          <t>HALLANDS LÄN</t>
        </is>
      </c>
      <c r="E1441" t="inlineStr">
        <is>
          <t>LAHOLM</t>
        </is>
      </c>
      <c r="G1441" t="n">
        <v>5.8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57383-2021</t>
        </is>
      </c>
      <c r="B1442" s="1" t="n">
        <v>44483</v>
      </c>
      <c r="C1442" s="1" t="n">
        <v>45627</v>
      </c>
      <c r="D1442" t="inlineStr">
        <is>
          <t>HALLANDS LÄN</t>
        </is>
      </c>
      <c r="E1442" t="inlineStr">
        <is>
          <t>HYLTE</t>
        </is>
      </c>
      <c r="G1442" t="n">
        <v>1.8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57334-2021</t>
        </is>
      </c>
      <c r="B1443" s="1" t="n">
        <v>44483</v>
      </c>
      <c r="C1443" s="1" t="n">
        <v>45627</v>
      </c>
      <c r="D1443" t="inlineStr">
        <is>
          <t>HALLANDS LÄN</t>
        </is>
      </c>
      <c r="E1443" t="inlineStr">
        <is>
          <t>LAHOLM</t>
        </is>
      </c>
      <c r="G1443" t="n">
        <v>0.4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57397-2021</t>
        </is>
      </c>
      <c r="B1444" s="1" t="n">
        <v>44483</v>
      </c>
      <c r="C1444" s="1" t="n">
        <v>45627</v>
      </c>
      <c r="D1444" t="inlineStr">
        <is>
          <t>HALLANDS LÄN</t>
        </is>
      </c>
      <c r="E1444" t="inlineStr">
        <is>
          <t>HYLTE</t>
        </is>
      </c>
      <c r="G1444" t="n">
        <v>1.1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57439-2021</t>
        </is>
      </c>
      <c r="B1445" s="1" t="n">
        <v>44483</v>
      </c>
      <c r="C1445" s="1" t="n">
        <v>45627</v>
      </c>
      <c r="D1445" t="inlineStr">
        <is>
          <t>HALLANDS LÄN</t>
        </is>
      </c>
      <c r="E1445" t="inlineStr">
        <is>
          <t>HYLTE</t>
        </is>
      </c>
      <c r="G1445" t="n">
        <v>0.6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57701-2021</t>
        </is>
      </c>
      <c r="B1446" s="1" t="n">
        <v>44484</v>
      </c>
      <c r="C1446" s="1" t="n">
        <v>45627</v>
      </c>
      <c r="D1446" t="inlineStr">
        <is>
          <t>HALLANDS LÄN</t>
        </is>
      </c>
      <c r="E1446" t="inlineStr">
        <is>
          <t>LAHOLM</t>
        </is>
      </c>
      <c r="G1446" t="n">
        <v>0.8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58051-2021</t>
        </is>
      </c>
      <c r="B1447" s="1" t="n">
        <v>44487</v>
      </c>
      <c r="C1447" s="1" t="n">
        <v>45627</v>
      </c>
      <c r="D1447" t="inlineStr">
        <is>
          <t>HALLANDS LÄN</t>
        </is>
      </c>
      <c r="E1447" t="inlineStr">
        <is>
          <t>HYLTE</t>
        </is>
      </c>
      <c r="F1447" t="inlineStr">
        <is>
          <t>Bergvik skog väst AB</t>
        </is>
      </c>
      <c r="G1447" t="n">
        <v>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58045-2021</t>
        </is>
      </c>
      <c r="B1448" s="1" t="n">
        <v>44487</v>
      </c>
      <c r="C1448" s="1" t="n">
        <v>45627</v>
      </c>
      <c r="D1448" t="inlineStr">
        <is>
          <t>HALLANDS LÄN</t>
        </is>
      </c>
      <c r="E1448" t="inlineStr">
        <is>
          <t>HYLTE</t>
        </is>
      </c>
      <c r="F1448" t="inlineStr">
        <is>
          <t>Bergvik skog väst AB</t>
        </is>
      </c>
      <c r="G1448" t="n">
        <v>5.2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58118-2021</t>
        </is>
      </c>
      <c r="B1449" s="1" t="n">
        <v>44487</v>
      </c>
      <c r="C1449" s="1" t="n">
        <v>45627</v>
      </c>
      <c r="D1449" t="inlineStr">
        <is>
          <t>HALLANDS LÄN</t>
        </is>
      </c>
      <c r="E1449" t="inlineStr">
        <is>
          <t>KUNGSBACKA</t>
        </is>
      </c>
      <c r="G1449" t="n">
        <v>0.5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58248-2021</t>
        </is>
      </c>
      <c r="B1450" s="1" t="n">
        <v>44488</v>
      </c>
      <c r="C1450" s="1" t="n">
        <v>45627</v>
      </c>
      <c r="D1450" t="inlineStr">
        <is>
          <t>HALLANDS LÄN</t>
        </is>
      </c>
      <c r="E1450" t="inlineStr">
        <is>
          <t>HYLTE</t>
        </is>
      </c>
      <c r="G1450" t="n">
        <v>0.9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58499-2021</t>
        </is>
      </c>
      <c r="B1451" s="1" t="n">
        <v>44488</v>
      </c>
      <c r="C1451" s="1" t="n">
        <v>45627</v>
      </c>
      <c r="D1451" t="inlineStr">
        <is>
          <t>HALLANDS LÄN</t>
        </is>
      </c>
      <c r="E1451" t="inlineStr">
        <is>
          <t>HYLTE</t>
        </is>
      </c>
      <c r="G1451" t="n">
        <v>1.4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58678-2021</t>
        </is>
      </c>
      <c r="B1452" s="1" t="n">
        <v>44489</v>
      </c>
      <c r="C1452" s="1" t="n">
        <v>45627</v>
      </c>
      <c r="D1452" t="inlineStr">
        <is>
          <t>HALLANDS LÄN</t>
        </is>
      </c>
      <c r="E1452" t="inlineStr">
        <is>
          <t>KUNGSBACKA</t>
        </is>
      </c>
      <c r="F1452" t="inlineStr">
        <is>
          <t>Sveaskog</t>
        </is>
      </c>
      <c r="G1452" t="n">
        <v>10.2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58841-2021</t>
        </is>
      </c>
      <c r="B1453" s="1" t="n">
        <v>44489</v>
      </c>
      <c r="C1453" s="1" t="n">
        <v>45627</v>
      </c>
      <c r="D1453" t="inlineStr">
        <is>
          <t>HALLANDS LÄN</t>
        </is>
      </c>
      <c r="E1453" t="inlineStr">
        <is>
          <t>HYLTE</t>
        </is>
      </c>
      <c r="G1453" t="n">
        <v>2.1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58836-2021</t>
        </is>
      </c>
      <c r="B1454" s="1" t="n">
        <v>44489</v>
      </c>
      <c r="C1454" s="1" t="n">
        <v>45627</v>
      </c>
      <c r="D1454" t="inlineStr">
        <is>
          <t>HALLANDS LÄN</t>
        </is>
      </c>
      <c r="E1454" t="inlineStr">
        <is>
          <t>HYLTE</t>
        </is>
      </c>
      <c r="G1454" t="n">
        <v>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58843-2021</t>
        </is>
      </c>
      <c r="B1455" s="1" t="n">
        <v>44489</v>
      </c>
      <c r="C1455" s="1" t="n">
        <v>45627</v>
      </c>
      <c r="D1455" t="inlineStr">
        <is>
          <t>HALLANDS LÄN</t>
        </is>
      </c>
      <c r="E1455" t="inlineStr">
        <is>
          <t>HYLTE</t>
        </is>
      </c>
      <c r="G1455" t="n">
        <v>1.8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58833-2021</t>
        </is>
      </c>
      <c r="B1456" s="1" t="n">
        <v>44489</v>
      </c>
      <c r="C1456" s="1" t="n">
        <v>45627</v>
      </c>
      <c r="D1456" t="inlineStr">
        <is>
          <t>HALLANDS LÄN</t>
        </is>
      </c>
      <c r="E1456" t="inlineStr">
        <is>
          <t>FALKENBERG</t>
        </is>
      </c>
      <c r="G1456" t="n">
        <v>1.5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59429-2021</t>
        </is>
      </c>
      <c r="B1457" s="1" t="n">
        <v>44491</v>
      </c>
      <c r="C1457" s="1" t="n">
        <v>45627</v>
      </c>
      <c r="D1457" t="inlineStr">
        <is>
          <t>HALLANDS LÄN</t>
        </is>
      </c>
      <c r="E1457" t="inlineStr">
        <is>
          <t>LAHOLM</t>
        </is>
      </c>
      <c r="G1457" t="n">
        <v>1.9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59576-2021</t>
        </is>
      </c>
      <c r="B1458" s="1" t="n">
        <v>44491</v>
      </c>
      <c r="C1458" s="1" t="n">
        <v>45627</v>
      </c>
      <c r="D1458" t="inlineStr">
        <is>
          <t>HALLANDS LÄN</t>
        </is>
      </c>
      <c r="E1458" t="inlineStr">
        <is>
          <t>LAHOLM</t>
        </is>
      </c>
      <c r="F1458" t="inlineStr">
        <is>
          <t>Övriga statliga verk och myndigheter</t>
        </is>
      </c>
      <c r="G1458" t="n">
        <v>3.6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59644-2021</t>
        </is>
      </c>
      <c r="B1459" s="1" t="n">
        <v>44493</v>
      </c>
      <c r="C1459" s="1" t="n">
        <v>45627</v>
      </c>
      <c r="D1459" t="inlineStr">
        <is>
          <t>HALLANDS LÄN</t>
        </is>
      </c>
      <c r="E1459" t="inlineStr">
        <is>
          <t>VARBERG</t>
        </is>
      </c>
      <c r="G1459" t="n">
        <v>1.3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59645-2021</t>
        </is>
      </c>
      <c r="B1460" s="1" t="n">
        <v>44493</v>
      </c>
      <c r="C1460" s="1" t="n">
        <v>45627</v>
      </c>
      <c r="D1460" t="inlineStr">
        <is>
          <t>HALLANDS LÄN</t>
        </is>
      </c>
      <c r="E1460" t="inlineStr">
        <is>
          <t>VARBERG</t>
        </is>
      </c>
      <c r="G1460" t="n">
        <v>2.3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59922-2021</t>
        </is>
      </c>
      <c r="B1461" s="1" t="n">
        <v>44494</v>
      </c>
      <c r="C1461" s="1" t="n">
        <v>45627</v>
      </c>
      <c r="D1461" t="inlineStr">
        <is>
          <t>HALLANDS LÄN</t>
        </is>
      </c>
      <c r="E1461" t="inlineStr">
        <is>
          <t>HALMSTAD</t>
        </is>
      </c>
      <c r="G1461" t="n">
        <v>0.5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59948-2021</t>
        </is>
      </c>
      <c r="B1462" s="1" t="n">
        <v>44494</v>
      </c>
      <c r="C1462" s="1" t="n">
        <v>45627</v>
      </c>
      <c r="D1462" t="inlineStr">
        <is>
          <t>HALLANDS LÄN</t>
        </is>
      </c>
      <c r="E1462" t="inlineStr">
        <is>
          <t>HYLTE</t>
        </is>
      </c>
      <c r="G1462" t="n">
        <v>3.9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60211-2021</t>
        </is>
      </c>
      <c r="B1463" s="1" t="n">
        <v>44495</v>
      </c>
      <c r="C1463" s="1" t="n">
        <v>45627</v>
      </c>
      <c r="D1463" t="inlineStr">
        <is>
          <t>HALLANDS LÄN</t>
        </is>
      </c>
      <c r="E1463" t="inlineStr">
        <is>
          <t>HYLTE</t>
        </is>
      </c>
      <c r="G1463" t="n">
        <v>5.1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60196-2021</t>
        </is>
      </c>
      <c r="B1464" s="1" t="n">
        <v>44495</v>
      </c>
      <c r="C1464" s="1" t="n">
        <v>45627</v>
      </c>
      <c r="D1464" t="inlineStr">
        <is>
          <t>HALLANDS LÄN</t>
        </is>
      </c>
      <c r="E1464" t="inlineStr">
        <is>
          <t>HYLTE</t>
        </is>
      </c>
      <c r="G1464" t="n">
        <v>1.4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60221-2021</t>
        </is>
      </c>
      <c r="B1465" s="1" t="n">
        <v>44495</v>
      </c>
      <c r="C1465" s="1" t="n">
        <v>45627</v>
      </c>
      <c r="D1465" t="inlineStr">
        <is>
          <t>HALLANDS LÄN</t>
        </is>
      </c>
      <c r="E1465" t="inlineStr">
        <is>
          <t>HYLTE</t>
        </is>
      </c>
      <c r="G1465" t="n">
        <v>1.1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61226-2021</t>
        </is>
      </c>
      <c r="B1466" s="1" t="n">
        <v>44498</v>
      </c>
      <c r="C1466" s="1" t="n">
        <v>45627</v>
      </c>
      <c r="D1466" t="inlineStr">
        <is>
          <t>HALLANDS LÄN</t>
        </is>
      </c>
      <c r="E1466" t="inlineStr">
        <is>
          <t>HYLTE</t>
        </is>
      </c>
      <c r="G1466" t="n">
        <v>0.5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61380-2021</t>
        </is>
      </c>
      <c r="B1467" s="1" t="n">
        <v>44500</v>
      </c>
      <c r="C1467" s="1" t="n">
        <v>45627</v>
      </c>
      <c r="D1467" t="inlineStr">
        <is>
          <t>HALLANDS LÄN</t>
        </is>
      </c>
      <c r="E1467" t="inlineStr">
        <is>
          <t>HYLTE</t>
        </is>
      </c>
      <c r="G1467" t="n">
        <v>1.2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61681-2021</t>
        </is>
      </c>
      <c r="B1468" s="1" t="n">
        <v>44501</v>
      </c>
      <c r="C1468" s="1" t="n">
        <v>45627</v>
      </c>
      <c r="D1468" t="inlineStr">
        <is>
          <t>HALLANDS LÄN</t>
        </is>
      </c>
      <c r="E1468" t="inlineStr">
        <is>
          <t>HYLTE</t>
        </is>
      </c>
      <c r="G1468" t="n">
        <v>1.9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61785-2021</t>
        </is>
      </c>
      <c r="B1469" s="1" t="n">
        <v>44501</v>
      </c>
      <c r="C1469" s="1" t="n">
        <v>45627</v>
      </c>
      <c r="D1469" t="inlineStr">
        <is>
          <t>HALLANDS LÄN</t>
        </is>
      </c>
      <c r="E1469" t="inlineStr">
        <is>
          <t>LAHOLM</t>
        </is>
      </c>
      <c r="G1469" t="n">
        <v>0.5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61711-2021</t>
        </is>
      </c>
      <c r="B1470" s="1" t="n">
        <v>44501</v>
      </c>
      <c r="C1470" s="1" t="n">
        <v>45627</v>
      </c>
      <c r="D1470" t="inlineStr">
        <is>
          <t>HALLANDS LÄN</t>
        </is>
      </c>
      <c r="E1470" t="inlineStr">
        <is>
          <t>LAHOLM</t>
        </is>
      </c>
      <c r="G1470" t="n">
        <v>0.9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61931-2021</t>
        </is>
      </c>
      <c r="B1471" s="1" t="n">
        <v>44502</v>
      </c>
      <c r="C1471" s="1" t="n">
        <v>45627</v>
      </c>
      <c r="D1471" t="inlineStr">
        <is>
          <t>HALLANDS LÄN</t>
        </is>
      </c>
      <c r="E1471" t="inlineStr">
        <is>
          <t>FALKENBERG</t>
        </is>
      </c>
      <c r="G1471" t="n">
        <v>1.8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62158-2021</t>
        </is>
      </c>
      <c r="B1472" s="1" t="n">
        <v>44502</v>
      </c>
      <c r="C1472" s="1" t="n">
        <v>45627</v>
      </c>
      <c r="D1472" t="inlineStr">
        <is>
          <t>HALLANDS LÄN</t>
        </is>
      </c>
      <c r="E1472" t="inlineStr">
        <is>
          <t>KUNGSBACKA</t>
        </is>
      </c>
      <c r="G1472" t="n">
        <v>0.7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62156-2021</t>
        </is>
      </c>
      <c r="B1473" s="1" t="n">
        <v>44502</v>
      </c>
      <c r="C1473" s="1" t="n">
        <v>45627</v>
      </c>
      <c r="D1473" t="inlineStr">
        <is>
          <t>HALLANDS LÄN</t>
        </is>
      </c>
      <c r="E1473" t="inlineStr">
        <is>
          <t>KUNGSBACKA</t>
        </is>
      </c>
      <c r="G1473" t="n">
        <v>1.6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62174-2021</t>
        </is>
      </c>
      <c r="B1474" s="1" t="n">
        <v>44502</v>
      </c>
      <c r="C1474" s="1" t="n">
        <v>45627</v>
      </c>
      <c r="D1474" t="inlineStr">
        <is>
          <t>HALLANDS LÄN</t>
        </is>
      </c>
      <c r="E1474" t="inlineStr">
        <is>
          <t>HYLTE</t>
        </is>
      </c>
      <c r="G1474" t="n">
        <v>0.3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62059-2021</t>
        </is>
      </c>
      <c r="B1475" s="1" t="n">
        <v>44504</v>
      </c>
      <c r="C1475" s="1" t="n">
        <v>45627</v>
      </c>
      <c r="D1475" t="inlineStr">
        <is>
          <t>HALLANDS LÄN</t>
        </is>
      </c>
      <c r="E1475" t="inlineStr">
        <is>
          <t>VARBERG</t>
        </is>
      </c>
      <c r="G1475" t="n">
        <v>2.4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63028-2021</t>
        </is>
      </c>
      <c r="B1476" s="1" t="n">
        <v>44505</v>
      </c>
      <c r="C1476" s="1" t="n">
        <v>45627</v>
      </c>
      <c r="D1476" t="inlineStr">
        <is>
          <t>HALLANDS LÄN</t>
        </is>
      </c>
      <c r="E1476" t="inlineStr">
        <is>
          <t>FALKENBERG</t>
        </is>
      </c>
      <c r="G1476" t="n">
        <v>1.9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63107-2021</t>
        </is>
      </c>
      <c r="B1477" s="1" t="n">
        <v>44505</v>
      </c>
      <c r="C1477" s="1" t="n">
        <v>45627</v>
      </c>
      <c r="D1477" t="inlineStr">
        <is>
          <t>HALLANDS LÄN</t>
        </is>
      </c>
      <c r="E1477" t="inlineStr">
        <is>
          <t>HYLTE</t>
        </is>
      </c>
      <c r="G1477" t="n">
        <v>0.7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63030-2021</t>
        </is>
      </c>
      <c r="B1478" s="1" t="n">
        <v>44505</v>
      </c>
      <c r="C1478" s="1" t="n">
        <v>45627</v>
      </c>
      <c r="D1478" t="inlineStr">
        <is>
          <t>HALLANDS LÄN</t>
        </is>
      </c>
      <c r="E1478" t="inlineStr">
        <is>
          <t>FALKENBERG</t>
        </is>
      </c>
      <c r="G1478" t="n">
        <v>1.5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63340-2021</t>
        </is>
      </c>
      <c r="B1479" s="1" t="n">
        <v>44508</v>
      </c>
      <c r="C1479" s="1" t="n">
        <v>45627</v>
      </c>
      <c r="D1479" t="inlineStr">
        <is>
          <t>HALLANDS LÄN</t>
        </is>
      </c>
      <c r="E1479" t="inlineStr">
        <is>
          <t>VARBERG</t>
        </is>
      </c>
      <c r="G1479" t="n">
        <v>1.2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63404-2021</t>
        </is>
      </c>
      <c r="B1480" s="1" t="n">
        <v>44508</v>
      </c>
      <c r="C1480" s="1" t="n">
        <v>45627</v>
      </c>
      <c r="D1480" t="inlineStr">
        <is>
          <t>HALLANDS LÄN</t>
        </is>
      </c>
      <c r="E1480" t="inlineStr">
        <is>
          <t>LAHOLM</t>
        </is>
      </c>
      <c r="G1480" t="n">
        <v>0.9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63808-2021</t>
        </is>
      </c>
      <c r="B1481" s="1" t="n">
        <v>44508</v>
      </c>
      <c r="C1481" s="1" t="n">
        <v>45627</v>
      </c>
      <c r="D1481" t="inlineStr">
        <is>
          <t>HALLANDS LÄN</t>
        </is>
      </c>
      <c r="E1481" t="inlineStr">
        <is>
          <t>HYLTE</t>
        </is>
      </c>
      <c r="G1481" t="n">
        <v>0.8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63613-2021</t>
        </is>
      </c>
      <c r="B1482" s="1" t="n">
        <v>44509</v>
      </c>
      <c r="C1482" s="1" t="n">
        <v>45627</v>
      </c>
      <c r="D1482" t="inlineStr">
        <is>
          <t>HALLANDS LÄN</t>
        </is>
      </c>
      <c r="E1482" t="inlineStr">
        <is>
          <t>VARBERG</t>
        </is>
      </c>
      <c r="G1482" t="n">
        <v>2.9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63966-2021</t>
        </is>
      </c>
      <c r="B1483" s="1" t="n">
        <v>44509</v>
      </c>
      <c r="C1483" s="1" t="n">
        <v>45627</v>
      </c>
      <c r="D1483" t="inlineStr">
        <is>
          <t>HALLANDS LÄN</t>
        </is>
      </c>
      <c r="E1483" t="inlineStr">
        <is>
          <t>KUNGSBACKA</t>
        </is>
      </c>
      <c r="G1483" t="n">
        <v>1.1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64129-2021</t>
        </is>
      </c>
      <c r="B1484" s="1" t="n">
        <v>44510</v>
      </c>
      <c r="C1484" s="1" t="n">
        <v>45627</v>
      </c>
      <c r="D1484" t="inlineStr">
        <is>
          <t>HALLANDS LÄN</t>
        </is>
      </c>
      <c r="E1484" t="inlineStr">
        <is>
          <t>KUNGSBACKA</t>
        </is>
      </c>
      <c r="G1484" t="n">
        <v>1.8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64221-2021</t>
        </is>
      </c>
      <c r="B1485" s="1" t="n">
        <v>44510</v>
      </c>
      <c r="C1485" s="1" t="n">
        <v>45627</v>
      </c>
      <c r="D1485" t="inlineStr">
        <is>
          <t>HALLANDS LÄN</t>
        </is>
      </c>
      <c r="E1485" t="inlineStr">
        <is>
          <t>HYLTE</t>
        </is>
      </c>
      <c r="G1485" t="n">
        <v>2.7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64566-2021</t>
        </is>
      </c>
      <c r="B1486" s="1" t="n">
        <v>44511</v>
      </c>
      <c r="C1486" s="1" t="n">
        <v>45627</v>
      </c>
      <c r="D1486" t="inlineStr">
        <is>
          <t>HALLANDS LÄN</t>
        </is>
      </c>
      <c r="E1486" t="inlineStr">
        <is>
          <t>LAHOLM</t>
        </is>
      </c>
      <c r="G1486" t="n">
        <v>0.5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64488-2021</t>
        </is>
      </c>
      <c r="B1487" s="1" t="n">
        <v>44511</v>
      </c>
      <c r="C1487" s="1" t="n">
        <v>45627</v>
      </c>
      <c r="D1487" t="inlineStr">
        <is>
          <t>HALLANDS LÄN</t>
        </is>
      </c>
      <c r="E1487" t="inlineStr">
        <is>
          <t>VARBERG</t>
        </is>
      </c>
      <c r="G1487" t="n">
        <v>0.5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64569-2021</t>
        </is>
      </c>
      <c r="B1488" s="1" t="n">
        <v>44511</v>
      </c>
      <c r="C1488" s="1" t="n">
        <v>45627</v>
      </c>
      <c r="D1488" t="inlineStr">
        <is>
          <t>HALLANDS LÄN</t>
        </is>
      </c>
      <c r="E1488" t="inlineStr">
        <is>
          <t>LAHOLM</t>
        </is>
      </c>
      <c r="G1488" t="n">
        <v>0.8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64575-2021</t>
        </is>
      </c>
      <c r="B1489" s="1" t="n">
        <v>44511</v>
      </c>
      <c r="C1489" s="1" t="n">
        <v>45627</v>
      </c>
      <c r="D1489" t="inlineStr">
        <is>
          <t>HALLANDS LÄN</t>
        </is>
      </c>
      <c r="E1489" t="inlineStr">
        <is>
          <t>LAHOLM</t>
        </is>
      </c>
      <c r="G1489" t="n">
        <v>0.5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64784-2021</t>
        </is>
      </c>
      <c r="B1490" s="1" t="n">
        <v>44512</v>
      </c>
      <c r="C1490" s="1" t="n">
        <v>45627</v>
      </c>
      <c r="D1490" t="inlineStr">
        <is>
          <t>HALLANDS LÄN</t>
        </is>
      </c>
      <c r="E1490" t="inlineStr">
        <is>
          <t>VARBERG</t>
        </is>
      </c>
      <c r="G1490" t="n">
        <v>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64672-2021</t>
        </is>
      </c>
      <c r="B1491" s="1" t="n">
        <v>44512</v>
      </c>
      <c r="C1491" s="1" t="n">
        <v>45627</v>
      </c>
      <c r="D1491" t="inlineStr">
        <is>
          <t>HALLANDS LÄN</t>
        </is>
      </c>
      <c r="E1491" t="inlineStr">
        <is>
          <t>LAHOLM</t>
        </is>
      </c>
      <c r="G1491" t="n">
        <v>1.3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65081-2021</t>
        </is>
      </c>
      <c r="B1492" s="1" t="n">
        <v>44515</v>
      </c>
      <c r="C1492" s="1" t="n">
        <v>45627</v>
      </c>
      <c r="D1492" t="inlineStr">
        <is>
          <t>HALLANDS LÄN</t>
        </is>
      </c>
      <c r="E1492" t="inlineStr">
        <is>
          <t>FALKENBERG</t>
        </is>
      </c>
      <c r="G1492" t="n">
        <v>2.2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65207-2021</t>
        </is>
      </c>
      <c r="B1493" s="1" t="n">
        <v>44515</v>
      </c>
      <c r="C1493" s="1" t="n">
        <v>45627</v>
      </c>
      <c r="D1493" t="inlineStr">
        <is>
          <t>HALLANDS LÄN</t>
        </is>
      </c>
      <c r="E1493" t="inlineStr">
        <is>
          <t>VARBERG</t>
        </is>
      </c>
      <c r="G1493" t="n">
        <v>0.8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65342-2021</t>
        </is>
      </c>
      <c r="B1494" s="1" t="n">
        <v>44515</v>
      </c>
      <c r="C1494" s="1" t="n">
        <v>45627</v>
      </c>
      <c r="D1494" t="inlineStr">
        <is>
          <t>HALLANDS LÄN</t>
        </is>
      </c>
      <c r="E1494" t="inlineStr">
        <is>
          <t>HYLTE</t>
        </is>
      </c>
      <c r="F1494" t="inlineStr">
        <is>
          <t>Bergvik skog väst AB</t>
        </is>
      </c>
      <c r="G1494" t="n">
        <v>4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65528-2021</t>
        </is>
      </c>
      <c r="B1495" s="1" t="n">
        <v>44516</v>
      </c>
      <c r="C1495" s="1" t="n">
        <v>45627</v>
      </c>
      <c r="D1495" t="inlineStr">
        <is>
          <t>HALLANDS LÄN</t>
        </is>
      </c>
      <c r="E1495" t="inlineStr">
        <is>
          <t>HALMSTAD</t>
        </is>
      </c>
      <c r="G1495" t="n">
        <v>1.7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65916-2021</t>
        </is>
      </c>
      <c r="B1496" s="1" t="n">
        <v>44517</v>
      </c>
      <c r="C1496" s="1" t="n">
        <v>45627</v>
      </c>
      <c r="D1496" t="inlineStr">
        <is>
          <t>HALLANDS LÄN</t>
        </is>
      </c>
      <c r="E1496" t="inlineStr">
        <is>
          <t>LAHOLM</t>
        </is>
      </c>
      <c r="G1496" t="n">
        <v>1.5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66135-2021</t>
        </is>
      </c>
      <c r="B1497" s="1" t="n">
        <v>44517</v>
      </c>
      <c r="C1497" s="1" t="n">
        <v>45627</v>
      </c>
      <c r="D1497" t="inlineStr">
        <is>
          <t>HALLANDS LÄN</t>
        </is>
      </c>
      <c r="E1497" t="inlineStr">
        <is>
          <t>FALKENBERG</t>
        </is>
      </c>
      <c r="G1497" t="n">
        <v>2.8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66311-2021</t>
        </is>
      </c>
      <c r="B1498" s="1" t="n">
        <v>44518</v>
      </c>
      <c r="C1498" s="1" t="n">
        <v>45627</v>
      </c>
      <c r="D1498" t="inlineStr">
        <is>
          <t>HALLANDS LÄN</t>
        </is>
      </c>
      <c r="E1498" t="inlineStr">
        <is>
          <t>HALMSTAD</t>
        </is>
      </c>
      <c r="G1498" t="n">
        <v>0.6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66373-2021</t>
        </is>
      </c>
      <c r="B1499" s="1" t="n">
        <v>44518</v>
      </c>
      <c r="C1499" s="1" t="n">
        <v>45627</v>
      </c>
      <c r="D1499" t="inlineStr">
        <is>
          <t>HALLANDS LÄN</t>
        </is>
      </c>
      <c r="E1499" t="inlineStr">
        <is>
          <t>HALMSTAD</t>
        </is>
      </c>
      <c r="G1499" t="n">
        <v>4.1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66395-2021</t>
        </is>
      </c>
      <c r="B1500" s="1" t="n">
        <v>44518</v>
      </c>
      <c r="C1500" s="1" t="n">
        <v>45627</v>
      </c>
      <c r="D1500" t="inlineStr">
        <is>
          <t>HALLANDS LÄN</t>
        </is>
      </c>
      <c r="E1500" t="inlineStr">
        <is>
          <t>LAHOLM</t>
        </is>
      </c>
      <c r="G1500" t="n">
        <v>2.4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66730-2021</t>
        </is>
      </c>
      <c r="B1501" s="1" t="n">
        <v>44520</v>
      </c>
      <c r="C1501" s="1" t="n">
        <v>45627</v>
      </c>
      <c r="D1501" t="inlineStr">
        <is>
          <t>HALLANDS LÄN</t>
        </is>
      </c>
      <c r="E1501" t="inlineStr">
        <is>
          <t>HALMSTAD</t>
        </is>
      </c>
      <c r="G1501" t="n">
        <v>0.6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66747-2021</t>
        </is>
      </c>
      <c r="B1502" s="1" t="n">
        <v>44521</v>
      </c>
      <c r="C1502" s="1" t="n">
        <v>45627</v>
      </c>
      <c r="D1502" t="inlineStr">
        <is>
          <t>HALLANDS LÄN</t>
        </is>
      </c>
      <c r="E1502" t="inlineStr">
        <is>
          <t>FALKENBERG</t>
        </is>
      </c>
      <c r="G1502" t="n">
        <v>10.7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67290-2021</t>
        </is>
      </c>
      <c r="B1503" s="1" t="n">
        <v>44523</v>
      </c>
      <c r="C1503" s="1" t="n">
        <v>45627</v>
      </c>
      <c r="D1503" t="inlineStr">
        <is>
          <t>HALLANDS LÄN</t>
        </is>
      </c>
      <c r="E1503" t="inlineStr">
        <is>
          <t>HYLTE</t>
        </is>
      </c>
      <c r="G1503" t="n">
        <v>0.5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67579-2021</t>
        </is>
      </c>
      <c r="B1504" s="1" t="n">
        <v>44524</v>
      </c>
      <c r="C1504" s="1" t="n">
        <v>45627</v>
      </c>
      <c r="D1504" t="inlineStr">
        <is>
          <t>HALLANDS LÄN</t>
        </is>
      </c>
      <c r="E1504" t="inlineStr">
        <is>
          <t>HALMSTAD</t>
        </is>
      </c>
      <c r="G1504" t="n">
        <v>0.7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67570-2021</t>
        </is>
      </c>
      <c r="B1505" s="1" t="n">
        <v>44524</v>
      </c>
      <c r="C1505" s="1" t="n">
        <v>45627</v>
      </c>
      <c r="D1505" t="inlineStr">
        <is>
          <t>HALLANDS LÄN</t>
        </is>
      </c>
      <c r="E1505" t="inlineStr">
        <is>
          <t>HALMSTAD</t>
        </is>
      </c>
      <c r="G1505" t="n">
        <v>1.7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67454-2021</t>
        </is>
      </c>
      <c r="B1506" s="1" t="n">
        <v>44524</v>
      </c>
      <c r="C1506" s="1" t="n">
        <v>45627</v>
      </c>
      <c r="D1506" t="inlineStr">
        <is>
          <t>HALLANDS LÄN</t>
        </is>
      </c>
      <c r="E1506" t="inlineStr">
        <is>
          <t>FALKENBERG</t>
        </is>
      </c>
      <c r="G1506" t="n">
        <v>1.9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67861-2021</t>
        </is>
      </c>
      <c r="B1507" s="1" t="n">
        <v>44525</v>
      </c>
      <c r="C1507" s="1" t="n">
        <v>45627</v>
      </c>
      <c r="D1507" t="inlineStr">
        <is>
          <t>HALLANDS LÄN</t>
        </is>
      </c>
      <c r="E1507" t="inlineStr">
        <is>
          <t>LAHOLM</t>
        </is>
      </c>
      <c r="G1507" t="n">
        <v>6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67744-2021</t>
        </is>
      </c>
      <c r="B1508" s="1" t="n">
        <v>44525</v>
      </c>
      <c r="C1508" s="1" t="n">
        <v>45627</v>
      </c>
      <c r="D1508" t="inlineStr">
        <is>
          <t>HALLANDS LÄN</t>
        </is>
      </c>
      <c r="E1508" t="inlineStr">
        <is>
          <t>FALKENBERG</t>
        </is>
      </c>
      <c r="G1508" t="n">
        <v>3.3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68652-2021</t>
        </is>
      </c>
      <c r="B1509" s="1" t="n">
        <v>44529</v>
      </c>
      <c r="C1509" s="1" t="n">
        <v>45627</v>
      </c>
      <c r="D1509" t="inlineStr">
        <is>
          <t>HALLANDS LÄN</t>
        </is>
      </c>
      <c r="E1509" t="inlineStr">
        <is>
          <t>HYLTE</t>
        </is>
      </c>
      <c r="G1509" t="n">
        <v>4.2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68846-2021</t>
        </is>
      </c>
      <c r="B1510" s="1" t="n">
        <v>44530</v>
      </c>
      <c r="C1510" s="1" t="n">
        <v>45627</v>
      </c>
      <c r="D1510" t="inlineStr">
        <is>
          <t>HALLANDS LÄN</t>
        </is>
      </c>
      <c r="E1510" t="inlineStr">
        <is>
          <t>LAHOLM</t>
        </is>
      </c>
      <c r="G1510" t="n">
        <v>3.9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68969-2021</t>
        </is>
      </c>
      <c r="B1511" s="1" t="n">
        <v>44530</v>
      </c>
      <c r="C1511" s="1" t="n">
        <v>45627</v>
      </c>
      <c r="D1511" t="inlineStr">
        <is>
          <t>HALLANDS LÄN</t>
        </is>
      </c>
      <c r="E1511" t="inlineStr">
        <is>
          <t>HYLTE</t>
        </is>
      </c>
      <c r="G1511" t="n">
        <v>5.2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69587-2021</t>
        </is>
      </c>
      <c r="B1512" s="1" t="n">
        <v>44532</v>
      </c>
      <c r="C1512" s="1" t="n">
        <v>45627</v>
      </c>
      <c r="D1512" t="inlineStr">
        <is>
          <t>HALLANDS LÄN</t>
        </is>
      </c>
      <c r="E1512" t="inlineStr">
        <is>
          <t>LAHOLM</t>
        </is>
      </c>
      <c r="G1512" t="n">
        <v>1.9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69594-2021</t>
        </is>
      </c>
      <c r="B1513" s="1" t="n">
        <v>44532</v>
      </c>
      <c r="C1513" s="1" t="n">
        <v>45627</v>
      </c>
      <c r="D1513" t="inlineStr">
        <is>
          <t>HALLANDS LÄN</t>
        </is>
      </c>
      <c r="E1513" t="inlineStr">
        <is>
          <t>HYLTE</t>
        </is>
      </c>
      <c r="G1513" t="n">
        <v>2.3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69589-2021</t>
        </is>
      </c>
      <c r="B1514" s="1" t="n">
        <v>44532</v>
      </c>
      <c r="C1514" s="1" t="n">
        <v>45627</v>
      </c>
      <c r="D1514" t="inlineStr">
        <is>
          <t>HALLANDS LÄN</t>
        </is>
      </c>
      <c r="E1514" t="inlineStr">
        <is>
          <t>LAHOLM</t>
        </is>
      </c>
      <c r="G1514" t="n">
        <v>2.2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70040-2021</t>
        </is>
      </c>
      <c r="B1515" s="1" t="n">
        <v>44533</v>
      </c>
      <c r="C1515" s="1" t="n">
        <v>45627</v>
      </c>
      <c r="D1515" t="inlineStr">
        <is>
          <t>HALLANDS LÄN</t>
        </is>
      </c>
      <c r="E1515" t="inlineStr">
        <is>
          <t>VARBERG</t>
        </is>
      </c>
      <c r="G1515" t="n">
        <v>2.2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70335-2021</t>
        </is>
      </c>
      <c r="B1516" s="1" t="n">
        <v>44536</v>
      </c>
      <c r="C1516" s="1" t="n">
        <v>45627</v>
      </c>
      <c r="D1516" t="inlineStr">
        <is>
          <t>HALLANDS LÄN</t>
        </is>
      </c>
      <c r="E1516" t="inlineStr">
        <is>
          <t>HALMSTAD</t>
        </is>
      </c>
      <c r="G1516" t="n">
        <v>0.4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70634-2021</t>
        </is>
      </c>
      <c r="B1517" s="1" t="n">
        <v>44537</v>
      </c>
      <c r="C1517" s="1" t="n">
        <v>45627</v>
      </c>
      <c r="D1517" t="inlineStr">
        <is>
          <t>HALLANDS LÄN</t>
        </is>
      </c>
      <c r="E1517" t="inlineStr">
        <is>
          <t>KUNGSBACKA</t>
        </is>
      </c>
      <c r="G1517" t="n">
        <v>0.8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70720-2021</t>
        </is>
      </c>
      <c r="B1518" s="1" t="n">
        <v>44537</v>
      </c>
      <c r="C1518" s="1" t="n">
        <v>45627</v>
      </c>
      <c r="D1518" t="inlineStr">
        <is>
          <t>HALLANDS LÄN</t>
        </is>
      </c>
      <c r="E1518" t="inlineStr">
        <is>
          <t>HALMSTAD</t>
        </is>
      </c>
      <c r="F1518" t="inlineStr">
        <is>
          <t>Kyrkan</t>
        </is>
      </c>
      <c r="G1518" t="n">
        <v>1.9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70611-2021</t>
        </is>
      </c>
      <c r="B1519" s="1" t="n">
        <v>44537</v>
      </c>
      <c r="C1519" s="1" t="n">
        <v>45627</v>
      </c>
      <c r="D1519" t="inlineStr">
        <is>
          <t>HALLANDS LÄN</t>
        </is>
      </c>
      <c r="E1519" t="inlineStr">
        <is>
          <t>LAHOLM</t>
        </is>
      </c>
      <c r="G1519" t="n">
        <v>0.8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70731-2021</t>
        </is>
      </c>
      <c r="B1520" s="1" t="n">
        <v>44537</v>
      </c>
      <c r="C1520" s="1" t="n">
        <v>45627</v>
      </c>
      <c r="D1520" t="inlineStr">
        <is>
          <t>HALLANDS LÄN</t>
        </is>
      </c>
      <c r="E1520" t="inlineStr">
        <is>
          <t>HALMSTAD</t>
        </is>
      </c>
      <c r="F1520" t="inlineStr">
        <is>
          <t>Kyrkan</t>
        </is>
      </c>
      <c r="G1520" t="n">
        <v>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70607-2021</t>
        </is>
      </c>
      <c r="B1521" s="1" t="n">
        <v>44537</v>
      </c>
      <c r="C1521" s="1" t="n">
        <v>45627</v>
      </c>
      <c r="D1521" t="inlineStr">
        <is>
          <t>HALLANDS LÄN</t>
        </is>
      </c>
      <c r="E1521" t="inlineStr">
        <is>
          <t>LAHOLM</t>
        </is>
      </c>
      <c r="G1521" t="n">
        <v>1.7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70771-2021</t>
        </is>
      </c>
      <c r="B1522" s="1" t="n">
        <v>44537</v>
      </c>
      <c r="C1522" s="1" t="n">
        <v>45627</v>
      </c>
      <c r="D1522" t="inlineStr">
        <is>
          <t>HALLANDS LÄN</t>
        </is>
      </c>
      <c r="E1522" t="inlineStr">
        <is>
          <t>HALMSTAD</t>
        </is>
      </c>
      <c r="F1522" t="inlineStr">
        <is>
          <t>Kyrkan</t>
        </is>
      </c>
      <c r="G1522" t="n">
        <v>10.1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70724-2021</t>
        </is>
      </c>
      <c r="B1523" s="1" t="n">
        <v>44537</v>
      </c>
      <c r="C1523" s="1" t="n">
        <v>45627</v>
      </c>
      <c r="D1523" t="inlineStr">
        <is>
          <t>HALLANDS LÄN</t>
        </is>
      </c>
      <c r="E1523" t="inlineStr">
        <is>
          <t>HALMSTAD</t>
        </is>
      </c>
      <c r="F1523" t="inlineStr">
        <is>
          <t>Kyrkan</t>
        </is>
      </c>
      <c r="G1523" t="n">
        <v>0.7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70733-2021</t>
        </is>
      </c>
      <c r="B1524" s="1" t="n">
        <v>44537</v>
      </c>
      <c r="C1524" s="1" t="n">
        <v>45627</v>
      </c>
      <c r="D1524" t="inlineStr">
        <is>
          <t>HALLANDS LÄN</t>
        </is>
      </c>
      <c r="E1524" t="inlineStr">
        <is>
          <t>FALKENBERG</t>
        </is>
      </c>
      <c r="F1524" t="inlineStr">
        <is>
          <t>Kyrkan</t>
        </is>
      </c>
      <c r="G1524" t="n">
        <v>0.8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71022-2021</t>
        </is>
      </c>
      <c r="B1525" s="1" t="n">
        <v>44537</v>
      </c>
      <c r="C1525" s="1" t="n">
        <v>45627</v>
      </c>
      <c r="D1525" t="inlineStr">
        <is>
          <t>HALLANDS LÄN</t>
        </is>
      </c>
      <c r="E1525" t="inlineStr">
        <is>
          <t>HALMSTAD</t>
        </is>
      </c>
      <c r="F1525" t="inlineStr">
        <is>
          <t>Bergvik skog väst AB</t>
        </is>
      </c>
      <c r="G1525" t="n">
        <v>11.4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70833-2021</t>
        </is>
      </c>
      <c r="B1526" s="1" t="n">
        <v>44538</v>
      </c>
      <c r="C1526" s="1" t="n">
        <v>45627</v>
      </c>
      <c r="D1526" t="inlineStr">
        <is>
          <t>HALLANDS LÄN</t>
        </is>
      </c>
      <c r="E1526" t="inlineStr">
        <is>
          <t>HALMSTAD</t>
        </is>
      </c>
      <c r="G1526" t="n">
        <v>0.5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70904-2021</t>
        </is>
      </c>
      <c r="B1527" s="1" t="n">
        <v>44538</v>
      </c>
      <c r="C1527" s="1" t="n">
        <v>45627</v>
      </c>
      <c r="D1527" t="inlineStr">
        <is>
          <t>HALLANDS LÄN</t>
        </is>
      </c>
      <c r="E1527" t="inlineStr">
        <is>
          <t>KUNGSBACKA</t>
        </is>
      </c>
      <c r="G1527" t="n">
        <v>0.9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70831-2021</t>
        </is>
      </c>
      <c r="B1528" s="1" t="n">
        <v>44538</v>
      </c>
      <c r="C1528" s="1" t="n">
        <v>45627</v>
      </c>
      <c r="D1528" t="inlineStr">
        <is>
          <t>HALLANDS LÄN</t>
        </is>
      </c>
      <c r="E1528" t="inlineStr">
        <is>
          <t>HALMSTAD</t>
        </is>
      </c>
      <c r="G1528" t="n">
        <v>0.9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70834-2021</t>
        </is>
      </c>
      <c r="B1529" s="1" t="n">
        <v>44538</v>
      </c>
      <c r="C1529" s="1" t="n">
        <v>45627</v>
      </c>
      <c r="D1529" t="inlineStr">
        <is>
          <t>HALLANDS LÄN</t>
        </is>
      </c>
      <c r="E1529" t="inlineStr">
        <is>
          <t>HALMSTAD</t>
        </is>
      </c>
      <c r="G1529" t="n">
        <v>1.4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70848-2021</t>
        </is>
      </c>
      <c r="B1530" s="1" t="n">
        <v>44538</v>
      </c>
      <c r="C1530" s="1" t="n">
        <v>45627</v>
      </c>
      <c r="D1530" t="inlineStr">
        <is>
          <t>HALLANDS LÄN</t>
        </is>
      </c>
      <c r="E1530" t="inlineStr">
        <is>
          <t>FALKENBERG</t>
        </is>
      </c>
      <c r="G1530" t="n">
        <v>0.6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70897-2021</t>
        </is>
      </c>
      <c r="B1531" s="1" t="n">
        <v>44538</v>
      </c>
      <c r="C1531" s="1" t="n">
        <v>45627</v>
      </c>
      <c r="D1531" t="inlineStr">
        <is>
          <t>HALLANDS LÄN</t>
        </is>
      </c>
      <c r="E1531" t="inlineStr">
        <is>
          <t>HALMSTAD</t>
        </is>
      </c>
      <c r="F1531" t="inlineStr">
        <is>
          <t>Kyrkan</t>
        </is>
      </c>
      <c r="G1531" t="n">
        <v>1.6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70830-2021</t>
        </is>
      </c>
      <c r="B1532" s="1" t="n">
        <v>44538</v>
      </c>
      <c r="C1532" s="1" t="n">
        <v>45627</v>
      </c>
      <c r="D1532" t="inlineStr">
        <is>
          <t>HALLANDS LÄN</t>
        </is>
      </c>
      <c r="E1532" t="inlineStr">
        <is>
          <t>HALMSTAD</t>
        </is>
      </c>
      <c r="G1532" t="n">
        <v>1.1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71120-2021</t>
        </is>
      </c>
      <c r="B1533" s="1" t="n">
        <v>44539</v>
      </c>
      <c r="C1533" s="1" t="n">
        <v>45627</v>
      </c>
      <c r="D1533" t="inlineStr">
        <is>
          <t>HALLANDS LÄN</t>
        </is>
      </c>
      <c r="E1533" t="inlineStr">
        <is>
          <t>HYLTE</t>
        </is>
      </c>
      <c r="G1533" t="n">
        <v>0.6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71260-2021</t>
        </is>
      </c>
      <c r="B1534" s="1" t="n">
        <v>44539</v>
      </c>
      <c r="C1534" s="1" t="n">
        <v>45627</v>
      </c>
      <c r="D1534" t="inlineStr">
        <is>
          <t>HALLANDS LÄN</t>
        </is>
      </c>
      <c r="E1534" t="inlineStr">
        <is>
          <t>VARBERG</t>
        </is>
      </c>
      <c r="G1534" t="n">
        <v>2.6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71676-2021</t>
        </is>
      </c>
      <c r="B1535" s="1" t="n">
        <v>44539</v>
      </c>
      <c r="C1535" s="1" t="n">
        <v>45627</v>
      </c>
      <c r="D1535" t="inlineStr">
        <is>
          <t>HALLANDS LÄN</t>
        </is>
      </c>
      <c r="E1535" t="inlineStr">
        <is>
          <t>KUNGSBACKA</t>
        </is>
      </c>
      <c r="G1535" t="n">
        <v>8.1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71732-2021</t>
        </is>
      </c>
      <c r="B1536" s="1" t="n">
        <v>44539</v>
      </c>
      <c r="C1536" s="1" t="n">
        <v>45627</v>
      </c>
      <c r="D1536" t="inlineStr">
        <is>
          <t>HALLANDS LÄN</t>
        </is>
      </c>
      <c r="E1536" t="inlineStr">
        <is>
          <t>FALKENBERG</t>
        </is>
      </c>
      <c r="G1536" t="n">
        <v>2.9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71743-2021</t>
        </is>
      </c>
      <c r="B1537" s="1" t="n">
        <v>44539</v>
      </c>
      <c r="C1537" s="1" t="n">
        <v>45627</v>
      </c>
      <c r="D1537" t="inlineStr">
        <is>
          <t>HALLANDS LÄN</t>
        </is>
      </c>
      <c r="E1537" t="inlineStr">
        <is>
          <t>FALKENBERG</t>
        </is>
      </c>
      <c r="G1537" t="n">
        <v>5.7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71687-2021</t>
        </is>
      </c>
      <c r="B1538" s="1" t="n">
        <v>44539</v>
      </c>
      <c r="C1538" s="1" t="n">
        <v>45627</v>
      </c>
      <c r="D1538" t="inlineStr">
        <is>
          <t>HALLANDS LÄN</t>
        </is>
      </c>
      <c r="E1538" t="inlineStr">
        <is>
          <t>KUNGSBACKA</t>
        </is>
      </c>
      <c r="G1538" t="n">
        <v>4.1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71703-2021</t>
        </is>
      </c>
      <c r="B1539" s="1" t="n">
        <v>44539</v>
      </c>
      <c r="C1539" s="1" t="n">
        <v>45627</v>
      </c>
      <c r="D1539" t="inlineStr">
        <is>
          <t>HALLANDS LÄN</t>
        </is>
      </c>
      <c r="E1539" t="inlineStr">
        <is>
          <t>FALKENBERG</t>
        </is>
      </c>
      <c r="G1539" t="n">
        <v>5.1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71761-2021</t>
        </is>
      </c>
      <c r="B1540" s="1" t="n">
        <v>44539</v>
      </c>
      <c r="C1540" s="1" t="n">
        <v>45627</v>
      </c>
      <c r="D1540" t="inlineStr">
        <is>
          <t>HALLANDS LÄN</t>
        </is>
      </c>
      <c r="E1540" t="inlineStr">
        <is>
          <t>FALKENBERG</t>
        </is>
      </c>
      <c r="G1540" t="n">
        <v>6.8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71711-2021</t>
        </is>
      </c>
      <c r="B1541" s="1" t="n">
        <v>44539</v>
      </c>
      <c r="C1541" s="1" t="n">
        <v>45627</v>
      </c>
      <c r="D1541" t="inlineStr">
        <is>
          <t>HALLANDS LÄN</t>
        </is>
      </c>
      <c r="E1541" t="inlineStr">
        <is>
          <t>FALKENBERG</t>
        </is>
      </c>
      <c r="G1541" t="n">
        <v>12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71731-2021</t>
        </is>
      </c>
      <c r="B1542" s="1" t="n">
        <v>44539</v>
      </c>
      <c r="C1542" s="1" t="n">
        <v>45627</v>
      </c>
      <c r="D1542" t="inlineStr">
        <is>
          <t>HALLANDS LÄN</t>
        </is>
      </c>
      <c r="E1542" t="inlineStr">
        <is>
          <t>FALKENBERG</t>
        </is>
      </c>
      <c r="G1542" t="n">
        <v>1.2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71765-2021</t>
        </is>
      </c>
      <c r="B1543" s="1" t="n">
        <v>44539</v>
      </c>
      <c r="C1543" s="1" t="n">
        <v>45627</v>
      </c>
      <c r="D1543" t="inlineStr">
        <is>
          <t>HALLANDS LÄN</t>
        </is>
      </c>
      <c r="E1543" t="inlineStr">
        <is>
          <t>FALKENBERG</t>
        </is>
      </c>
      <c r="G1543" t="n">
        <v>6.8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71740-2021</t>
        </is>
      </c>
      <c r="B1544" s="1" t="n">
        <v>44543</v>
      </c>
      <c r="C1544" s="1" t="n">
        <v>45627</v>
      </c>
      <c r="D1544" t="inlineStr">
        <is>
          <t>HALLANDS LÄN</t>
        </is>
      </c>
      <c r="E1544" t="inlineStr">
        <is>
          <t>FALKENBERG</t>
        </is>
      </c>
      <c r="G1544" t="n">
        <v>2.8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71841-2021</t>
        </is>
      </c>
      <c r="B1545" s="1" t="n">
        <v>44543</v>
      </c>
      <c r="C1545" s="1" t="n">
        <v>45627</v>
      </c>
      <c r="D1545" t="inlineStr">
        <is>
          <t>HALLANDS LÄN</t>
        </is>
      </c>
      <c r="E1545" t="inlineStr">
        <is>
          <t>VARBERG</t>
        </is>
      </c>
      <c r="G1545" t="n">
        <v>2.8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71891-2021</t>
        </is>
      </c>
      <c r="B1546" s="1" t="n">
        <v>44543</v>
      </c>
      <c r="C1546" s="1" t="n">
        <v>45627</v>
      </c>
      <c r="D1546" t="inlineStr">
        <is>
          <t>HALLANDS LÄN</t>
        </is>
      </c>
      <c r="E1546" t="inlineStr">
        <is>
          <t>KUNGSBACKA</t>
        </is>
      </c>
      <c r="G1546" t="n">
        <v>4.4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71844-2021</t>
        </is>
      </c>
      <c r="B1547" s="1" t="n">
        <v>44543</v>
      </c>
      <c r="C1547" s="1" t="n">
        <v>45627</v>
      </c>
      <c r="D1547" t="inlineStr">
        <is>
          <t>HALLANDS LÄN</t>
        </is>
      </c>
      <c r="E1547" t="inlineStr">
        <is>
          <t>FALKENBERG</t>
        </is>
      </c>
      <c r="G1547" t="n">
        <v>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71958-2021</t>
        </is>
      </c>
      <c r="B1548" s="1" t="n">
        <v>44544</v>
      </c>
      <c r="C1548" s="1" t="n">
        <v>45627</v>
      </c>
      <c r="D1548" t="inlineStr">
        <is>
          <t>HALLANDS LÄN</t>
        </is>
      </c>
      <c r="E1548" t="inlineStr">
        <is>
          <t>FALKENBERG</t>
        </is>
      </c>
      <c r="G1548" t="n">
        <v>0.7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72139-2021</t>
        </is>
      </c>
      <c r="B1549" s="1" t="n">
        <v>44544</v>
      </c>
      <c r="C1549" s="1" t="n">
        <v>45627</v>
      </c>
      <c r="D1549" t="inlineStr">
        <is>
          <t>HALLANDS LÄN</t>
        </is>
      </c>
      <c r="E1549" t="inlineStr">
        <is>
          <t>HALMSTAD</t>
        </is>
      </c>
      <c r="G1549" t="n">
        <v>0.5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72277-2021</t>
        </is>
      </c>
      <c r="B1550" s="1" t="n">
        <v>44545</v>
      </c>
      <c r="C1550" s="1" t="n">
        <v>45627</v>
      </c>
      <c r="D1550" t="inlineStr">
        <is>
          <t>HALLANDS LÄN</t>
        </is>
      </c>
      <c r="E1550" t="inlineStr">
        <is>
          <t>FALKENBERG</t>
        </is>
      </c>
      <c r="G1550" t="n">
        <v>9.699999999999999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72361-2021</t>
        </is>
      </c>
      <c r="B1551" s="1" t="n">
        <v>44545</v>
      </c>
      <c r="C1551" s="1" t="n">
        <v>45627</v>
      </c>
      <c r="D1551" t="inlineStr">
        <is>
          <t>HALLANDS LÄN</t>
        </is>
      </c>
      <c r="E1551" t="inlineStr">
        <is>
          <t>VARBERG</t>
        </is>
      </c>
      <c r="G1551" t="n">
        <v>2.5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72468-2021</t>
        </is>
      </c>
      <c r="B1552" s="1" t="n">
        <v>44545</v>
      </c>
      <c r="C1552" s="1" t="n">
        <v>45627</v>
      </c>
      <c r="D1552" t="inlineStr">
        <is>
          <t>HALLANDS LÄN</t>
        </is>
      </c>
      <c r="E1552" t="inlineStr">
        <is>
          <t>FALKENBERG</t>
        </is>
      </c>
      <c r="G1552" t="n">
        <v>0.5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72470-2021</t>
        </is>
      </c>
      <c r="B1553" s="1" t="n">
        <v>44545</v>
      </c>
      <c r="C1553" s="1" t="n">
        <v>45627</v>
      </c>
      <c r="D1553" t="inlineStr">
        <is>
          <t>HALLANDS LÄN</t>
        </is>
      </c>
      <c r="E1553" t="inlineStr">
        <is>
          <t>FALKENBERG</t>
        </is>
      </c>
      <c r="G1553" t="n">
        <v>3.3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72906-2021</t>
        </is>
      </c>
      <c r="B1554" s="1" t="n">
        <v>44547</v>
      </c>
      <c r="C1554" s="1" t="n">
        <v>45627</v>
      </c>
      <c r="D1554" t="inlineStr">
        <is>
          <t>HALLANDS LÄN</t>
        </is>
      </c>
      <c r="E1554" t="inlineStr">
        <is>
          <t>FALKENBERG</t>
        </is>
      </c>
      <c r="G1554" t="n">
        <v>1.1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73820-2021</t>
        </is>
      </c>
      <c r="B1555" s="1" t="n">
        <v>44552</v>
      </c>
      <c r="C1555" s="1" t="n">
        <v>45627</v>
      </c>
      <c r="D1555" t="inlineStr">
        <is>
          <t>HALLANDS LÄN</t>
        </is>
      </c>
      <c r="E1555" t="inlineStr">
        <is>
          <t>VARBERG</t>
        </is>
      </c>
      <c r="G1555" t="n">
        <v>0.9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73853-2021</t>
        </is>
      </c>
      <c r="B1556" s="1" t="n">
        <v>44553</v>
      </c>
      <c r="C1556" s="1" t="n">
        <v>45627</v>
      </c>
      <c r="D1556" t="inlineStr">
        <is>
          <t>HALLANDS LÄN</t>
        </is>
      </c>
      <c r="E1556" t="inlineStr">
        <is>
          <t>LAHOLM</t>
        </is>
      </c>
      <c r="G1556" t="n">
        <v>0.4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73894-2021</t>
        </is>
      </c>
      <c r="B1557" s="1" t="n">
        <v>44553</v>
      </c>
      <c r="C1557" s="1" t="n">
        <v>45627</v>
      </c>
      <c r="D1557" t="inlineStr">
        <is>
          <t>HALLANDS LÄN</t>
        </is>
      </c>
      <c r="E1557" t="inlineStr">
        <is>
          <t>LAHOLM</t>
        </is>
      </c>
      <c r="G1557" t="n">
        <v>0.9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73934-2021</t>
        </is>
      </c>
      <c r="B1558" s="1" t="n">
        <v>44553</v>
      </c>
      <c r="C1558" s="1" t="n">
        <v>45627</v>
      </c>
      <c r="D1558" t="inlineStr">
        <is>
          <t>HALLANDS LÄN</t>
        </is>
      </c>
      <c r="E1558" t="inlineStr">
        <is>
          <t>FALKENBERG</t>
        </is>
      </c>
      <c r="G1558" t="n">
        <v>8.1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73973-2021</t>
        </is>
      </c>
      <c r="B1559" s="1" t="n">
        <v>44554</v>
      </c>
      <c r="C1559" s="1" t="n">
        <v>45627</v>
      </c>
      <c r="D1559" t="inlineStr">
        <is>
          <t>HALLANDS LÄN</t>
        </is>
      </c>
      <c r="E1559" t="inlineStr">
        <is>
          <t>FALKENBERG</t>
        </is>
      </c>
      <c r="G1559" t="n">
        <v>3.2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73974-2021</t>
        </is>
      </c>
      <c r="B1560" s="1" t="n">
        <v>44554</v>
      </c>
      <c r="C1560" s="1" t="n">
        <v>45627</v>
      </c>
      <c r="D1560" t="inlineStr">
        <is>
          <t>HALLANDS LÄN</t>
        </is>
      </c>
      <c r="E1560" t="inlineStr">
        <is>
          <t>FALKENBERG</t>
        </is>
      </c>
      <c r="G1560" t="n">
        <v>2.4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74038-2021</t>
        </is>
      </c>
      <c r="B1561" s="1" t="n">
        <v>44557</v>
      </c>
      <c r="C1561" s="1" t="n">
        <v>45627</v>
      </c>
      <c r="D1561" t="inlineStr">
        <is>
          <t>HALLANDS LÄN</t>
        </is>
      </c>
      <c r="E1561" t="inlineStr">
        <is>
          <t>HALMSTAD</t>
        </is>
      </c>
      <c r="G1561" t="n">
        <v>1.7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74045-2021</t>
        </is>
      </c>
      <c r="B1562" s="1" t="n">
        <v>44557</v>
      </c>
      <c r="C1562" s="1" t="n">
        <v>45627</v>
      </c>
      <c r="D1562" t="inlineStr">
        <is>
          <t>HALLANDS LÄN</t>
        </is>
      </c>
      <c r="E1562" t="inlineStr">
        <is>
          <t>HYLTE</t>
        </is>
      </c>
      <c r="G1562" t="n">
        <v>5.1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74058-2021</t>
        </is>
      </c>
      <c r="B1563" s="1" t="n">
        <v>44557</v>
      </c>
      <c r="C1563" s="1" t="n">
        <v>45627</v>
      </c>
      <c r="D1563" t="inlineStr">
        <is>
          <t>HALLANDS LÄN</t>
        </is>
      </c>
      <c r="E1563" t="inlineStr">
        <is>
          <t>HYLTE</t>
        </is>
      </c>
      <c r="G1563" t="n">
        <v>2.7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74246-2021</t>
        </is>
      </c>
      <c r="B1564" s="1" t="n">
        <v>44558</v>
      </c>
      <c r="C1564" s="1" t="n">
        <v>45627</v>
      </c>
      <c r="D1564" t="inlineStr">
        <is>
          <t>HALLANDS LÄN</t>
        </is>
      </c>
      <c r="E1564" t="inlineStr">
        <is>
          <t>LAHOLM</t>
        </is>
      </c>
      <c r="G1564" t="n">
        <v>1.3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74307-2021</t>
        </is>
      </c>
      <c r="B1565" s="1" t="n">
        <v>44559</v>
      </c>
      <c r="C1565" s="1" t="n">
        <v>45627</v>
      </c>
      <c r="D1565" t="inlineStr">
        <is>
          <t>HALLANDS LÄN</t>
        </is>
      </c>
      <c r="E1565" t="inlineStr">
        <is>
          <t>HYLTE</t>
        </is>
      </c>
      <c r="G1565" t="n">
        <v>1.5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74365-2021</t>
        </is>
      </c>
      <c r="B1566" s="1" t="n">
        <v>44559</v>
      </c>
      <c r="C1566" s="1" t="n">
        <v>45627</v>
      </c>
      <c r="D1566" t="inlineStr">
        <is>
          <t>HALLANDS LÄN</t>
        </is>
      </c>
      <c r="E1566" t="inlineStr">
        <is>
          <t>HYLTE</t>
        </is>
      </c>
      <c r="G1566" t="n">
        <v>2.1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74305-2021</t>
        </is>
      </c>
      <c r="B1567" s="1" t="n">
        <v>44559</v>
      </c>
      <c r="C1567" s="1" t="n">
        <v>45627</v>
      </c>
      <c r="D1567" t="inlineStr">
        <is>
          <t>HALLANDS LÄN</t>
        </is>
      </c>
      <c r="E1567" t="inlineStr">
        <is>
          <t>HYLTE</t>
        </is>
      </c>
      <c r="G1567" t="n">
        <v>6.1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893-2022</t>
        </is>
      </c>
      <c r="B1568" s="1" t="n">
        <v>44571</v>
      </c>
      <c r="C1568" s="1" t="n">
        <v>45627</v>
      </c>
      <c r="D1568" t="inlineStr">
        <is>
          <t>HALLANDS LÄN</t>
        </is>
      </c>
      <c r="E1568" t="inlineStr">
        <is>
          <t>HALMSTAD</t>
        </is>
      </c>
      <c r="G1568" t="n">
        <v>1.2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1171-2022</t>
        </is>
      </c>
      <c r="B1569" s="1" t="n">
        <v>44572</v>
      </c>
      <c r="C1569" s="1" t="n">
        <v>45627</v>
      </c>
      <c r="D1569" t="inlineStr">
        <is>
          <t>HALLANDS LÄN</t>
        </is>
      </c>
      <c r="E1569" t="inlineStr">
        <is>
          <t>FALKENBERG</t>
        </is>
      </c>
      <c r="G1569" t="n">
        <v>0.5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1302-2022</t>
        </is>
      </c>
      <c r="B1570" s="1" t="n">
        <v>44572</v>
      </c>
      <c r="C1570" s="1" t="n">
        <v>45627</v>
      </c>
      <c r="D1570" t="inlineStr">
        <is>
          <t>HALLANDS LÄN</t>
        </is>
      </c>
      <c r="E1570" t="inlineStr">
        <is>
          <t>LAHOLM</t>
        </is>
      </c>
      <c r="G1570" t="n">
        <v>4.1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1263-2022</t>
        </is>
      </c>
      <c r="B1571" s="1" t="n">
        <v>44572</v>
      </c>
      <c r="C1571" s="1" t="n">
        <v>45627</v>
      </c>
      <c r="D1571" t="inlineStr">
        <is>
          <t>HALLANDS LÄN</t>
        </is>
      </c>
      <c r="E1571" t="inlineStr">
        <is>
          <t>FALKENBERG</t>
        </is>
      </c>
      <c r="G1571" t="n">
        <v>1.9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1277-2022</t>
        </is>
      </c>
      <c r="B1572" s="1" t="n">
        <v>44572</v>
      </c>
      <c r="C1572" s="1" t="n">
        <v>45627</v>
      </c>
      <c r="D1572" t="inlineStr">
        <is>
          <t>HALLANDS LÄN</t>
        </is>
      </c>
      <c r="E1572" t="inlineStr">
        <is>
          <t>FALKENBERG</t>
        </is>
      </c>
      <c r="G1572" t="n">
        <v>1.5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1533-2022</t>
        </is>
      </c>
      <c r="B1573" s="1" t="n">
        <v>44573</v>
      </c>
      <c r="C1573" s="1" t="n">
        <v>45627</v>
      </c>
      <c r="D1573" t="inlineStr">
        <is>
          <t>HALLANDS LÄN</t>
        </is>
      </c>
      <c r="E1573" t="inlineStr">
        <is>
          <t>HALMSTAD</t>
        </is>
      </c>
      <c r="F1573" t="inlineStr">
        <is>
          <t>Kyrkan</t>
        </is>
      </c>
      <c r="G1573" t="n">
        <v>3.3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1438-2022</t>
        </is>
      </c>
      <c r="B1574" s="1" t="n">
        <v>44573</v>
      </c>
      <c r="C1574" s="1" t="n">
        <v>45627</v>
      </c>
      <c r="D1574" t="inlineStr">
        <is>
          <t>HALLANDS LÄN</t>
        </is>
      </c>
      <c r="E1574" t="inlineStr">
        <is>
          <t>HALMSTAD</t>
        </is>
      </c>
      <c r="G1574" t="n">
        <v>2.1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1615-2022</t>
        </is>
      </c>
      <c r="B1575" s="1" t="n">
        <v>44573</v>
      </c>
      <c r="C1575" s="1" t="n">
        <v>45627</v>
      </c>
      <c r="D1575" t="inlineStr">
        <is>
          <t>HALLANDS LÄN</t>
        </is>
      </c>
      <c r="E1575" t="inlineStr">
        <is>
          <t>HYLTE</t>
        </is>
      </c>
      <c r="G1575" t="n">
        <v>1.6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1614-2022</t>
        </is>
      </c>
      <c r="B1576" s="1" t="n">
        <v>44573</v>
      </c>
      <c r="C1576" s="1" t="n">
        <v>45627</v>
      </c>
      <c r="D1576" t="inlineStr">
        <is>
          <t>HALLANDS LÄN</t>
        </is>
      </c>
      <c r="E1576" t="inlineStr">
        <is>
          <t>HYLTE</t>
        </is>
      </c>
      <c r="G1576" t="n">
        <v>0.4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1784-2022</t>
        </is>
      </c>
      <c r="B1577" s="1" t="n">
        <v>44574</v>
      </c>
      <c r="C1577" s="1" t="n">
        <v>45627</v>
      </c>
      <c r="D1577" t="inlineStr">
        <is>
          <t>HALLANDS LÄN</t>
        </is>
      </c>
      <c r="E1577" t="inlineStr">
        <is>
          <t>VARBERG</t>
        </is>
      </c>
      <c r="G1577" t="n">
        <v>3.8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1781-2022</t>
        </is>
      </c>
      <c r="B1578" s="1" t="n">
        <v>44574</v>
      </c>
      <c r="C1578" s="1" t="n">
        <v>45627</v>
      </c>
      <c r="D1578" t="inlineStr">
        <is>
          <t>HALLANDS LÄN</t>
        </is>
      </c>
      <c r="E1578" t="inlineStr">
        <is>
          <t>FALKENBERG</t>
        </is>
      </c>
      <c r="G1578" t="n">
        <v>0.9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1785-2022</t>
        </is>
      </c>
      <c r="B1579" s="1" t="n">
        <v>44574</v>
      </c>
      <c r="C1579" s="1" t="n">
        <v>45627</v>
      </c>
      <c r="D1579" t="inlineStr">
        <is>
          <t>HALLANDS LÄN</t>
        </is>
      </c>
      <c r="E1579" t="inlineStr">
        <is>
          <t>FALKENBERG</t>
        </is>
      </c>
      <c r="G1579" t="n">
        <v>3.1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1889-2022</t>
        </is>
      </c>
      <c r="B1580" s="1" t="n">
        <v>44575</v>
      </c>
      <c r="C1580" s="1" t="n">
        <v>45627</v>
      </c>
      <c r="D1580" t="inlineStr">
        <is>
          <t>HALLANDS LÄN</t>
        </is>
      </c>
      <c r="E1580" t="inlineStr">
        <is>
          <t>LAHOLM</t>
        </is>
      </c>
      <c r="G1580" t="n">
        <v>1.2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1887-2022</t>
        </is>
      </c>
      <c r="B1581" s="1" t="n">
        <v>44575</v>
      </c>
      <c r="C1581" s="1" t="n">
        <v>45627</v>
      </c>
      <c r="D1581" t="inlineStr">
        <is>
          <t>HALLANDS LÄN</t>
        </is>
      </c>
      <c r="E1581" t="inlineStr">
        <is>
          <t>LAHOLM</t>
        </is>
      </c>
      <c r="G1581" t="n">
        <v>1.8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1907-2022</t>
        </is>
      </c>
      <c r="B1582" s="1" t="n">
        <v>44575</v>
      </c>
      <c r="C1582" s="1" t="n">
        <v>45627</v>
      </c>
      <c r="D1582" t="inlineStr">
        <is>
          <t>HALLANDS LÄN</t>
        </is>
      </c>
      <c r="E1582" t="inlineStr">
        <is>
          <t>VARBERG</t>
        </is>
      </c>
      <c r="G1582" t="n">
        <v>0.5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1950-2022</t>
        </is>
      </c>
      <c r="B1583" s="1" t="n">
        <v>44575</v>
      </c>
      <c r="C1583" s="1" t="n">
        <v>45627</v>
      </c>
      <c r="D1583" t="inlineStr">
        <is>
          <t>HALLANDS LÄN</t>
        </is>
      </c>
      <c r="E1583" t="inlineStr">
        <is>
          <t>HYLTE</t>
        </is>
      </c>
      <c r="G1583" t="n">
        <v>1.9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2078-2022</t>
        </is>
      </c>
      <c r="B1584" s="1" t="n">
        <v>44576</v>
      </c>
      <c r="C1584" s="1" t="n">
        <v>45627</v>
      </c>
      <c r="D1584" t="inlineStr">
        <is>
          <t>HALLANDS LÄN</t>
        </is>
      </c>
      <c r="E1584" t="inlineStr">
        <is>
          <t>FALKENBERG</t>
        </is>
      </c>
      <c r="G1584" t="n">
        <v>1.1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2281-2022</t>
        </is>
      </c>
      <c r="B1585" s="1" t="n">
        <v>44578</v>
      </c>
      <c r="C1585" s="1" t="n">
        <v>45627</v>
      </c>
      <c r="D1585" t="inlineStr">
        <is>
          <t>HALLANDS LÄN</t>
        </is>
      </c>
      <c r="E1585" t="inlineStr">
        <is>
          <t>KUNGSBACKA</t>
        </is>
      </c>
      <c r="G1585" t="n">
        <v>1.7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2315-2022</t>
        </is>
      </c>
      <c r="B1586" s="1" t="n">
        <v>44578</v>
      </c>
      <c r="C1586" s="1" t="n">
        <v>45627</v>
      </c>
      <c r="D1586" t="inlineStr">
        <is>
          <t>HALLANDS LÄN</t>
        </is>
      </c>
      <c r="E1586" t="inlineStr">
        <is>
          <t>HYLTE</t>
        </is>
      </c>
      <c r="G1586" t="n">
        <v>0.6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2434-2022</t>
        </is>
      </c>
      <c r="B1587" s="1" t="n">
        <v>44579</v>
      </c>
      <c r="C1587" s="1" t="n">
        <v>45627</v>
      </c>
      <c r="D1587" t="inlineStr">
        <is>
          <t>HALLANDS LÄN</t>
        </is>
      </c>
      <c r="E1587" t="inlineStr">
        <is>
          <t>HALMSTAD</t>
        </is>
      </c>
      <c r="G1587" t="n">
        <v>3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2552-2022</t>
        </is>
      </c>
      <c r="B1588" s="1" t="n">
        <v>44580</v>
      </c>
      <c r="C1588" s="1" t="n">
        <v>45627</v>
      </c>
      <c r="D1588" t="inlineStr">
        <is>
          <t>HALLANDS LÄN</t>
        </is>
      </c>
      <c r="E1588" t="inlineStr">
        <is>
          <t>HALMSTAD</t>
        </is>
      </c>
      <c r="G1588" t="n">
        <v>2.1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2647-2022</t>
        </is>
      </c>
      <c r="B1589" s="1" t="n">
        <v>44580</v>
      </c>
      <c r="C1589" s="1" t="n">
        <v>45627</v>
      </c>
      <c r="D1589" t="inlineStr">
        <is>
          <t>HALLANDS LÄN</t>
        </is>
      </c>
      <c r="E1589" t="inlineStr">
        <is>
          <t>HALMSTAD</t>
        </is>
      </c>
      <c r="G1589" t="n">
        <v>0.6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2959-2022</t>
        </is>
      </c>
      <c r="B1590" s="1" t="n">
        <v>44581</v>
      </c>
      <c r="C1590" s="1" t="n">
        <v>45627</v>
      </c>
      <c r="D1590" t="inlineStr">
        <is>
          <t>HALLANDS LÄN</t>
        </is>
      </c>
      <c r="E1590" t="inlineStr">
        <is>
          <t>VARBERG</t>
        </is>
      </c>
      <c r="G1590" t="n">
        <v>2.1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3137-2022</t>
        </is>
      </c>
      <c r="B1591" s="1" t="n">
        <v>44582</v>
      </c>
      <c r="C1591" s="1" t="n">
        <v>45627</v>
      </c>
      <c r="D1591" t="inlineStr">
        <is>
          <t>HALLANDS LÄN</t>
        </is>
      </c>
      <c r="E1591" t="inlineStr">
        <is>
          <t>VARBERG</t>
        </is>
      </c>
      <c r="F1591" t="inlineStr">
        <is>
          <t>Övriga statliga verk och myndigheter</t>
        </is>
      </c>
      <c r="G1591" t="n">
        <v>0.7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3291-2022</t>
        </is>
      </c>
      <c r="B1592" s="1" t="n">
        <v>44584</v>
      </c>
      <c r="C1592" s="1" t="n">
        <v>45627</v>
      </c>
      <c r="D1592" t="inlineStr">
        <is>
          <t>HALLANDS LÄN</t>
        </is>
      </c>
      <c r="E1592" t="inlineStr">
        <is>
          <t>FALKENBERG</t>
        </is>
      </c>
      <c r="G1592" t="n">
        <v>1.7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3731-2022</t>
        </is>
      </c>
      <c r="B1593" s="1" t="n">
        <v>44586</v>
      </c>
      <c r="C1593" s="1" t="n">
        <v>45627</v>
      </c>
      <c r="D1593" t="inlineStr">
        <is>
          <t>HALLANDS LÄN</t>
        </is>
      </c>
      <c r="E1593" t="inlineStr">
        <is>
          <t>VARBERG</t>
        </is>
      </c>
      <c r="F1593" t="inlineStr">
        <is>
          <t>Övriga statliga verk och myndigheter</t>
        </is>
      </c>
      <c r="G1593" t="n">
        <v>0.8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4322-2022</t>
        </is>
      </c>
      <c r="B1594" s="1" t="n">
        <v>44588</v>
      </c>
      <c r="C1594" s="1" t="n">
        <v>45627</v>
      </c>
      <c r="D1594" t="inlineStr">
        <is>
          <t>HALLANDS LÄN</t>
        </is>
      </c>
      <c r="E1594" t="inlineStr">
        <is>
          <t>VARBERG</t>
        </is>
      </c>
      <c r="G1594" t="n">
        <v>8.6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4243-2022</t>
        </is>
      </c>
      <c r="B1595" s="1" t="n">
        <v>44588</v>
      </c>
      <c r="C1595" s="1" t="n">
        <v>45627</v>
      </c>
      <c r="D1595" t="inlineStr">
        <is>
          <t>HALLANDS LÄN</t>
        </is>
      </c>
      <c r="E1595" t="inlineStr">
        <is>
          <t>VARBERG</t>
        </is>
      </c>
      <c r="G1595" t="n">
        <v>0.9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4718-2022</t>
        </is>
      </c>
      <c r="B1596" s="1" t="n">
        <v>44592</v>
      </c>
      <c r="C1596" s="1" t="n">
        <v>45627</v>
      </c>
      <c r="D1596" t="inlineStr">
        <is>
          <t>HALLANDS LÄN</t>
        </is>
      </c>
      <c r="E1596" t="inlineStr">
        <is>
          <t>FALKENBERG</t>
        </is>
      </c>
      <c r="F1596" t="inlineStr">
        <is>
          <t>Kyrkan</t>
        </is>
      </c>
      <c r="G1596" t="n">
        <v>2.2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4753-2022</t>
        </is>
      </c>
      <c r="B1597" s="1" t="n">
        <v>44592</v>
      </c>
      <c r="C1597" s="1" t="n">
        <v>45627</v>
      </c>
      <c r="D1597" t="inlineStr">
        <is>
          <t>HALLANDS LÄN</t>
        </is>
      </c>
      <c r="E1597" t="inlineStr">
        <is>
          <t>HYLTE</t>
        </is>
      </c>
      <c r="G1597" t="n">
        <v>3.9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4757-2022</t>
        </is>
      </c>
      <c r="B1598" s="1" t="n">
        <v>44592</v>
      </c>
      <c r="C1598" s="1" t="n">
        <v>45627</v>
      </c>
      <c r="D1598" t="inlineStr">
        <is>
          <t>HALLANDS LÄN</t>
        </is>
      </c>
      <c r="E1598" t="inlineStr">
        <is>
          <t>HYLTE</t>
        </is>
      </c>
      <c r="G1598" t="n">
        <v>2.4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4819-2022</t>
        </is>
      </c>
      <c r="B1599" s="1" t="n">
        <v>44592</v>
      </c>
      <c r="C1599" s="1" t="n">
        <v>45627</v>
      </c>
      <c r="D1599" t="inlineStr">
        <is>
          <t>HALLANDS LÄN</t>
        </is>
      </c>
      <c r="E1599" t="inlineStr">
        <is>
          <t>LAHOLM</t>
        </is>
      </c>
      <c r="G1599" t="n">
        <v>2.2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4905-2022</t>
        </is>
      </c>
      <c r="B1600" s="1" t="n">
        <v>44593</v>
      </c>
      <c r="C1600" s="1" t="n">
        <v>45627</v>
      </c>
      <c r="D1600" t="inlineStr">
        <is>
          <t>HALLANDS LÄN</t>
        </is>
      </c>
      <c r="E1600" t="inlineStr">
        <is>
          <t>HALMSTAD</t>
        </is>
      </c>
      <c r="F1600" t="inlineStr">
        <is>
          <t>Kyrkan</t>
        </is>
      </c>
      <c r="G1600" t="n">
        <v>0.6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4971-2022</t>
        </is>
      </c>
      <c r="B1601" s="1" t="n">
        <v>44593</v>
      </c>
      <c r="C1601" s="1" t="n">
        <v>45627</v>
      </c>
      <c r="D1601" t="inlineStr">
        <is>
          <t>HALLANDS LÄN</t>
        </is>
      </c>
      <c r="E1601" t="inlineStr">
        <is>
          <t>HALMSTAD</t>
        </is>
      </c>
      <c r="G1601" t="n">
        <v>1.7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4979-2022</t>
        </is>
      </c>
      <c r="B1602" s="1" t="n">
        <v>44593</v>
      </c>
      <c r="C1602" s="1" t="n">
        <v>45627</v>
      </c>
      <c r="D1602" t="inlineStr">
        <is>
          <t>HALLANDS LÄN</t>
        </is>
      </c>
      <c r="E1602" t="inlineStr">
        <is>
          <t>KUNGSBACKA</t>
        </is>
      </c>
      <c r="G1602" t="n">
        <v>0.2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4993-2022</t>
        </is>
      </c>
      <c r="B1603" s="1" t="n">
        <v>44593</v>
      </c>
      <c r="C1603" s="1" t="n">
        <v>45627</v>
      </c>
      <c r="D1603" t="inlineStr">
        <is>
          <t>HALLANDS LÄN</t>
        </is>
      </c>
      <c r="E1603" t="inlineStr">
        <is>
          <t>FALKENBERG</t>
        </is>
      </c>
      <c r="F1603" t="inlineStr">
        <is>
          <t>Kyrkan</t>
        </is>
      </c>
      <c r="G1603" t="n">
        <v>1.5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4997-2022</t>
        </is>
      </c>
      <c r="B1604" s="1" t="n">
        <v>44593</v>
      </c>
      <c r="C1604" s="1" t="n">
        <v>45627</v>
      </c>
      <c r="D1604" t="inlineStr">
        <is>
          <t>HALLANDS LÄN</t>
        </is>
      </c>
      <c r="E1604" t="inlineStr">
        <is>
          <t>FALKENBERG</t>
        </is>
      </c>
      <c r="F1604" t="inlineStr">
        <is>
          <t>Kyrkan</t>
        </is>
      </c>
      <c r="G1604" t="n">
        <v>7.5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5167-2022</t>
        </is>
      </c>
      <c r="B1605" s="1" t="n">
        <v>44594</v>
      </c>
      <c r="C1605" s="1" t="n">
        <v>45627</v>
      </c>
      <c r="D1605" t="inlineStr">
        <is>
          <t>HALLANDS LÄN</t>
        </is>
      </c>
      <c r="E1605" t="inlineStr">
        <is>
          <t>LAHOLM</t>
        </is>
      </c>
      <c r="F1605" t="inlineStr">
        <is>
          <t>Kommuner</t>
        </is>
      </c>
      <c r="G1605" t="n">
        <v>3.1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5330-2022</t>
        </is>
      </c>
      <c r="B1606" s="1" t="n">
        <v>44594</v>
      </c>
      <c r="C1606" s="1" t="n">
        <v>45627</v>
      </c>
      <c r="D1606" t="inlineStr">
        <is>
          <t>HALLANDS LÄN</t>
        </is>
      </c>
      <c r="E1606" t="inlineStr">
        <is>
          <t>HALMSTAD</t>
        </is>
      </c>
      <c r="G1606" t="n">
        <v>1.6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5522-2022</t>
        </is>
      </c>
      <c r="B1607" s="1" t="n">
        <v>44595</v>
      </c>
      <c r="C1607" s="1" t="n">
        <v>45627</v>
      </c>
      <c r="D1607" t="inlineStr">
        <is>
          <t>HALLANDS LÄN</t>
        </is>
      </c>
      <c r="E1607" t="inlineStr">
        <is>
          <t>HALMSTAD</t>
        </is>
      </c>
      <c r="G1607" t="n">
        <v>3.4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5597-2022</t>
        </is>
      </c>
      <c r="B1608" s="1" t="n">
        <v>44595</v>
      </c>
      <c r="C1608" s="1" t="n">
        <v>45627</v>
      </c>
      <c r="D1608" t="inlineStr">
        <is>
          <t>HALLANDS LÄN</t>
        </is>
      </c>
      <c r="E1608" t="inlineStr">
        <is>
          <t>VARBERG</t>
        </is>
      </c>
      <c r="G1608" t="n">
        <v>0.6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5738-2022</t>
        </is>
      </c>
      <c r="B1609" s="1" t="n">
        <v>44596</v>
      </c>
      <c r="C1609" s="1" t="n">
        <v>45627</v>
      </c>
      <c r="D1609" t="inlineStr">
        <is>
          <t>HALLANDS LÄN</t>
        </is>
      </c>
      <c r="E1609" t="inlineStr">
        <is>
          <t>HALMSTAD</t>
        </is>
      </c>
      <c r="G1609" t="n">
        <v>3.5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5677-2022</t>
        </is>
      </c>
      <c r="B1610" s="1" t="n">
        <v>44596</v>
      </c>
      <c r="C1610" s="1" t="n">
        <v>45627</v>
      </c>
      <c r="D1610" t="inlineStr">
        <is>
          <t>HALLANDS LÄN</t>
        </is>
      </c>
      <c r="E1610" t="inlineStr">
        <is>
          <t>LAHOLM</t>
        </is>
      </c>
      <c r="G1610" t="n">
        <v>0.2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5777-2022</t>
        </is>
      </c>
      <c r="B1611" s="1" t="n">
        <v>44596</v>
      </c>
      <c r="C1611" s="1" t="n">
        <v>45627</v>
      </c>
      <c r="D1611" t="inlineStr">
        <is>
          <t>HALLANDS LÄN</t>
        </is>
      </c>
      <c r="E1611" t="inlineStr">
        <is>
          <t>HYLTE</t>
        </is>
      </c>
      <c r="F1611" t="inlineStr">
        <is>
          <t>Bergvik skog väst AB</t>
        </is>
      </c>
      <c r="G1611" t="n">
        <v>15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5785-2022</t>
        </is>
      </c>
      <c r="B1612" s="1" t="n">
        <v>44596</v>
      </c>
      <c r="C1612" s="1" t="n">
        <v>45627</v>
      </c>
      <c r="D1612" t="inlineStr">
        <is>
          <t>HALLANDS LÄN</t>
        </is>
      </c>
      <c r="E1612" t="inlineStr">
        <is>
          <t>VARBERG</t>
        </is>
      </c>
      <c r="G1612" t="n">
        <v>9.1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5818-2022</t>
        </is>
      </c>
      <c r="B1613" s="1" t="n">
        <v>44596</v>
      </c>
      <c r="C1613" s="1" t="n">
        <v>45627</v>
      </c>
      <c r="D1613" t="inlineStr">
        <is>
          <t>HALLANDS LÄN</t>
        </is>
      </c>
      <c r="E1613" t="inlineStr">
        <is>
          <t>HALMSTAD</t>
        </is>
      </c>
      <c r="G1613" t="n">
        <v>1.8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5865-2022</t>
        </is>
      </c>
      <c r="B1614" s="1" t="n">
        <v>44596</v>
      </c>
      <c r="C1614" s="1" t="n">
        <v>45627</v>
      </c>
      <c r="D1614" t="inlineStr">
        <is>
          <t>HALLANDS LÄN</t>
        </is>
      </c>
      <c r="E1614" t="inlineStr">
        <is>
          <t>FALKENBERG</t>
        </is>
      </c>
      <c r="G1614" t="n">
        <v>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6108-2022</t>
        </is>
      </c>
      <c r="B1615" s="1" t="n">
        <v>44599</v>
      </c>
      <c r="C1615" s="1" t="n">
        <v>45627</v>
      </c>
      <c r="D1615" t="inlineStr">
        <is>
          <t>HALLANDS LÄN</t>
        </is>
      </c>
      <c r="E1615" t="inlineStr">
        <is>
          <t>FALKENBERG</t>
        </is>
      </c>
      <c r="G1615" t="n">
        <v>1.9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6218-2022</t>
        </is>
      </c>
      <c r="B1616" s="1" t="n">
        <v>44600</v>
      </c>
      <c r="C1616" s="1" t="n">
        <v>45627</v>
      </c>
      <c r="D1616" t="inlineStr">
        <is>
          <t>HALLANDS LÄN</t>
        </is>
      </c>
      <c r="E1616" t="inlineStr">
        <is>
          <t>FALKENBERG</t>
        </is>
      </c>
      <c r="G1616" t="n">
        <v>1.4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6244-2022</t>
        </is>
      </c>
      <c r="B1617" s="1" t="n">
        <v>44600</v>
      </c>
      <c r="C1617" s="1" t="n">
        <v>45627</v>
      </c>
      <c r="D1617" t="inlineStr">
        <is>
          <t>HALLANDS LÄN</t>
        </is>
      </c>
      <c r="E1617" t="inlineStr">
        <is>
          <t>LAHOLM</t>
        </is>
      </c>
      <c r="G1617" t="n">
        <v>0.3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6250-2022</t>
        </is>
      </c>
      <c r="B1618" s="1" t="n">
        <v>44600</v>
      </c>
      <c r="C1618" s="1" t="n">
        <v>45627</v>
      </c>
      <c r="D1618" t="inlineStr">
        <is>
          <t>HALLANDS LÄN</t>
        </is>
      </c>
      <c r="E1618" t="inlineStr">
        <is>
          <t>LAHOLM</t>
        </is>
      </c>
      <c r="G1618" t="n">
        <v>0.4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6246-2022</t>
        </is>
      </c>
      <c r="B1619" s="1" t="n">
        <v>44600</v>
      </c>
      <c r="C1619" s="1" t="n">
        <v>45627</v>
      </c>
      <c r="D1619" t="inlineStr">
        <is>
          <t>HALLANDS LÄN</t>
        </is>
      </c>
      <c r="E1619" t="inlineStr">
        <is>
          <t>LAHOLM</t>
        </is>
      </c>
      <c r="G1619" t="n">
        <v>0.7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6252-2022</t>
        </is>
      </c>
      <c r="B1620" s="1" t="n">
        <v>44600</v>
      </c>
      <c r="C1620" s="1" t="n">
        <v>45627</v>
      </c>
      <c r="D1620" t="inlineStr">
        <is>
          <t>HALLANDS LÄN</t>
        </is>
      </c>
      <c r="E1620" t="inlineStr">
        <is>
          <t>LAHOLM</t>
        </is>
      </c>
      <c r="G1620" t="n">
        <v>0.4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6260-2022</t>
        </is>
      </c>
      <c r="B1621" s="1" t="n">
        <v>44600</v>
      </c>
      <c r="C1621" s="1" t="n">
        <v>45627</v>
      </c>
      <c r="D1621" t="inlineStr">
        <is>
          <t>HALLANDS LÄN</t>
        </is>
      </c>
      <c r="E1621" t="inlineStr">
        <is>
          <t>KUNGSBACKA</t>
        </is>
      </c>
      <c r="G1621" t="n">
        <v>2.4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6265-2022</t>
        </is>
      </c>
      <c r="B1622" s="1" t="n">
        <v>44600</v>
      </c>
      <c r="C1622" s="1" t="n">
        <v>45627</v>
      </c>
      <c r="D1622" t="inlineStr">
        <is>
          <t>HALLANDS LÄN</t>
        </is>
      </c>
      <c r="E1622" t="inlineStr">
        <is>
          <t>LAHOLM</t>
        </is>
      </c>
      <c r="G1622" t="n">
        <v>3.3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6316-2022</t>
        </is>
      </c>
      <c r="B1623" s="1" t="n">
        <v>44600</v>
      </c>
      <c r="C1623" s="1" t="n">
        <v>45627</v>
      </c>
      <c r="D1623" t="inlineStr">
        <is>
          <t>HALLANDS LÄN</t>
        </is>
      </c>
      <c r="E1623" t="inlineStr">
        <is>
          <t>FALKENBERG</t>
        </is>
      </c>
      <c r="G1623" t="n">
        <v>1.6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6325-2022</t>
        </is>
      </c>
      <c r="B1624" s="1" t="n">
        <v>44600</v>
      </c>
      <c r="C1624" s="1" t="n">
        <v>45627</v>
      </c>
      <c r="D1624" t="inlineStr">
        <is>
          <t>HALLANDS LÄN</t>
        </is>
      </c>
      <c r="E1624" t="inlineStr">
        <is>
          <t>FALKENBERG</t>
        </is>
      </c>
      <c r="G1624" t="n">
        <v>0.8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6241-2022</t>
        </is>
      </c>
      <c r="B1625" s="1" t="n">
        <v>44600</v>
      </c>
      <c r="C1625" s="1" t="n">
        <v>45627</v>
      </c>
      <c r="D1625" t="inlineStr">
        <is>
          <t>HALLANDS LÄN</t>
        </is>
      </c>
      <c r="E1625" t="inlineStr">
        <is>
          <t>LAHOLM</t>
        </is>
      </c>
      <c r="G1625" t="n">
        <v>0.7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6268-2022</t>
        </is>
      </c>
      <c r="B1626" s="1" t="n">
        <v>44600</v>
      </c>
      <c r="C1626" s="1" t="n">
        <v>45627</v>
      </c>
      <c r="D1626" t="inlineStr">
        <is>
          <t>HALLANDS LÄN</t>
        </is>
      </c>
      <c r="E1626" t="inlineStr">
        <is>
          <t>LAHOLM</t>
        </is>
      </c>
      <c r="G1626" t="n">
        <v>1.7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6220-2022</t>
        </is>
      </c>
      <c r="B1627" s="1" t="n">
        <v>44600</v>
      </c>
      <c r="C1627" s="1" t="n">
        <v>45627</v>
      </c>
      <c r="D1627" t="inlineStr">
        <is>
          <t>HALLANDS LÄN</t>
        </is>
      </c>
      <c r="E1627" t="inlineStr">
        <is>
          <t>FALKENBERG</t>
        </is>
      </c>
      <c r="G1627" t="n">
        <v>0.6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6271-2022</t>
        </is>
      </c>
      <c r="B1628" s="1" t="n">
        <v>44600</v>
      </c>
      <c r="C1628" s="1" t="n">
        <v>45627</v>
      </c>
      <c r="D1628" t="inlineStr">
        <is>
          <t>HALLANDS LÄN</t>
        </is>
      </c>
      <c r="E1628" t="inlineStr">
        <is>
          <t>LAHOLM</t>
        </is>
      </c>
      <c r="G1628" t="n">
        <v>0.5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6411-2022</t>
        </is>
      </c>
      <c r="B1629" s="1" t="n">
        <v>44600</v>
      </c>
      <c r="C1629" s="1" t="n">
        <v>45627</v>
      </c>
      <c r="D1629" t="inlineStr">
        <is>
          <t>HALLANDS LÄN</t>
        </is>
      </c>
      <c r="E1629" t="inlineStr">
        <is>
          <t>LAHOLM</t>
        </is>
      </c>
      <c r="G1629" t="n">
        <v>1.7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6322-2022</t>
        </is>
      </c>
      <c r="B1630" s="1" t="n">
        <v>44600</v>
      </c>
      <c r="C1630" s="1" t="n">
        <v>45627</v>
      </c>
      <c r="D1630" t="inlineStr">
        <is>
          <t>HALLANDS LÄN</t>
        </is>
      </c>
      <c r="E1630" t="inlineStr">
        <is>
          <t>FALKENBERG</t>
        </is>
      </c>
      <c r="G1630" t="n">
        <v>1.5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6377-2022</t>
        </is>
      </c>
      <c r="B1631" s="1" t="n">
        <v>44600</v>
      </c>
      <c r="C1631" s="1" t="n">
        <v>45627</v>
      </c>
      <c r="D1631" t="inlineStr">
        <is>
          <t>HALLANDS LÄN</t>
        </is>
      </c>
      <c r="E1631" t="inlineStr">
        <is>
          <t>VARBERG</t>
        </is>
      </c>
      <c r="G1631" t="n">
        <v>0.7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6419-2022</t>
        </is>
      </c>
      <c r="B1632" s="1" t="n">
        <v>44600</v>
      </c>
      <c r="C1632" s="1" t="n">
        <v>45627</v>
      </c>
      <c r="D1632" t="inlineStr">
        <is>
          <t>HALLANDS LÄN</t>
        </is>
      </c>
      <c r="E1632" t="inlineStr">
        <is>
          <t>HYLTE</t>
        </is>
      </c>
      <c r="G1632" t="n">
        <v>4.4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6415-2022</t>
        </is>
      </c>
      <c r="B1633" s="1" t="n">
        <v>44600</v>
      </c>
      <c r="C1633" s="1" t="n">
        <v>45627</v>
      </c>
      <c r="D1633" t="inlineStr">
        <is>
          <t>HALLANDS LÄN</t>
        </is>
      </c>
      <c r="E1633" t="inlineStr">
        <is>
          <t>HYLTE</t>
        </is>
      </c>
      <c r="G1633" t="n">
        <v>0.4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6417-2022</t>
        </is>
      </c>
      <c r="B1634" s="1" t="n">
        <v>44600</v>
      </c>
      <c r="C1634" s="1" t="n">
        <v>45627</v>
      </c>
      <c r="D1634" t="inlineStr">
        <is>
          <t>HALLANDS LÄN</t>
        </is>
      </c>
      <c r="E1634" t="inlineStr">
        <is>
          <t>HYLTE</t>
        </is>
      </c>
      <c r="G1634" t="n">
        <v>0.6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6504-2022</t>
        </is>
      </c>
      <c r="B1635" s="1" t="n">
        <v>44601</v>
      </c>
      <c r="C1635" s="1" t="n">
        <v>45627</v>
      </c>
      <c r="D1635" t="inlineStr">
        <is>
          <t>HALLANDS LÄN</t>
        </is>
      </c>
      <c r="E1635" t="inlineStr">
        <is>
          <t>KUNGSBACKA</t>
        </is>
      </c>
      <c r="G1635" t="n">
        <v>1.6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6610-2022</t>
        </is>
      </c>
      <c r="B1636" s="1" t="n">
        <v>44601</v>
      </c>
      <c r="C1636" s="1" t="n">
        <v>45627</v>
      </c>
      <c r="D1636" t="inlineStr">
        <is>
          <t>HALLANDS LÄN</t>
        </is>
      </c>
      <c r="E1636" t="inlineStr">
        <is>
          <t>HYLTE</t>
        </is>
      </c>
      <c r="G1636" t="n">
        <v>6.9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6703-2022</t>
        </is>
      </c>
      <c r="B1637" s="1" t="n">
        <v>44602</v>
      </c>
      <c r="C1637" s="1" t="n">
        <v>45627</v>
      </c>
      <c r="D1637" t="inlineStr">
        <is>
          <t>HALLANDS LÄN</t>
        </is>
      </c>
      <c r="E1637" t="inlineStr">
        <is>
          <t>FALKENBERG</t>
        </is>
      </c>
      <c r="G1637" t="n">
        <v>0.5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6833-2022</t>
        </is>
      </c>
      <c r="B1638" s="1" t="n">
        <v>44602</v>
      </c>
      <c r="C1638" s="1" t="n">
        <v>45627</v>
      </c>
      <c r="D1638" t="inlineStr">
        <is>
          <t>HALLANDS LÄN</t>
        </is>
      </c>
      <c r="E1638" t="inlineStr">
        <is>
          <t>LAHOLM</t>
        </is>
      </c>
      <c r="G1638" t="n">
        <v>1.4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7019-2022</t>
        </is>
      </c>
      <c r="B1639" s="1" t="n">
        <v>44603</v>
      </c>
      <c r="C1639" s="1" t="n">
        <v>45627</v>
      </c>
      <c r="D1639" t="inlineStr">
        <is>
          <t>HALLANDS LÄN</t>
        </is>
      </c>
      <c r="E1639" t="inlineStr">
        <is>
          <t>LAHOLM</t>
        </is>
      </c>
      <c r="G1639" t="n">
        <v>0.5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7405-2022</t>
        </is>
      </c>
      <c r="B1640" s="1" t="n">
        <v>44606</v>
      </c>
      <c r="C1640" s="1" t="n">
        <v>45627</v>
      </c>
      <c r="D1640" t="inlineStr">
        <is>
          <t>HALLANDS LÄN</t>
        </is>
      </c>
      <c r="E1640" t="inlineStr">
        <is>
          <t>LAHOLM</t>
        </is>
      </c>
      <c r="F1640" t="inlineStr">
        <is>
          <t>Kommuner</t>
        </is>
      </c>
      <c r="G1640" t="n">
        <v>5.8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7593-2022</t>
        </is>
      </c>
      <c r="B1641" s="1" t="n">
        <v>44607</v>
      </c>
      <c r="C1641" s="1" t="n">
        <v>45627</v>
      </c>
      <c r="D1641" t="inlineStr">
        <is>
          <t>HALLANDS LÄN</t>
        </is>
      </c>
      <c r="E1641" t="inlineStr">
        <is>
          <t>FALKENBERG</t>
        </is>
      </c>
      <c r="G1641" t="n">
        <v>1.7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7639-2022</t>
        </is>
      </c>
      <c r="B1642" s="1" t="n">
        <v>44607</v>
      </c>
      <c r="C1642" s="1" t="n">
        <v>45627</v>
      </c>
      <c r="D1642" t="inlineStr">
        <is>
          <t>HALLANDS LÄN</t>
        </is>
      </c>
      <c r="E1642" t="inlineStr">
        <is>
          <t>HALMSTAD</t>
        </is>
      </c>
      <c r="G1642" t="n">
        <v>1.4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7609-2022</t>
        </is>
      </c>
      <c r="B1643" s="1" t="n">
        <v>44607</v>
      </c>
      <c r="C1643" s="1" t="n">
        <v>45627</v>
      </c>
      <c r="D1643" t="inlineStr">
        <is>
          <t>HALLANDS LÄN</t>
        </is>
      </c>
      <c r="E1643" t="inlineStr">
        <is>
          <t>VARBERG</t>
        </is>
      </c>
      <c r="G1643" t="n">
        <v>1.6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7895-2022</t>
        </is>
      </c>
      <c r="B1644" s="1" t="n">
        <v>44607</v>
      </c>
      <c r="C1644" s="1" t="n">
        <v>45627</v>
      </c>
      <c r="D1644" t="inlineStr">
        <is>
          <t>HALLANDS LÄN</t>
        </is>
      </c>
      <c r="E1644" t="inlineStr">
        <is>
          <t>HYLTE</t>
        </is>
      </c>
      <c r="G1644" t="n">
        <v>12.5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8041-2022</t>
        </is>
      </c>
      <c r="B1645" s="1" t="n">
        <v>44609</v>
      </c>
      <c r="C1645" s="1" t="n">
        <v>45627</v>
      </c>
      <c r="D1645" t="inlineStr">
        <is>
          <t>HALLANDS LÄN</t>
        </is>
      </c>
      <c r="E1645" t="inlineStr">
        <is>
          <t>HALMSTAD</t>
        </is>
      </c>
      <c r="F1645" t="inlineStr">
        <is>
          <t>Kyrkan</t>
        </is>
      </c>
      <c r="G1645" t="n">
        <v>5.8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8284-2022</t>
        </is>
      </c>
      <c r="B1646" s="1" t="n">
        <v>44610</v>
      </c>
      <c r="C1646" s="1" t="n">
        <v>45627</v>
      </c>
      <c r="D1646" t="inlineStr">
        <is>
          <t>HALLANDS LÄN</t>
        </is>
      </c>
      <c r="E1646" t="inlineStr">
        <is>
          <t>HALMSTAD</t>
        </is>
      </c>
      <c r="G1646" t="n">
        <v>2.1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8349-2022</t>
        </is>
      </c>
      <c r="B1647" s="1" t="n">
        <v>44610</v>
      </c>
      <c r="C1647" s="1" t="n">
        <v>45627</v>
      </c>
      <c r="D1647" t="inlineStr">
        <is>
          <t>HALLANDS LÄN</t>
        </is>
      </c>
      <c r="E1647" t="inlineStr">
        <is>
          <t>FALKENBERG</t>
        </is>
      </c>
      <c r="G1647" t="n">
        <v>3.4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8640-2022</t>
        </is>
      </c>
      <c r="B1648" s="1" t="n">
        <v>44613</v>
      </c>
      <c r="C1648" s="1" t="n">
        <v>45627</v>
      </c>
      <c r="D1648" t="inlineStr">
        <is>
          <t>HALLANDS LÄN</t>
        </is>
      </c>
      <c r="E1648" t="inlineStr">
        <is>
          <t>KUNGSBACKA</t>
        </is>
      </c>
      <c r="G1648" t="n">
        <v>6.6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8677-2022</t>
        </is>
      </c>
      <c r="B1649" s="1" t="n">
        <v>44613</v>
      </c>
      <c r="C1649" s="1" t="n">
        <v>45627</v>
      </c>
      <c r="D1649" t="inlineStr">
        <is>
          <t>HALLANDS LÄN</t>
        </is>
      </c>
      <c r="E1649" t="inlineStr">
        <is>
          <t>KUNGSBACKA</t>
        </is>
      </c>
      <c r="G1649" t="n">
        <v>3.5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8610-2022</t>
        </is>
      </c>
      <c r="B1650" s="1" t="n">
        <v>44613</v>
      </c>
      <c r="C1650" s="1" t="n">
        <v>45627</v>
      </c>
      <c r="D1650" t="inlineStr">
        <is>
          <t>HALLANDS LÄN</t>
        </is>
      </c>
      <c r="E1650" t="inlineStr">
        <is>
          <t>FALKENBERG</t>
        </is>
      </c>
      <c r="G1650" t="n">
        <v>4.1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8543-2022</t>
        </is>
      </c>
      <c r="B1651" s="1" t="n">
        <v>44613</v>
      </c>
      <c r="C1651" s="1" t="n">
        <v>45627</v>
      </c>
      <c r="D1651" t="inlineStr">
        <is>
          <t>HALLANDS LÄN</t>
        </is>
      </c>
      <c r="E1651" t="inlineStr">
        <is>
          <t>HYLTE</t>
        </is>
      </c>
      <c r="G1651" t="n">
        <v>4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8902-2022</t>
        </is>
      </c>
      <c r="B1652" s="1" t="n">
        <v>44614</v>
      </c>
      <c r="C1652" s="1" t="n">
        <v>45627</v>
      </c>
      <c r="D1652" t="inlineStr">
        <is>
          <t>HALLANDS LÄN</t>
        </is>
      </c>
      <c r="E1652" t="inlineStr">
        <is>
          <t>FALKENBERG</t>
        </is>
      </c>
      <c r="G1652" t="n">
        <v>0.5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9002-2022</t>
        </is>
      </c>
      <c r="B1653" s="1" t="n">
        <v>44615</v>
      </c>
      <c r="C1653" s="1" t="n">
        <v>45627</v>
      </c>
      <c r="D1653" t="inlineStr">
        <is>
          <t>HALLANDS LÄN</t>
        </is>
      </c>
      <c r="E1653" t="inlineStr">
        <is>
          <t>VARBERG</t>
        </is>
      </c>
      <c r="G1653" t="n">
        <v>4.2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9056-2022</t>
        </is>
      </c>
      <c r="B1654" s="1" t="n">
        <v>44615</v>
      </c>
      <c r="C1654" s="1" t="n">
        <v>45627</v>
      </c>
      <c r="D1654" t="inlineStr">
        <is>
          <t>HALLANDS LÄN</t>
        </is>
      </c>
      <c r="E1654" t="inlineStr">
        <is>
          <t>HYLTE</t>
        </is>
      </c>
      <c r="G1654" t="n">
        <v>5.2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8989-2022</t>
        </is>
      </c>
      <c r="B1655" s="1" t="n">
        <v>44615</v>
      </c>
      <c r="C1655" s="1" t="n">
        <v>45627</v>
      </c>
      <c r="D1655" t="inlineStr">
        <is>
          <t>HALLANDS LÄN</t>
        </is>
      </c>
      <c r="E1655" t="inlineStr">
        <is>
          <t>VARBERG</t>
        </is>
      </c>
      <c r="G1655" t="n">
        <v>1.3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9328-2022</t>
        </is>
      </c>
      <c r="B1656" s="1" t="n">
        <v>44616</v>
      </c>
      <c r="C1656" s="1" t="n">
        <v>45627</v>
      </c>
      <c r="D1656" t="inlineStr">
        <is>
          <t>HALLANDS LÄN</t>
        </is>
      </c>
      <c r="E1656" t="inlineStr">
        <is>
          <t>FALKENBERG</t>
        </is>
      </c>
      <c r="F1656" t="inlineStr">
        <is>
          <t>Kommuner</t>
        </is>
      </c>
      <c r="G1656" t="n">
        <v>1.2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9323-2022</t>
        </is>
      </c>
      <c r="B1657" s="1" t="n">
        <v>44616</v>
      </c>
      <c r="C1657" s="1" t="n">
        <v>45627</v>
      </c>
      <c r="D1657" t="inlineStr">
        <is>
          <t>HALLANDS LÄN</t>
        </is>
      </c>
      <c r="E1657" t="inlineStr">
        <is>
          <t>FALKENBERG</t>
        </is>
      </c>
      <c r="F1657" t="inlineStr">
        <is>
          <t>Kommuner</t>
        </is>
      </c>
      <c r="G1657" t="n">
        <v>1.4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9364-2022</t>
        </is>
      </c>
      <c r="B1658" s="1" t="n">
        <v>44616</v>
      </c>
      <c r="C1658" s="1" t="n">
        <v>45627</v>
      </c>
      <c r="D1658" t="inlineStr">
        <is>
          <t>HALLANDS LÄN</t>
        </is>
      </c>
      <c r="E1658" t="inlineStr">
        <is>
          <t>FALKENBERG</t>
        </is>
      </c>
      <c r="F1658" t="inlineStr">
        <is>
          <t>Kommuner</t>
        </is>
      </c>
      <c r="G1658" t="n">
        <v>0.8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9556-2022</t>
        </is>
      </c>
      <c r="B1659" s="1" t="n">
        <v>44617</v>
      </c>
      <c r="C1659" s="1" t="n">
        <v>45627</v>
      </c>
      <c r="D1659" t="inlineStr">
        <is>
          <t>HALLANDS LÄN</t>
        </is>
      </c>
      <c r="E1659" t="inlineStr">
        <is>
          <t>FALKENBERG</t>
        </is>
      </c>
      <c r="G1659" t="n">
        <v>0.7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9507-2022</t>
        </is>
      </c>
      <c r="B1660" s="1" t="n">
        <v>44617</v>
      </c>
      <c r="C1660" s="1" t="n">
        <v>45627</v>
      </c>
      <c r="D1660" t="inlineStr">
        <is>
          <t>HALLANDS LÄN</t>
        </is>
      </c>
      <c r="E1660" t="inlineStr">
        <is>
          <t>KUNGSBACKA</t>
        </is>
      </c>
      <c r="F1660" t="inlineStr">
        <is>
          <t>Sveaskog</t>
        </is>
      </c>
      <c r="G1660" t="n">
        <v>1.1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9550-2022</t>
        </is>
      </c>
      <c r="B1661" s="1" t="n">
        <v>44617</v>
      </c>
      <c r="C1661" s="1" t="n">
        <v>45627</v>
      </c>
      <c r="D1661" t="inlineStr">
        <is>
          <t>HALLANDS LÄN</t>
        </is>
      </c>
      <c r="E1661" t="inlineStr">
        <is>
          <t>HYLTE</t>
        </is>
      </c>
      <c r="G1661" t="n">
        <v>3.8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9819-2022</t>
        </is>
      </c>
      <c r="B1662" s="1" t="n">
        <v>44620</v>
      </c>
      <c r="C1662" s="1" t="n">
        <v>45627</v>
      </c>
      <c r="D1662" t="inlineStr">
        <is>
          <t>HALLANDS LÄN</t>
        </is>
      </c>
      <c r="E1662" t="inlineStr">
        <is>
          <t>VARBERG</t>
        </is>
      </c>
      <c r="G1662" t="n">
        <v>2.3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10061-2022</t>
        </is>
      </c>
      <c r="B1663" s="1" t="n">
        <v>44621</v>
      </c>
      <c r="C1663" s="1" t="n">
        <v>45627</v>
      </c>
      <c r="D1663" t="inlineStr">
        <is>
          <t>HALLANDS LÄN</t>
        </is>
      </c>
      <c r="E1663" t="inlineStr">
        <is>
          <t>HALMSTAD</t>
        </is>
      </c>
      <c r="G1663" t="n">
        <v>2.5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10053-2022</t>
        </is>
      </c>
      <c r="B1664" s="1" t="n">
        <v>44621</v>
      </c>
      <c r="C1664" s="1" t="n">
        <v>45627</v>
      </c>
      <c r="D1664" t="inlineStr">
        <is>
          <t>HALLANDS LÄN</t>
        </is>
      </c>
      <c r="E1664" t="inlineStr">
        <is>
          <t>HALMSTAD</t>
        </is>
      </c>
      <c r="G1664" t="n">
        <v>1.4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10065-2022</t>
        </is>
      </c>
      <c r="B1665" s="1" t="n">
        <v>44621</v>
      </c>
      <c r="C1665" s="1" t="n">
        <v>45627</v>
      </c>
      <c r="D1665" t="inlineStr">
        <is>
          <t>HALLANDS LÄN</t>
        </is>
      </c>
      <c r="E1665" t="inlineStr">
        <is>
          <t>HALMSTAD</t>
        </is>
      </c>
      <c r="G1665" t="n">
        <v>3.3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10063-2022</t>
        </is>
      </c>
      <c r="B1666" s="1" t="n">
        <v>44621</v>
      </c>
      <c r="C1666" s="1" t="n">
        <v>45627</v>
      </c>
      <c r="D1666" t="inlineStr">
        <is>
          <t>HALLANDS LÄN</t>
        </is>
      </c>
      <c r="E1666" t="inlineStr">
        <is>
          <t>HALMSTAD</t>
        </is>
      </c>
      <c r="G1666" t="n">
        <v>3.7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10067-2022</t>
        </is>
      </c>
      <c r="B1667" s="1" t="n">
        <v>44621</v>
      </c>
      <c r="C1667" s="1" t="n">
        <v>45627</v>
      </c>
      <c r="D1667" t="inlineStr">
        <is>
          <t>HALLANDS LÄN</t>
        </is>
      </c>
      <c r="E1667" t="inlineStr">
        <is>
          <t>HALMSTAD</t>
        </is>
      </c>
      <c r="G1667" t="n">
        <v>0.7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10151-2022</t>
        </is>
      </c>
      <c r="B1668" s="1" t="n">
        <v>44621</v>
      </c>
      <c r="C1668" s="1" t="n">
        <v>45627</v>
      </c>
      <c r="D1668" t="inlineStr">
        <is>
          <t>HALLANDS LÄN</t>
        </is>
      </c>
      <c r="E1668" t="inlineStr">
        <is>
          <t>HYLTE</t>
        </is>
      </c>
      <c r="F1668" t="inlineStr">
        <is>
          <t>Kyrkan</t>
        </is>
      </c>
      <c r="G1668" t="n">
        <v>1.6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10186-2022</t>
        </is>
      </c>
      <c r="B1669" s="1" t="n">
        <v>44622</v>
      </c>
      <c r="C1669" s="1" t="n">
        <v>45627</v>
      </c>
      <c r="D1669" t="inlineStr">
        <is>
          <t>HALLANDS LÄN</t>
        </is>
      </c>
      <c r="E1669" t="inlineStr">
        <is>
          <t>VARBERG</t>
        </is>
      </c>
      <c r="G1669" t="n">
        <v>0.9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10269-2022</t>
        </is>
      </c>
      <c r="B1670" s="1" t="n">
        <v>44622</v>
      </c>
      <c r="C1670" s="1" t="n">
        <v>45627</v>
      </c>
      <c r="D1670" t="inlineStr">
        <is>
          <t>HALLANDS LÄN</t>
        </is>
      </c>
      <c r="E1670" t="inlineStr">
        <is>
          <t>HALMSTAD</t>
        </is>
      </c>
      <c r="G1670" t="n">
        <v>0.9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10270-2022</t>
        </is>
      </c>
      <c r="B1671" s="1" t="n">
        <v>44622</v>
      </c>
      <c r="C1671" s="1" t="n">
        <v>45627</v>
      </c>
      <c r="D1671" t="inlineStr">
        <is>
          <t>HALLANDS LÄN</t>
        </is>
      </c>
      <c r="E1671" t="inlineStr">
        <is>
          <t>FALKENBERG</t>
        </is>
      </c>
      <c r="G1671" t="n">
        <v>2.8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10276-2022</t>
        </is>
      </c>
      <c r="B1672" s="1" t="n">
        <v>44622</v>
      </c>
      <c r="C1672" s="1" t="n">
        <v>45627</v>
      </c>
      <c r="D1672" t="inlineStr">
        <is>
          <t>HALLANDS LÄN</t>
        </is>
      </c>
      <c r="E1672" t="inlineStr">
        <is>
          <t>HALMSTAD</t>
        </is>
      </c>
      <c r="G1672" t="n">
        <v>0.9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10263-2022</t>
        </is>
      </c>
      <c r="B1673" s="1" t="n">
        <v>44622</v>
      </c>
      <c r="C1673" s="1" t="n">
        <v>45627</v>
      </c>
      <c r="D1673" t="inlineStr">
        <is>
          <t>HALLANDS LÄN</t>
        </is>
      </c>
      <c r="E1673" t="inlineStr">
        <is>
          <t>HALMSTAD</t>
        </is>
      </c>
      <c r="G1673" t="n">
        <v>0.9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10285-2022</t>
        </is>
      </c>
      <c r="B1674" s="1" t="n">
        <v>44622</v>
      </c>
      <c r="C1674" s="1" t="n">
        <v>45627</v>
      </c>
      <c r="D1674" t="inlineStr">
        <is>
          <t>HALLANDS LÄN</t>
        </is>
      </c>
      <c r="E1674" t="inlineStr">
        <is>
          <t>HALMSTAD</t>
        </is>
      </c>
      <c r="F1674" t="inlineStr">
        <is>
          <t>Kommuner</t>
        </is>
      </c>
      <c r="G1674" t="n">
        <v>1.8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10268-2022</t>
        </is>
      </c>
      <c r="B1675" s="1" t="n">
        <v>44622</v>
      </c>
      <c r="C1675" s="1" t="n">
        <v>45627</v>
      </c>
      <c r="D1675" t="inlineStr">
        <is>
          <t>HALLANDS LÄN</t>
        </is>
      </c>
      <c r="E1675" t="inlineStr">
        <is>
          <t>FALKENBERG</t>
        </is>
      </c>
      <c r="G1675" t="n">
        <v>1.7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10448-2022</t>
        </is>
      </c>
      <c r="B1676" s="1" t="n">
        <v>44623</v>
      </c>
      <c r="C1676" s="1" t="n">
        <v>45627</v>
      </c>
      <c r="D1676" t="inlineStr">
        <is>
          <t>HALLANDS LÄN</t>
        </is>
      </c>
      <c r="E1676" t="inlineStr">
        <is>
          <t>FALKENBERG</t>
        </is>
      </c>
      <c r="G1676" t="n">
        <v>0.8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10635-2022</t>
        </is>
      </c>
      <c r="B1677" s="1" t="n">
        <v>44624</v>
      </c>
      <c r="C1677" s="1" t="n">
        <v>45627</v>
      </c>
      <c r="D1677" t="inlineStr">
        <is>
          <t>HALLANDS LÄN</t>
        </is>
      </c>
      <c r="E1677" t="inlineStr">
        <is>
          <t>HYLTE</t>
        </is>
      </c>
      <c r="G1677" t="n">
        <v>0.6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10570-2022</t>
        </is>
      </c>
      <c r="B1678" s="1" t="n">
        <v>44624</v>
      </c>
      <c r="C1678" s="1" t="n">
        <v>45627</v>
      </c>
      <c r="D1678" t="inlineStr">
        <is>
          <t>HALLANDS LÄN</t>
        </is>
      </c>
      <c r="E1678" t="inlineStr">
        <is>
          <t>LAHOLM</t>
        </is>
      </c>
      <c r="F1678" t="inlineStr">
        <is>
          <t>Sveaskog</t>
        </is>
      </c>
      <c r="G1678" t="n">
        <v>5.6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10636-2022</t>
        </is>
      </c>
      <c r="B1679" s="1" t="n">
        <v>44624</v>
      </c>
      <c r="C1679" s="1" t="n">
        <v>45627</v>
      </c>
      <c r="D1679" t="inlineStr">
        <is>
          <t>HALLANDS LÄN</t>
        </is>
      </c>
      <c r="E1679" t="inlineStr">
        <is>
          <t>HYLTE</t>
        </is>
      </c>
      <c r="G1679" t="n">
        <v>5.4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10748-2022</t>
        </is>
      </c>
      <c r="B1680" s="1" t="n">
        <v>44627</v>
      </c>
      <c r="C1680" s="1" t="n">
        <v>45627</v>
      </c>
      <c r="D1680" t="inlineStr">
        <is>
          <t>HALLANDS LÄN</t>
        </is>
      </c>
      <c r="E1680" t="inlineStr">
        <is>
          <t>FALKENBERG</t>
        </is>
      </c>
      <c r="G1680" t="n">
        <v>0.6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10746-2022</t>
        </is>
      </c>
      <c r="B1681" s="1" t="n">
        <v>44627</v>
      </c>
      <c r="C1681" s="1" t="n">
        <v>45627</v>
      </c>
      <c r="D1681" t="inlineStr">
        <is>
          <t>HALLANDS LÄN</t>
        </is>
      </c>
      <c r="E1681" t="inlineStr">
        <is>
          <t>FALKENBERG</t>
        </is>
      </c>
      <c r="G1681" t="n">
        <v>1.5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10941-2022</t>
        </is>
      </c>
      <c r="B1682" s="1" t="n">
        <v>44628</v>
      </c>
      <c r="C1682" s="1" t="n">
        <v>45627</v>
      </c>
      <c r="D1682" t="inlineStr">
        <is>
          <t>HALLANDS LÄN</t>
        </is>
      </c>
      <c r="E1682" t="inlineStr">
        <is>
          <t>VARBERG</t>
        </is>
      </c>
      <c r="G1682" t="n">
        <v>1.8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11056-2022</t>
        </is>
      </c>
      <c r="B1683" s="1" t="n">
        <v>44628</v>
      </c>
      <c r="C1683" s="1" t="n">
        <v>45627</v>
      </c>
      <c r="D1683" t="inlineStr">
        <is>
          <t>HALLANDS LÄN</t>
        </is>
      </c>
      <c r="E1683" t="inlineStr">
        <is>
          <t>FALKENBERG</t>
        </is>
      </c>
      <c r="F1683" t="inlineStr">
        <is>
          <t>Bergvik skog väst AB</t>
        </is>
      </c>
      <c r="G1683" t="n">
        <v>0.6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10940-2022</t>
        </is>
      </c>
      <c r="B1684" s="1" t="n">
        <v>44628</v>
      </c>
      <c r="C1684" s="1" t="n">
        <v>45627</v>
      </c>
      <c r="D1684" t="inlineStr">
        <is>
          <t>HALLANDS LÄN</t>
        </is>
      </c>
      <c r="E1684" t="inlineStr">
        <is>
          <t>VARBERG</t>
        </is>
      </c>
      <c r="G1684" t="n">
        <v>1.6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11091-2022</t>
        </is>
      </c>
      <c r="B1685" s="1" t="n">
        <v>44628</v>
      </c>
      <c r="C1685" s="1" t="n">
        <v>45627</v>
      </c>
      <c r="D1685" t="inlineStr">
        <is>
          <t>HALLANDS LÄN</t>
        </is>
      </c>
      <c r="E1685" t="inlineStr">
        <is>
          <t>HALMSTAD</t>
        </is>
      </c>
      <c r="G1685" t="n">
        <v>4.9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11088-2022</t>
        </is>
      </c>
      <c r="B1686" s="1" t="n">
        <v>44628</v>
      </c>
      <c r="C1686" s="1" t="n">
        <v>45627</v>
      </c>
      <c r="D1686" t="inlineStr">
        <is>
          <t>HALLANDS LÄN</t>
        </is>
      </c>
      <c r="E1686" t="inlineStr">
        <is>
          <t>HALMSTAD</t>
        </is>
      </c>
      <c r="G1686" t="n">
        <v>0.5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11154-2022</t>
        </is>
      </c>
      <c r="B1687" s="1" t="n">
        <v>44629</v>
      </c>
      <c r="C1687" s="1" t="n">
        <v>45627</v>
      </c>
      <c r="D1687" t="inlineStr">
        <is>
          <t>HALLANDS LÄN</t>
        </is>
      </c>
      <c r="E1687" t="inlineStr">
        <is>
          <t>KUNGSBACKA</t>
        </is>
      </c>
      <c r="G1687" t="n">
        <v>2.6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11321-2022</t>
        </is>
      </c>
      <c r="B1688" s="1" t="n">
        <v>44630</v>
      </c>
      <c r="C1688" s="1" t="n">
        <v>45627</v>
      </c>
      <c r="D1688" t="inlineStr">
        <is>
          <t>HALLANDS LÄN</t>
        </is>
      </c>
      <c r="E1688" t="inlineStr">
        <is>
          <t>VARBERG</t>
        </is>
      </c>
      <c r="G1688" t="n">
        <v>2.6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11567-2022</t>
        </is>
      </c>
      <c r="B1689" s="1" t="n">
        <v>44631</v>
      </c>
      <c r="C1689" s="1" t="n">
        <v>45627</v>
      </c>
      <c r="D1689" t="inlineStr">
        <is>
          <t>HALLANDS LÄN</t>
        </is>
      </c>
      <c r="E1689" t="inlineStr">
        <is>
          <t>HYLTE</t>
        </is>
      </c>
      <c r="G1689" t="n">
        <v>1.6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11574-2022</t>
        </is>
      </c>
      <c r="B1690" s="1" t="n">
        <v>44631</v>
      </c>
      <c r="C1690" s="1" t="n">
        <v>45627</v>
      </c>
      <c r="D1690" t="inlineStr">
        <is>
          <t>HALLANDS LÄN</t>
        </is>
      </c>
      <c r="E1690" t="inlineStr">
        <is>
          <t>FALKENBERG</t>
        </is>
      </c>
      <c r="G1690" t="n">
        <v>1.3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11689-2022</t>
        </is>
      </c>
      <c r="B1691" s="1" t="n">
        <v>44634</v>
      </c>
      <c r="C1691" s="1" t="n">
        <v>45627</v>
      </c>
      <c r="D1691" t="inlineStr">
        <is>
          <t>HALLANDS LÄN</t>
        </is>
      </c>
      <c r="E1691" t="inlineStr">
        <is>
          <t>HYLTE</t>
        </is>
      </c>
      <c r="G1691" t="n">
        <v>1.7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11941-2022</t>
        </is>
      </c>
      <c r="B1692" s="1" t="n">
        <v>44635</v>
      </c>
      <c r="C1692" s="1" t="n">
        <v>45627</v>
      </c>
      <c r="D1692" t="inlineStr">
        <is>
          <t>HALLANDS LÄN</t>
        </is>
      </c>
      <c r="E1692" t="inlineStr">
        <is>
          <t>HYLTE</t>
        </is>
      </c>
      <c r="F1692" t="inlineStr">
        <is>
          <t>Bergvik skog väst AB</t>
        </is>
      </c>
      <c r="G1692" t="n">
        <v>2.7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11852-2022</t>
        </is>
      </c>
      <c r="B1693" s="1" t="n">
        <v>44635</v>
      </c>
      <c r="C1693" s="1" t="n">
        <v>45627</v>
      </c>
      <c r="D1693" t="inlineStr">
        <is>
          <t>HALLANDS LÄN</t>
        </is>
      </c>
      <c r="E1693" t="inlineStr">
        <is>
          <t>VARBERG</t>
        </is>
      </c>
      <c r="G1693" t="n">
        <v>9.5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11886-2022</t>
        </is>
      </c>
      <c r="B1694" s="1" t="n">
        <v>44635</v>
      </c>
      <c r="C1694" s="1" t="n">
        <v>45627</v>
      </c>
      <c r="D1694" t="inlineStr">
        <is>
          <t>HALLANDS LÄN</t>
        </is>
      </c>
      <c r="E1694" t="inlineStr">
        <is>
          <t>HALMSTAD</t>
        </is>
      </c>
      <c r="G1694" t="n">
        <v>0.9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12241-2022</t>
        </is>
      </c>
      <c r="B1695" s="1" t="n">
        <v>44637</v>
      </c>
      <c r="C1695" s="1" t="n">
        <v>45627</v>
      </c>
      <c r="D1695" t="inlineStr">
        <is>
          <t>HALLANDS LÄN</t>
        </is>
      </c>
      <c r="E1695" t="inlineStr">
        <is>
          <t>HYLTE</t>
        </is>
      </c>
      <c r="G1695" t="n">
        <v>1.6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12415-2022</t>
        </is>
      </c>
      <c r="B1696" s="1" t="n">
        <v>44638</v>
      </c>
      <c r="C1696" s="1" t="n">
        <v>45627</v>
      </c>
      <c r="D1696" t="inlineStr">
        <is>
          <t>HALLANDS LÄN</t>
        </is>
      </c>
      <c r="E1696" t="inlineStr">
        <is>
          <t>HALMSTAD</t>
        </is>
      </c>
      <c r="G1696" t="n">
        <v>0.2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12493-2022</t>
        </is>
      </c>
      <c r="B1697" s="1" t="n">
        <v>44638</v>
      </c>
      <c r="C1697" s="1" t="n">
        <v>45627</v>
      </c>
      <c r="D1697" t="inlineStr">
        <is>
          <t>HALLANDS LÄN</t>
        </is>
      </c>
      <c r="E1697" t="inlineStr">
        <is>
          <t>VARBERG</t>
        </is>
      </c>
      <c r="G1697" t="n">
        <v>0.6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12538-2022</t>
        </is>
      </c>
      <c r="B1698" s="1" t="n">
        <v>44638</v>
      </c>
      <c r="C1698" s="1" t="n">
        <v>45627</v>
      </c>
      <c r="D1698" t="inlineStr">
        <is>
          <t>HALLANDS LÄN</t>
        </is>
      </c>
      <c r="E1698" t="inlineStr">
        <is>
          <t>HALMSTAD</t>
        </is>
      </c>
      <c r="G1698" t="n">
        <v>2.9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12541-2022</t>
        </is>
      </c>
      <c r="B1699" s="1" t="n">
        <v>44638</v>
      </c>
      <c r="C1699" s="1" t="n">
        <v>45627</v>
      </c>
      <c r="D1699" t="inlineStr">
        <is>
          <t>HALLANDS LÄN</t>
        </is>
      </c>
      <c r="E1699" t="inlineStr">
        <is>
          <t>FALKENBERG</t>
        </is>
      </c>
      <c r="G1699" t="n">
        <v>5.3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12537-2022</t>
        </is>
      </c>
      <c r="B1700" s="1" t="n">
        <v>44638</v>
      </c>
      <c r="C1700" s="1" t="n">
        <v>45627</v>
      </c>
      <c r="D1700" t="inlineStr">
        <is>
          <t>HALLANDS LÄN</t>
        </is>
      </c>
      <c r="E1700" t="inlineStr">
        <is>
          <t>FALKENBERG</t>
        </is>
      </c>
      <c r="G1700" t="n">
        <v>1.8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12417-2022</t>
        </is>
      </c>
      <c r="B1701" s="1" t="n">
        <v>44638</v>
      </c>
      <c r="C1701" s="1" t="n">
        <v>45627</v>
      </c>
      <c r="D1701" t="inlineStr">
        <is>
          <t>HALLANDS LÄN</t>
        </is>
      </c>
      <c r="E1701" t="inlineStr">
        <is>
          <t>HALMSTAD</t>
        </is>
      </c>
      <c r="G1701" t="n">
        <v>2.7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12550-2022</t>
        </is>
      </c>
      <c r="B1702" s="1" t="n">
        <v>44638</v>
      </c>
      <c r="C1702" s="1" t="n">
        <v>45627</v>
      </c>
      <c r="D1702" t="inlineStr">
        <is>
          <t>HALLANDS LÄN</t>
        </is>
      </c>
      <c r="E1702" t="inlineStr">
        <is>
          <t>HYLTE</t>
        </is>
      </c>
      <c r="G1702" t="n">
        <v>1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12587-2022</t>
        </is>
      </c>
      <c r="B1703" s="1" t="n">
        <v>44639</v>
      </c>
      <c r="C1703" s="1" t="n">
        <v>45627</v>
      </c>
      <c r="D1703" t="inlineStr">
        <is>
          <t>HALLANDS LÄN</t>
        </is>
      </c>
      <c r="E1703" t="inlineStr">
        <is>
          <t>LAHOLM</t>
        </is>
      </c>
      <c r="G1703" t="n">
        <v>1.6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12586-2022</t>
        </is>
      </c>
      <c r="B1704" s="1" t="n">
        <v>44639</v>
      </c>
      <c r="C1704" s="1" t="n">
        <v>45627</v>
      </c>
      <c r="D1704" t="inlineStr">
        <is>
          <t>HALLANDS LÄN</t>
        </is>
      </c>
      <c r="E1704" t="inlineStr">
        <is>
          <t>LAHOLM</t>
        </is>
      </c>
      <c r="G1704" t="n">
        <v>0.5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12706-2022</t>
        </is>
      </c>
      <c r="B1705" s="1" t="n">
        <v>44641</v>
      </c>
      <c r="C1705" s="1" t="n">
        <v>45627</v>
      </c>
      <c r="D1705" t="inlineStr">
        <is>
          <t>HALLANDS LÄN</t>
        </is>
      </c>
      <c r="E1705" t="inlineStr">
        <is>
          <t>HYLTE</t>
        </is>
      </c>
      <c r="G1705" t="n">
        <v>1.7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12721-2022</t>
        </is>
      </c>
      <c r="B1706" s="1" t="n">
        <v>44641</v>
      </c>
      <c r="C1706" s="1" t="n">
        <v>45627</v>
      </c>
      <c r="D1706" t="inlineStr">
        <is>
          <t>HALLANDS LÄN</t>
        </is>
      </c>
      <c r="E1706" t="inlineStr">
        <is>
          <t>LAHOLM</t>
        </is>
      </c>
      <c r="F1706" t="inlineStr">
        <is>
          <t>Sveaskog</t>
        </is>
      </c>
      <c r="G1706" t="n">
        <v>2.4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12748-2022</t>
        </is>
      </c>
      <c r="B1707" s="1" t="n">
        <v>44641</v>
      </c>
      <c r="C1707" s="1" t="n">
        <v>45627</v>
      </c>
      <c r="D1707" t="inlineStr">
        <is>
          <t>HALLANDS LÄN</t>
        </is>
      </c>
      <c r="E1707" t="inlineStr">
        <is>
          <t>VARBERG</t>
        </is>
      </c>
      <c r="G1707" t="n">
        <v>1.3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12722-2022</t>
        </is>
      </c>
      <c r="B1708" s="1" t="n">
        <v>44641</v>
      </c>
      <c r="C1708" s="1" t="n">
        <v>45627</v>
      </c>
      <c r="D1708" t="inlineStr">
        <is>
          <t>HALLANDS LÄN</t>
        </is>
      </c>
      <c r="E1708" t="inlineStr">
        <is>
          <t>LAHOLM</t>
        </is>
      </c>
      <c r="F1708" t="inlineStr">
        <is>
          <t>Sveaskog</t>
        </is>
      </c>
      <c r="G1708" t="n">
        <v>5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12743-2022</t>
        </is>
      </c>
      <c r="B1709" s="1" t="n">
        <v>44641</v>
      </c>
      <c r="C1709" s="1" t="n">
        <v>45627</v>
      </c>
      <c r="D1709" t="inlineStr">
        <is>
          <t>HALLANDS LÄN</t>
        </is>
      </c>
      <c r="E1709" t="inlineStr">
        <is>
          <t>VARBERG</t>
        </is>
      </c>
      <c r="G1709" t="n">
        <v>1.3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12803-2022</t>
        </is>
      </c>
      <c r="B1710" s="1" t="n">
        <v>44642</v>
      </c>
      <c r="C1710" s="1" t="n">
        <v>45627</v>
      </c>
      <c r="D1710" t="inlineStr">
        <is>
          <t>HALLANDS LÄN</t>
        </is>
      </c>
      <c r="E1710" t="inlineStr">
        <is>
          <t>FALKENBERG</t>
        </is>
      </c>
      <c r="G1710" t="n">
        <v>1.7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12890-2022</t>
        </is>
      </c>
      <c r="B1711" s="1" t="n">
        <v>44642</v>
      </c>
      <c r="C1711" s="1" t="n">
        <v>45627</v>
      </c>
      <c r="D1711" t="inlineStr">
        <is>
          <t>HALLANDS LÄN</t>
        </is>
      </c>
      <c r="E1711" t="inlineStr">
        <is>
          <t>HALMSTAD</t>
        </is>
      </c>
      <c r="G1711" t="n">
        <v>3.6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13113-2022</t>
        </is>
      </c>
      <c r="B1712" s="1" t="n">
        <v>44644</v>
      </c>
      <c r="C1712" s="1" t="n">
        <v>45627</v>
      </c>
      <c r="D1712" t="inlineStr">
        <is>
          <t>HALLANDS LÄN</t>
        </is>
      </c>
      <c r="E1712" t="inlineStr">
        <is>
          <t>FALKENBERG</t>
        </is>
      </c>
      <c r="G1712" t="n">
        <v>3.1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13141-2022</t>
        </is>
      </c>
      <c r="B1713" s="1" t="n">
        <v>44644</v>
      </c>
      <c r="C1713" s="1" t="n">
        <v>45627</v>
      </c>
      <c r="D1713" t="inlineStr">
        <is>
          <t>HALLANDS LÄN</t>
        </is>
      </c>
      <c r="E1713" t="inlineStr">
        <is>
          <t>VARBERG</t>
        </is>
      </c>
      <c r="G1713" t="n">
        <v>1.4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13159-2022</t>
        </is>
      </c>
      <c r="B1714" s="1" t="n">
        <v>44644</v>
      </c>
      <c r="C1714" s="1" t="n">
        <v>45627</v>
      </c>
      <c r="D1714" t="inlineStr">
        <is>
          <t>HALLANDS LÄN</t>
        </is>
      </c>
      <c r="E1714" t="inlineStr">
        <is>
          <t>HYLTE</t>
        </is>
      </c>
      <c r="G1714" t="n">
        <v>0.7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13252-2022</t>
        </is>
      </c>
      <c r="B1715" s="1" t="n">
        <v>44644</v>
      </c>
      <c r="C1715" s="1" t="n">
        <v>45627</v>
      </c>
      <c r="D1715" t="inlineStr">
        <is>
          <t>HALLANDS LÄN</t>
        </is>
      </c>
      <c r="E1715" t="inlineStr">
        <is>
          <t>HYLTE</t>
        </is>
      </c>
      <c r="G1715" t="n">
        <v>1.4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13326-2022</t>
        </is>
      </c>
      <c r="B1716" s="1" t="n">
        <v>44645</v>
      </c>
      <c r="C1716" s="1" t="n">
        <v>45627</v>
      </c>
      <c r="D1716" t="inlineStr">
        <is>
          <t>HALLANDS LÄN</t>
        </is>
      </c>
      <c r="E1716" t="inlineStr">
        <is>
          <t>LAHOLM</t>
        </is>
      </c>
      <c r="G1716" t="n">
        <v>1.1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13373-2022</t>
        </is>
      </c>
      <c r="B1717" s="1" t="n">
        <v>44645</v>
      </c>
      <c r="C1717" s="1" t="n">
        <v>45627</v>
      </c>
      <c r="D1717" t="inlineStr">
        <is>
          <t>HALLANDS LÄN</t>
        </is>
      </c>
      <c r="E1717" t="inlineStr">
        <is>
          <t>KUNGSBACKA</t>
        </is>
      </c>
      <c r="G1717" t="n">
        <v>4.7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13434-2022</t>
        </is>
      </c>
      <c r="B1718" s="1" t="n">
        <v>44645</v>
      </c>
      <c r="C1718" s="1" t="n">
        <v>45627</v>
      </c>
      <c r="D1718" t="inlineStr">
        <is>
          <t>HALLANDS LÄN</t>
        </is>
      </c>
      <c r="E1718" t="inlineStr">
        <is>
          <t>KUNGSBACKA</t>
        </is>
      </c>
      <c r="G1718" t="n">
        <v>4.6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13645-2022</t>
        </is>
      </c>
      <c r="B1719" s="1" t="n">
        <v>44648</v>
      </c>
      <c r="C1719" s="1" t="n">
        <v>45627</v>
      </c>
      <c r="D1719" t="inlineStr">
        <is>
          <t>HALLANDS LÄN</t>
        </is>
      </c>
      <c r="E1719" t="inlineStr">
        <is>
          <t>VARBERG</t>
        </is>
      </c>
      <c r="G1719" t="n">
        <v>11.4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13697-2022</t>
        </is>
      </c>
      <c r="B1720" s="1" t="n">
        <v>44648</v>
      </c>
      <c r="C1720" s="1" t="n">
        <v>45627</v>
      </c>
      <c r="D1720" t="inlineStr">
        <is>
          <t>HALLANDS LÄN</t>
        </is>
      </c>
      <c r="E1720" t="inlineStr">
        <is>
          <t>HYLTE</t>
        </is>
      </c>
      <c r="G1720" t="n">
        <v>0.4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13725-2022</t>
        </is>
      </c>
      <c r="B1721" s="1" t="n">
        <v>44649</v>
      </c>
      <c r="C1721" s="1" t="n">
        <v>45627</v>
      </c>
      <c r="D1721" t="inlineStr">
        <is>
          <t>HALLANDS LÄN</t>
        </is>
      </c>
      <c r="E1721" t="inlineStr">
        <is>
          <t>HALMSTAD</t>
        </is>
      </c>
      <c r="G1721" t="n">
        <v>2.2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13739-2022</t>
        </is>
      </c>
      <c r="B1722" s="1" t="n">
        <v>44649</v>
      </c>
      <c r="C1722" s="1" t="n">
        <v>45627</v>
      </c>
      <c r="D1722" t="inlineStr">
        <is>
          <t>HALLANDS LÄN</t>
        </is>
      </c>
      <c r="E1722" t="inlineStr">
        <is>
          <t>KUNGSBACKA</t>
        </is>
      </c>
      <c r="G1722" t="n">
        <v>3.1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13799-2022</t>
        </is>
      </c>
      <c r="B1723" s="1" t="n">
        <v>44649</v>
      </c>
      <c r="C1723" s="1" t="n">
        <v>45627</v>
      </c>
      <c r="D1723" t="inlineStr">
        <is>
          <t>HALLANDS LÄN</t>
        </is>
      </c>
      <c r="E1723" t="inlineStr">
        <is>
          <t>VARBERG</t>
        </is>
      </c>
      <c r="G1723" t="n">
        <v>2.1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13782-2022</t>
        </is>
      </c>
      <c r="B1724" s="1" t="n">
        <v>44649</v>
      </c>
      <c r="C1724" s="1" t="n">
        <v>45627</v>
      </c>
      <c r="D1724" t="inlineStr">
        <is>
          <t>HALLANDS LÄN</t>
        </is>
      </c>
      <c r="E1724" t="inlineStr">
        <is>
          <t>VARBERG</t>
        </is>
      </c>
      <c r="G1724" t="n">
        <v>1.5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13825-2022</t>
        </is>
      </c>
      <c r="B1725" s="1" t="n">
        <v>44649</v>
      </c>
      <c r="C1725" s="1" t="n">
        <v>45627</v>
      </c>
      <c r="D1725" t="inlineStr">
        <is>
          <t>HALLANDS LÄN</t>
        </is>
      </c>
      <c r="E1725" t="inlineStr">
        <is>
          <t>VARBERG</t>
        </is>
      </c>
      <c r="G1725" t="n">
        <v>1.4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13788-2022</t>
        </is>
      </c>
      <c r="B1726" s="1" t="n">
        <v>44649</v>
      </c>
      <c r="C1726" s="1" t="n">
        <v>45627</v>
      </c>
      <c r="D1726" t="inlineStr">
        <is>
          <t>HALLANDS LÄN</t>
        </is>
      </c>
      <c r="E1726" t="inlineStr">
        <is>
          <t>VARBERG</t>
        </is>
      </c>
      <c r="G1726" t="n">
        <v>1.1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13828-2022</t>
        </is>
      </c>
      <c r="B1727" s="1" t="n">
        <v>44649</v>
      </c>
      <c r="C1727" s="1" t="n">
        <v>45627</v>
      </c>
      <c r="D1727" t="inlineStr">
        <is>
          <t>HALLANDS LÄN</t>
        </is>
      </c>
      <c r="E1727" t="inlineStr">
        <is>
          <t>VARBERG</t>
        </is>
      </c>
      <c r="G1727" t="n">
        <v>2.8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14257-2022</t>
        </is>
      </c>
      <c r="B1728" s="1" t="n">
        <v>44651</v>
      </c>
      <c r="C1728" s="1" t="n">
        <v>45627</v>
      </c>
      <c r="D1728" t="inlineStr">
        <is>
          <t>HALLANDS LÄN</t>
        </is>
      </c>
      <c r="E1728" t="inlineStr">
        <is>
          <t>HYLTE</t>
        </is>
      </c>
      <c r="G1728" t="n">
        <v>1.1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14176-2022</t>
        </is>
      </c>
      <c r="B1729" s="1" t="n">
        <v>44651</v>
      </c>
      <c r="C1729" s="1" t="n">
        <v>45627</v>
      </c>
      <c r="D1729" t="inlineStr">
        <is>
          <t>HALLANDS LÄN</t>
        </is>
      </c>
      <c r="E1729" t="inlineStr">
        <is>
          <t>HYLTE</t>
        </is>
      </c>
      <c r="G1729" t="n">
        <v>0.4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14254-2022</t>
        </is>
      </c>
      <c r="B1730" s="1" t="n">
        <v>44651</v>
      </c>
      <c r="C1730" s="1" t="n">
        <v>45627</v>
      </c>
      <c r="D1730" t="inlineStr">
        <is>
          <t>HALLANDS LÄN</t>
        </is>
      </c>
      <c r="E1730" t="inlineStr">
        <is>
          <t>HYLTE</t>
        </is>
      </c>
      <c r="G1730" t="n">
        <v>2.2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14256-2022</t>
        </is>
      </c>
      <c r="B1731" s="1" t="n">
        <v>44651</v>
      </c>
      <c r="C1731" s="1" t="n">
        <v>45627</v>
      </c>
      <c r="D1731" t="inlineStr">
        <is>
          <t>HALLANDS LÄN</t>
        </is>
      </c>
      <c r="E1731" t="inlineStr">
        <is>
          <t>HYLTE</t>
        </is>
      </c>
      <c r="G1731" t="n">
        <v>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14312-2022</t>
        </is>
      </c>
      <c r="B1732" s="1" t="n">
        <v>44652</v>
      </c>
      <c r="C1732" s="1" t="n">
        <v>45627</v>
      </c>
      <c r="D1732" t="inlineStr">
        <is>
          <t>HALLANDS LÄN</t>
        </is>
      </c>
      <c r="E1732" t="inlineStr">
        <is>
          <t>VARBERG</t>
        </is>
      </c>
      <c r="G1732" t="n">
        <v>2.2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14331-2022</t>
        </is>
      </c>
      <c r="B1733" s="1" t="n">
        <v>44652</v>
      </c>
      <c r="C1733" s="1" t="n">
        <v>45627</v>
      </c>
      <c r="D1733" t="inlineStr">
        <is>
          <t>HALLANDS LÄN</t>
        </is>
      </c>
      <c r="E1733" t="inlineStr">
        <is>
          <t>FALKENBERG</t>
        </is>
      </c>
      <c r="G1733" t="n">
        <v>1.5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14712-2022</t>
        </is>
      </c>
      <c r="B1734" s="1" t="n">
        <v>44655</v>
      </c>
      <c r="C1734" s="1" t="n">
        <v>45627</v>
      </c>
      <c r="D1734" t="inlineStr">
        <is>
          <t>HALLANDS LÄN</t>
        </is>
      </c>
      <c r="E1734" t="inlineStr">
        <is>
          <t>HYLTE</t>
        </is>
      </c>
      <c r="G1734" t="n">
        <v>0.9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14753-2022</t>
        </is>
      </c>
      <c r="B1735" s="1" t="n">
        <v>44656</v>
      </c>
      <c r="C1735" s="1" t="n">
        <v>45627</v>
      </c>
      <c r="D1735" t="inlineStr">
        <is>
          <t>HALLANDS LÄN</t>
        </is>
      </c>
      <c r="E1735" t="inlineStr">
        <is>
          <t>FALKENBERG</t>
        </is>
      </c>
      <c r="G1735" t="n">
        <v>0.9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14707-2022</t>
        </is>
      </c>
      <c r="B1736" s="1" t="n">
        <v>44656</v>
      </c>
      <c r="C1736" s="1" t="n">
        <v>45627</v>
      </c>
      <c r="D1736" t="inlineStr">
        <is>
          <t>HALLANDS LÄN</t>
        </is>
      </c>
      <c r="E1736" t="inlineStr">
        <is>
          <t>HALMSTAD</t>
        </is>
      </c>
      <c r="G1736" t="n">
        <v>1.1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14779-2022</t>
        </is>
      </c>
      <c r="B1737" s="1" t="n">
        <v>44656</v>
      </c>
      <c r="C1737" s="1" t="n">
        <v>45627</v>
      </c>
      <c r="D1737" t="inlineStr">
        <is>
          <t>HALLANDS LÄN</t>
        </is>
      </c>
      <c r="E1737" t="inlineStr">
        <is>
          <t>HALMSTAD</t>
        </is>
      </c>
      <c r="G1737" t="n">
        <v>5.3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14956-2022</t>
        </is>
      </c>
      <c r="B1738" s="1" t="n">
        <v>44657</v>
      </c>
      <c r="C1738" s="1" t="n">
        <v>45627</v>
      </c>
      <c r="D1738" t="inlineStr">
        <is>
          <t>HALLANDS LÄN</t>
        </is>
      </c>
      <c r="E1738" t="inlineStr">
        <is>
          <t>VARBERG</t>
        </is>
      </c>
      <c r="G1738" t="n">
        <v>3.1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14991-2022</t>
        </is>
      </c>
      <c r="B1739" s="1" t="n">
        <v>44657</v>
      </c>
      <c r="C1739" s="1" t="n">
        <v>45627</v>
      </c>
      <c r="D1739" t="inlineStr">
        <is>
          <t>HALLANDS LÄN</t>
        </is>
      </c>
      <c r="E1739" t="inlineStr">
        <is>
          <t>VARBERG</t>
        </is>
      </c>
      <c r="G1739" t="n">
        <v>1.8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15067-2022</t>
        </is>
      </c>
      <c r="B1740" s="1" t="n">
        <v>44657</v>
      </c>
      <c r="C1740" s="1" t="n">
        <v>45627</v>
      </c>
      <c r="D1740" t="inlineStr">
        <is>
          <t>HALLANDS LÄN</t>
        </is>
      </c>
      <c r="E1740" t="inlineStr">
        <is>
          <t>VARBERG</t>
        </is>
      </c>
      <c r="G1740" t="n">
        <v>0.8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15066-2022</t>
        </is>
      </c>
      <c r="B1741" s="1" t="n">
        <v>44657</v>
      </c>
      <c r="C1741" s="1" t="n">
        <v>45627</v>
      </c>
      <c r="D1741" t="inlineStr">
        <is>
          <t>HALLANDS LÄN</t>
        </is>
      </c>
      <c r="E1741" t="inlineStr">
        <is>
          <t>VARBERG</t>
        </is>
      </c>
      <c r="G1741" t="n">
        <v>4.8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15317-2022</t>
        </is>
      </c>
      <c r="B1742" s="1" t="n">
        <v>44659</v>
      </c>
      <c r="C1742" s="1" t="n">
        <v>45627</v>
      </c>
      <c r="D1742" t="inlineStr">
        <is>
          <t>HALLANDS LÄN</t>
        </is>
      </c>
      <c r="E1742" t="inlineStr">
        <is>
          <t>HYLTE</t>
        </is>
      </c>
      <c r="F1742" t="inlineStr">
        <is>
          <t>Bergvik skog väst AB</t>
        </is>
      </c>
      <c r="G1742" t="n">
        <v>2.6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15328-2022</t>
        </is>
      </c>
      <c r="B1743" s="1" t="n">
        <v>44659</v>
      </c>
      <c r="C1743" s="1" t="n">
        <v>45627</v>
      </c>
      <c r="D1743" t="inlineStr">
        <is>
          <t>HALLANDS LÄN</t>
        </is>
      </c>
      <c r="E1743" t="inlineStr">
        <is>
          <t>HYLTE</t>
        </is>
      </c>
      <c r="F1743" t="inlineStr">
        <is>
          <t>Bergvik skog väst AB</t>
        </is>
      </c>
      <c r="G1743" t="n">
        <v>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15336-2022</t>
        </is>
      </c>
      <c r="B1744" s="1" t="n">
        <v>44659</v>
      </c>
      <c r="C1744" s="1" t="n">
        <v>45627</v>
      </c>
      <c r="D1744" t="inlineStr">
        <is>
          <t>HALLANDS LÄN</t>
        </is>
      </c>
      <c r="E1744" t="inlineStr">
        <is>
          <t>HYLTE</t>
        </is>
      </c>
      <c r="G1744" t="n">
        <v>0.7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15315-2022</t>
        </is>
      </c>
      <c r="B1745" s="1" t="n">
        <v>44659</v>
      </c>
      <c r="C1745" s="1" t="n">
        <v>45627</v>
      </c>
      <c r="D1745" t="inlineStr">
        <is>
          <t>HALLANDS LÄN</t>
        </is>
      </c>
      <c r="E1745" t="inlineStr">
        <is>
          <t>VARBERG</t>
        </is>
      </c>
      <c r="G1745" t="n">
        <v>4.2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15329-2022</t>
        </is>
      </c>
      <c r="B1746" s="1" t="n">
        <v>44659</v>
      </c>
      <c r="C1746" s="1" t="n">
        <v>45627</v>
      </c>
      <c r="D1746" t="inlineStr">
        <is>
          <t>HALLANDS LÄN</t>
        </is>
      </c>
      <c r="E1746" t="inlineStr">
        <is>
          <t>HYLTE</t>
        </is>
      </c>
      <c r="F1746" t="inlineStr">
        <is>
          <t>Bergvik skog väst AB</t>
        </is>
      </c>
      <c r="G1746" t="n">
        <v>2.2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15322-2022</t>
        </is>
      </c>
      <c r="B1747" s="1" t="n">
        <v>44659</v>
      </c>
      <c r="C1747" s="1" t="n">
        <v>45627</v>
      </c>
      <c r="D1747" t="inlineStr">
        <is>
          <t>HALLANDS LÄN</t>
        </is>
      </c>
      <c r="E1747" t="inlineStr">
        <is>
          <t>HYLTE</t>
        </is>
      </c>
      <c r="F1747" t="inlineStr">
        <is>
          <t>Bergvik skog väst AB</t>
        </is>
      </c>
      <c r="G1747" t="n">
        <v>0.4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15426-2022</t>
        </is>
      </c>
      <c r="B1748" s="1" t="n">
        <v>44659</v>
      </c>
      <c r="C1748" s="1" t="n">
        <v>45627</v>
      </c>
      <c r="D1748" t="inlineStr">
        <is>
          <t>HALLANDS LÄN</t>
        </is>
      </c>
      <c r="E1748" t="inlineStr">
        <is>
          <t>VARBERG</t>
        </is>
      </c>
      <c r="G1748" t="n">
        <v>3.6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15346-2022</t>
        </is>
      </c>
      <c r="B1749" s="1" t="n">
        <v>44659</v>
      </c>
      <c r="C1749" s="1" t="n">
        <v>45627</v>
      </c>
      <c r="D1749" t="inlineStr">
        <is>
          <t>HALLANDS LÄN</t>
        </is>
      </c>
      <c r="E1749" t="inlineStr">
        <is>
          <t>HYLTE</t>
        </is>
      </c>
      <c r="G1749" t="n">
        <v>0.8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15474-2022</t>
        </is>
      </c>
      <c r="B1750" s="1" t="n">
        <v>44662</v>
      </c>
      <c r="C1750" s="1" t="n">
        <v>45627</v>
      </c>
      <c r="D1750" t="inlineStr">
        <is>
          <t>HALLANDS LÄN</t>
        </is>
      </c>
      <c r="E1750" t="inlineStr">
        <is>
          <t>VARBERG</t>
        </is>
      </c>
      <c r="G1750" t="n">
        <v>1.6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15545-2022</t>
        </is>
      </c>
      <c r="B1751" s="1" t="n">
        <v>44662</v>
      </c>
      <c r="C1751" s="1" t="n">
        <v>45627</v>
      </c>
      <c r="D1751" t="inlineStr">
        <is>
          <t>HALLANDS LÄN</t>
        </is>
      </c>
      <c r="E1751" t="inlineStr">
        <is>
          <t>HALMSTAD</t>
        </is>
      </c>
      <c r="G1751" t="n">
        <v>1.1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15707-2022</t>
        </is>
      </c>
      <c r="B1752" s="1" t="n">
        <v>44663</v>
      </c>
      <c r="C1752" s="1" t="n">
        <v>45627</v>
      </c>
      <c r="D1752" t="inlineStr">
        <is>
          <t>HALLANDS LÄN</t>
        </is>
      </c>
      <c r="E1752" t="inlineStr">
        <is>
          <t>LAHOLM</t>
        </is>
      </c>
      <c r="G1752" t="n">
        <v>9.6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15858-2022</t>
        </is>
      </c>
      <c r="B1753" s="1" t="n">
        <v>44664</v>
      </c>
      <c r="C1753" s="1" t="n">
        <v>45627</v>
      </c>
      <c r="D1753" t="inlineStr">
        <is>
          <t>HALLANDS LÄN</t>
        </is>
      </c>
      <c r="E1753" t="inlineStr">
        <is>
          <t>FALKENBERG</t>
        </is>
      </c>
      <c r="G1753" t="n">
        <v>1.2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15859-2022</t>
        </is>
      </c>
      <c r="B1754" s="1" t="n">
        <v>44664</v>
      </c>
      <c r="C1754" s="1" t="n">
        <v>45627</v>
      </c>
      <c r="D1754" t="inlineStr">
        <is>
          <t>HALLANDS LÄN</t>
        </is>
      </c>
      <c r="E1754" t="inlineStr">
        <is>
          <t>FALKENBERG</t>
        </is>
      </c>
      <c r="G1754" t="n">
        <v>0.7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16412-2022</t>
        </is>
      </c>
      <c r="B1755" s="1" t="n">
        <v>44671</v>
      </c>
      <c r="C1755" s="1" t="n">
        <v>45627</v>
      </c>
      <c r="D1755" t="inlineStr">
        <is>
          <t>HALLANDS LÄN</t>
        </is>
      </c>
      <c r="E1755" t="inlineStr">
        <is>
          <t>HYLTE</t>
        </is>
      </c>
      <c r="G1755" t="n">
        <v>6.3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16410-2022</t>
        </is>
      </c>
      <c r="B1756" s="1" t="n">
        <v>44671</v>
      </c>
      <c r="C1756" s="1" t="n">
        <v>45627</v>
      </c>
      <c r="D1756" t="inlineStr">
        <is>
          <t>HALLANDS LÄN</t>
        </is>
      </c>
      <c r="E1756" t="inlineStr">
        <is>
          <t>HYLTE</t>
        </is>
      </c>
      <c r="G1756" t="n">
        <v>3.1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17156-2022</t>
        </is>
      </c>
      <c r="B1757" s="1" t="n">
        <v>44677</v>
      </c>
      <c r="C1757" s="1" t="n">
        <v>45627</v>
      </c>
      <c r="D1757" t="inlineStr">
        <is>
          <t>HALLANDS LÄN</t>
        </is>
      </c>
      <c r="E1757" t="inlineStr">
        <is>
          <t>HALMSTAD</t>
        </is>
      </c>
      <c r="G1757" t="n">
        <v>1.2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17067-2022</t>
        </is>
      </c>
      <c r="B1758" s="1" t="n">
        <v>44677</v>
      </c>
      <c r="C1758" s="1" t="n">
        <v>45627</v>
      </c>
      <c r="D1758" t="inlineStr">
        <is>
          <t>HALLANDS LÄN</t>
        </is>
      </c>
      <c r="E1758" t="inlineStr">
        <is>
          <t>HALMSTAD</t>
        </is>
      </c>
      <c r="G1758" t="n">
        <v>1.6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17097-2022</t>
        </is>
      </c>
      <c r="B1759" s="1" t="n">
        <v>44677</v>
      </c>
      <c r="C1759" s="1" t="n">
        <v>45627</v>
      </c>
      <c r="D1759" t="inlineStr">
        <is>
          <t>HALLANDS LÄN</t>
        </is>
      </c>
      <c r="E1759" t="inlineStr">
        <is>
          <t>LAHOLM</t>
        </is>
      </c>
      <c r="G1759" t="n">
        <v>1.4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17069-2022</t>
        </is>
      </c>
      <c r="B1760" s="1" t="n">
        <v>44677</v>
      </c>
      <c r="C1760" s="1" t="n">
        <v>45627</v>
      </c>
      <c r="D1760" t="inlineStr">
        <is>
          <t>HALLANDS LÄN</t>
        </is>
      </c>
      <c r="E1760" t="inlineStr">
        <is>
          <t>HALMSTAD</t>
        </is>
      </c>
      <c r="G1760" t="n">
        <v>0.3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17366-2022</t>
        </is>
      </c>
      <c r="B1761" s="1" t="n">
        <v>44678</v>
      </c>
      <c r="C1761" s="1" t="n">
        <v>45627</v>
      </c>
      <c r="D1761" t="inlineStr">
        <is>
          <t>HALLANDS LÄN</t>
        </is>
      </c>
      <c r="E1761" t="inlineStr">
        <is>
          <t>VARBERG</t>
        </is>
      </c>
      <c r="G1761" t="n">
        <v>1.4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17368-2022</t>
        </is>
      </c>
      <c r="B1762" s="1" t="n">
        <v>44678</v>
      </c>
      <c r="C1762" s="1" t="n">
        <v>45627</v>
      </c>
      <c r="D1762" t="inlineStr">
        <is>
          <t>HALLANDS LÄN</t>
        </is>
      </c>
      <c r="E1762" t="inlineStr">
        <is>
          <t>VARBERG</t>
        </is>
      </c>
      <c r="G1762" t="n">
        <v>1.1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17395-2022</t>
        </is>
      </c>
      <c r="B1763" s="1" t="n">
        <v>44678</v>
      </c>
      <c r="C1763" s="1" t="n">
        <v>45627</v>
      </c>
      <c r="D1763" t="inlineStr">
        <is>
          <t>HALLANDS LÄN</t>
        </is>
      </c>
      <c r="E1763" t="inlineStr">
        <is>
          <t>LAHOLM</t>
        </is>
      </c>
      <c r="G1763" t="n">
        <v>1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17703-2022</t>
        </is>
      </c>
      <c r="B1764" s="1" t="n">
        <v>44680</v>
      </c>
      <c r="C1764" s="1" t="n">
        <v>45627</v>
      </c>
      <c r="D1764" t="inlineStr">
        <is>
          <t>HALLANDS LÄN</t>
        </is>
      </c>
      <c r="E1764" t="inlineStr">
        <is>
          <t>FALKENBERG</t>
        </is>
      </c>
      <c r="G1764" t="n">
        <v>2.5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17702-2022</t>
        </is>
      </c>
      <c r="B1765" s="1" t="n">
        <v>44680</v>
      </c>
      <c r="C1765" s="1" t="n">
        <v>45627</v>
      </c>
      <c r="D1765" t="inlineStr">
        <is>
          <t>HALLANDS LÄN</t>
        </is>
      </c>
      <c r="E1765" t="inlineStr">
        <is>
          <t>FALKENBERG</t>
        </is>
      </c>
      <c r="G1765" t="n">
        <v>2.8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17699-2022</t>
        </is>
      </c>
      <c r="B1766" s="1" t="n">
        <v>44680</v>
      </c>
      <c r="C1766" s="1" t="n">
        <v>45627</v>
      </c>
      <c r="D1766" t="inlineStr">
        <is>
          <t>HALLANDS LÄN</t>
        </is>
      </c>
      <c r="E1766" t="inlineStr">
        <is>
          <t>FALKENBERG</t>
        </is>
      </c>
      <c r="G1766" t="n">
        <v>1.7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17769-2022</t>
        </is>
      </c>
      <c r="B1767" s="1" t="n">
        <v>44681</v>
      </c>
      <c r="C1767" s="1" t="n">
        <v>45627</v>
      </c>
      <c r="D1767" t="inlineStr">
        <is>
          <t>HALLANDS LÄN</t>
        </is>
      </c>
      <c r="E1767" t="inlineStr">
        <is>
          <t>KUNGSBACKA</t>
        </is>
      </c>
      <c r="G1767" t="n">
        <v>8.5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18078-2022</t>
        </is>
      </c>
      <c r="B1768" s="1" t="n">
        <v>44684</v>
      </c>
      <c r="C1768" s="1" t="n">
        <v>45627</v>
      </c>
      <c r="D1768" t="inlineStr">
        <is>
          <t>HALLANDS LÄN</t>
        </is>
      </c>
      <c r="E1768" t="inlineStr">
        <is>
          <t>VARBERG</t>
        </is>
      </c>
      <c r="G1768" t="n">
        <v>2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18076-2022</t>
        </is>
      </c>
      <c r="B1769" s="1" t="n">
        <v>44684</v>
      </c>
      <c r="C1769" s="1" t="n">
        <v>45627</v>
      </c>
      <c r="D1769" t="inlineStr">
        <is>
          <t>HALLANDS LÄN</t>
        </is>
      </c>
      <c r="E1769" t="inlineStr">
        <is>
          <t>VARBERG</t>
        </is>
      </c>
      <c r="G1769" t="n">
        <v>9.6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18080-2022</t>
        </is>
      </c>
      <c r="B1770" s="1" t="n">
        <v>44684</v>
      </c>
      <c r="C1770" s="1" t="n">
        <v>45627</v>
      </c>
      <c r="D1770" t="inlineStr">
        <is>
          <t>HALLANDS LÄN</t>
        </is>
      </c>
      <c r="E1770" t="inlineStr">
        <is>
          <t>VARBERG</t>
        </is>
      </c>
      <c r="G1770" t="n">
        <v>1.5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18057-2022</t>
        </is>
      </c>
      <c r="B1771" s="1" t="n">
        <v>44684</v>
      </c>
      <c r="C1771" s="1" t="n">
        <v>45627</v>
      </c>
      <c r="D1771" t="inlineStr">
        <is>
          <t>HALLANDS LÄN</t>
        </is>
      </c>
      <c r="E1771" t="inlineStr">
        <is>
          <t>KUNGSBACKA</t>
        </is>
      </c>
      <c r="G1771" t="n">
        <v>4.2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18214-2022</t>
        </is>
      </c>
      <c r="B1772" s="1" t="n">
        <v>44685</v>
      </c>
      <c r="C1772" s="1" t="n">
        <v>45627</v>
      </c>
      <c r="D1772" t="inlineStr">
        <is>
          <t>HALLANDS LÄN</t>
        </is>
      </c>
      <c r="E1772" t="inlineStr">
        <is>
          <t>FALKENBERG</t>
        </is>
      </c>
      <c r="G1772" t="n">
        <v>0.5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18598-2022</t>
        </is>
      </c>
      <c r="B1773" s="1" t="n">
        <v>44687</v>
      </c>
      <c r="C1773" s="1" t="n">
        <v>45627</v>
      </c>
      <c r="D1773" t="inlineStr">
        <is>
          <t>HALLANDS LÄN</t>
        </is>
      </c>
      <c r="E1773" t="inlineStr">
        <is>
          <t>HALMSTAD</t>
        </is>
      </c>
      <c r="G1773" t="n">
        <v>2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18710-2022</t>
        </is>
      </c>
      <c r="B1774" s="1" t="n">
        <v>44687</v>
      </c>
      <c r="C1774" s="1" t="n">
        <v>45627</v>
      </c>
      <c r="D1774" t="inlineStr">
        <is>
          <t>HALLANDS LÄN</t>
        </is>
      </c>
      <c r="E1774" t="inlineStr">
        <is>
          <t>FALKENBERG</t>
        </is>
      </c>
      <c r="G1774" t="n">
        <v>5.5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18707-2022</t>
        </is>
      </c>
      <c r="B1775" s="1" t="n">
        <v>44687</v>
      </c>
      <c r="C1775" s="1" t="n">
        <v>45627</v>
      </c>
      <c r="D1775" t="inlineStr">
        <is>
          <t>HALLANDS LÄN</t>
        </is>
      </c>
      <c r="E1775" t="inlineStr">
        <is>
          <t>FALKENBERG</t>
        </is>
      </c>
      <c r="G1775" t="n">
        <v>2.2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18773-2022</t>
        </is>
      </c>
      <c r="B1776" s="1" t="n">
        <v>44689</v>
      </c>
      <c r="C1776" s="1" t="n">
        <v>45627</v>
      </c>
      <c r="D1776" t="inlineStr">
        <is>
          <t>HALLANDS LÄN</t>
        </is>
      </c>
      <c r="E1776" t="inlineStr">
        <is>
          <t>FALKENBERG</t>
        </is>
      </c>
      <c r="G1776" t="n">
        <v>0.4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18774-2022</t>
        </is>
      </c>
      <c r="B1777" s="1" t="n">
        <v>44689</v>
      </c>
      <c r="C1777" s="1" t="n">
        <v>45627</v>
      </c>
      <c r="D1777" t="inlineStr">
        <is>
          <t>HALLANDS LÄN</t>
        </is>
      </c>
      <c r="E1777" t="inlineStr">
        <is>
          <t>FALKENBERG</t>
        </is>
      </c>
      <c r="G1777" t="n">
        <v>0.2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19066-2022</t>
        </is>
      </c>
      <c r="B1778" s="1" t="n">
        <v>44691</v>
      </c>
      <c r="C1778" s="1" t="n">
        <v>45627</v>
      </c>
      <c r="D1778" t="inlineStr">
        <is>
          <t>HALLANDS LÄN</t>
        </is>
      </c>
      <c r="E1778" t="inlineStr">
        <is>
          <t>FALKENBERG</t>
        </is>
      </c>
      <c r="G1778" t="n">
        <v>4.3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19087-2022</t>
        </is>
      </c>
      <c r="B1779" s="1" t="n">
        <v>44691</v>
      </c>
      <c r="C1779" s="1" t="n">
        <v>45627</v>
      </c>
      <c r="D1779" t="inlineStr">
        <is>
          <t>HALLANDS LÄN</t>
        </is>
      </c>
      <c r="E1779" t="inlineStr">
        <is>
          <t>HALMSTAD</t>
        </is>
      </c>
      <c r="G1779" t="n">
        <v>1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19186-2022</t>
        </is>
      </c>
      <c r="B1780" s="1" t="n">
        <v>44691</v>
      </c>
      <c r="C1780" s="1" t="n">
        <v>45627</v>
      </c>
      <c r="D1780" t="inlineStr">
        <is>
          <t>HALLANDS LÄN</t>
        </is>
      </c>
      <c r="E1780" t="inlineStr">
        <is>
          <t>VARBERG</t>
        </is>
      </c>
      <c r="G1780" t="n">
        <v>5.1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19239-2022</t>
        </is>
      </c>
      <c r="B1781" s="1" t="n">
        <v>44692</v>
      </c>
      <c r="C1781" s="1" t="n">
        <v>45627</v>
      </c>
      <c r="D1781" t="inlineStr">
        <is>
          <t>HALLANDS LÄN</t>
        </is>
      </c>
      <c r="E1781" t="inlineStr">
        <is>
          <t>HYLTE</t>
        </is>
      </c>
      <c r="G1781" t="n">
        <v>4.9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19312-2022</t>
        </is>
      </c>
      <c r="B1782" s="1" t="n">
        <v>44692</v>
      </c>
      <c r="C1782" s="1" t="n">
        <v>45627</v>
      </c>
      <c r="D1782" t="inlineStr">
        <is>
          <t>HALLANDS LÄN</t>
        </is>
      </c>
      <c r="E1782" t="inlineStr">
        <is>
          <t>FALKENBERG</t>
        </is>
      </c>
      <c r="G1782" t="n">
        <v>0.8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19347-2022</t>
        </is>
      </c>
      <c r="B1783" s="1" t="n">
        <v>44692</v>
      </c>
      <c r="C1783" s="1" t="n">
        <v>45627</v>
      </c>
      <c r="D1783" t="inlineStr">
        <is>
          <t>HALLANDS LÄN</t>
        </is>
      </c>
      <c r="E1783" t="inlineStr">
        <is>
          <t>FALKENBERG</t>
        </is>
      </c>
      <c r="G1783" t="n">
        <v>2.7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19354-2022</t>
        </is>
      </c>
      <c r="B1784" s="1" t="n">
        <v>44692</v>
      </c>
      <c r="C1784" s="1" t="n">
        <v>45627</v>
      </c>
      <c r="D1784" t="inlineStr">
        <is>
          <t>HALLANDS LÄN</t>
        </is>
      </c>
      <c r="E1784" t="inlineStr">
        <is>
          <t>FALKENBERG</t>
        </is>
      </c>
      <c r="G1784" t="n">
        <v>1.9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19271-2022</t>
        </is>
      </c>
      <c r="B1785" s="1" t="n">
        <v>44692</v>
      </c>
      <c r="C1785" s="1" t="n">
        <v>45627</v>
      </c>
      <c r="D1785" t="inlineStr">
        <is>
          <t>HALLANDS LÄN</t>
        </is>
      </c>
      <c r="E1785" t="inlineStr">
        <is>
          <t>FALKENBERG</t>
        </is>
      </c>
      <c r="G1785" t="n">
        <v>3.6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19272-2022</t>
        </is>
      </c>
      <c r="B1786" s="1" t="n">
        <v>44692</v>
      </c>
      <c r="C1786" s="1" t="n">
        <v>45627</v>
      </c>
      <c r="D1786" t="inlineStr">
        <is>
          <t>HALLANDS LÄN</t>
        </is>
      </c>
      <c r="E1786" t="inlineStr">
        <is>
          <t>FALKENBERG</t>
        </is>
      </c>
      <c r="G1786" t="n">
        <v>3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19419-2022</t>
        </is>
      </c>
      <c r="B1787" s="1" t="n">
        <v>44693</v>
      </c>
      <c r="C1787" s="1" t="n">
        <v>45627</v>
      </c>
      <c r="D1787" t="inlineStr">
        <is>
          <t>HALLANDS LÄN</t>
        </is>
      </c>
      <c r="E1787" t="inlineStr">
        <is>
          <t>FALKENBERG</t>
        </is>
      </c>
      <c r="G1787" t="n">
        <v>1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19502-2022</t>
        </is>
      </c>
      <c r="B1788" s="1" t="n">
        <v>44693</v>
      </c>
      <c r="C1788" s="1" t="n">
        <v>45627</v>
      </c>
      <c r="D1788" t="inlineStr">
        <is>
          <t>HALLANDS LÄN</t>
        </is>
      </c>
      <c r="E1788" t="inlineStr">
        <is>
          <t>KUNGSBACKA</t>
        </is>
      </c>
      <c r="G1788" t="n">
        <v>1.6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19474-2022</t>
        </is>
      </c>
      <c r="B1789" s="1" t="n">
        <v>44693</v>
      </c>
      <c r="C1789" s="1" t="n">
        <v>45627</v>
      </c>
      <c r="D1789" t="inlineStr">
        <is>
          <t>HALLANDS LÄN</t>
        </is>
      </c>
      <c r="E1789" t="inlineStr">
        <is>
          <t>HYLTE</t>
        </is>
      </c>
      <c r="G1789" t="n">
        <v>5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19534-2022</t>
        </is>
      </c>
      <c r="B1790" s="1" t="n">
        <v>44693</v>
      </c>
      <c r="C1790" s="1" t="n">
        <v>45627</v>
      </c>
      <c r="D1790" t="inlineStr">
        <is>
          <t>HALLANDS LÄN</t>
        </is>
      </c>
      <c r="E1790" t="inlineStr">
        <is>
          <t>FALKENBERG</t>
        </is>
      </c>
      <c r="G1790" t="n">
        <v>1.4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19659-2022</t>
        </is>
      </c>
      <c r="B1791" s="1" t="n">
        <v>44694</v>
      </c>
      <c r="C1791" s="1" t="n">
        <v>45627</v>
      </c>
      <c r="D1791" t="inlineStr">
        <is>
          <t>HALLANDS LÄN</t>
        </is>
      </c>
      <c r="E1791" t="inlineStr">
        <is>
          <t>HYLTE</t>
        </is>
      </c>
      <c r="G1791" t="n">
        <v>4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19666-2022</t>
        </is>
      </c>
      <c r="B1792" s="1" t="n">
        <v>44694</v>
      </c>
      <c r="C1792" s="1" t="n">
        <v>45627</v>
      </c>
      <c r="D1792" t="inlineStr">
        <is>
          <t>HALLANDS LÄN</t>
        </is>
      </c>
      <c r="E1792" t="inlineStr">
        <is>
          <t>HYLTE</t>
        </is>
      </c>
      <c r="G1792" t="n">
        <v>1.3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19749-2022</t>
        </is>
      </c>
      <c r="B1793" s="1" t="n">
        <v>44694</v>
      </c>
      <c r="C1793" s="1" t="n">
        <v>45627</v>
      </c>
      <c r="D1793" t="inlineStr">
        <is>
          <t>HALLANDS LÄN</t>
        </is>
      </c>
      <c r="E1793" t="inlineStr">
        <is>
          <t>FALKENBERG</t>
        </is>
      </c>
      <c r="G1793" t="n">
        <v>2.4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19956-2022</t>
        </is>
      </c>
      <c r="B1794" s="1" t="n">
        <v>44697</v>
      </c>
      <c r="C1794" s="1" t="n">
        <v>45627</v>
      </c>
      <c r="D1794" t="inlineStr">
        <is>
          <t>HALLANDS LÄN</t>
        </is>
      </c>
      <c r="E1794" t="inlineStr">
        <is>
          <t>HYLTE</t>
        </is>
      </c>
      <c r="G1794" t="n">
        <v>1.8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20201-2022</t>
        </is>
      </c>
      <c r="B1795" s="1" t="n">
        <v>44698</v>
      </c>
      <c r="C1795" s="1" t="n">
        <v>45627</v>
      </c>
      <c r="D1795" t="inlineStr">
        <is>
          <t>HALLANDS LÄN</t>
        </is>
      </c>
      <c r="E1795" t="inlineStr">
        <is>
          <t>LAHOLM</t>
        </is>
      </c>
      <c r="F1795" t="inlineStr">
        <is>
          <t>Kyrkan</t>
        </is>
      </c>
      <c r="G1795" t="n">
        <v>3.4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20204-2022</t>
        </is>
      </c>
      <c r="B1796" s="1" t="n">
        <v>44698</v>
      </c>
      <c r="C1796" s="1" t="n">
        <v>45627</v>
      </c>
      <c r="D1796" t="inlineStr">
        <is>
          <t>HALLANDS LÄN</t>
        </is>
      </c>
      <c r="E1796" t="inlineStr">
        <is>
          <t>LAHOLM</t>
        </is>
      </c>
      <c r="F1796" t="inlineStr">
        <is>
          <t>Kyrkan</t>
        </is>
      </c>
      <c r="G1796" t="n">
        <v>1.3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20419-2022</t>
        </is>
      </c>
      <c r="B1797" s="1" t="n">
        <v>44699</v>
      </c>
      <c r="C1797" s="1" t="n">
        <v>45627</v>
      </c>
      <c r="D1797" t="inlineStr">
        <is>
          <t>HALLANDS LÄN</t>
        </is>
      </c>
      <c r="E1797" t="inlineStr">
        <is>
          <t>HALMSTAD</t>
        </is>
      </c>
      <c r="F1797" t="inlineStr">
        <is>
          <t>Kommuner</t>
        </is>
      </c>
      <c r="G1797" t="n">
        <v>6.5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20495-2022</t>
        </is>
      </c>
      <c r="B1798" s="1" t="n">
        <v>44699</v>
      </c>
      <c r="C1798" s="1" t="n">
        <v>45627</v>
      </c>
      <c r="D1798" t="inlineStr">
        <is>
          <t>HALLANDS LÄN</t>
        </is>
      </c>
      <c r="E1798" t="inlineStr">
        <is>
          <t>VARBERG</t>
        </is>
      </c>
      <c r="G1798" t="n">
        <v>0.6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20473-2022</t>
        </is>
      </c>
      <c r="B1799" s="1" t="n">
        <v>44699</v>
      </c>
      <c r="C1799" s="1" t="n">
        <v>45627</v>
      </c>
      <c r="D1799" t="inlineStr">
        <is>
          <t>HALLANDS LÄN</t>
        </is>
      </c>
      <c r="E1799" t="inlineStr">
        <is>
          <t>HYLTE</t>
        </is>
      </c>
      <c r="G1799" t="n">
        <v>1.4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20414-2022</t>
        </is>
      </c>
      <c r="B1800" s="1" t="n">
        <v>44699</v>
      </c>
      <c r="C1800" s="1" t="n">
        <v>45627</v>
      </c>
      <c r="D1800" t="inlineStr">
        <is>
          <t>HALLANDS LÄN</t>
        </is>
      </c>
      <c r="E1800" t="inlineStr">
        <is>
          <t>HALMSTAD</t>
        </is>
      </c>
      <c r="F1800" t="inlineStr">
        <is>
          <t>Kommuner</t>
        </is>
      </c>
      <c r="G1800" t="n">
        <v>2.9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20776-2022</t>
        </is>
      </c>
      <c r="B1801" s="1" t="n">
        <v>44701</v>
      </c>
      <c r="C1801" s="1" t="n">
        <v>45627</v>
      </c>
      <c r="D1801" t="inlineStr">
        <is>
          <t>HALLANDS LÄN</t>
        </is>
      </c>
      <c r="E1801" t="inlineStr">
        <is>
          <t>HYLTE</t>
        </is>
      </c>
      <c r="F1801" t="inlineStr">
        <is>
          <t>Bergvik skog väst AB</t>
        </is>
      </c>
      <c r="G1801" t="n">
        <v>3.5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20796-2022</t>
        </is>
      </c>
      <c r="B1802" s="1" t="n">
        <v>44701</v>
      </c>
      <c r="C1802" s="1" t="n">
        <v>45627</v>
      </c>
      <c r="D1802" t="inlineStr">
        <is>
          <t>HALLANDS LÄN</t>
        </is>
      </c>
      <c r="E1802" t="inlineStr">
        <is>
          <t>HYLTE</t>
        </is>
      </c>
      <c r="F1802" t="inlineStr">
        <is>
          <t>Bergvik skog väst AB</t>
        </is>
      </c>
      <c r="G1802" t="n">
        <v>1.6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20879-2022</t>
        </is>
      </c>
      <c r="B1803" s="1" t="n">
        <v>44701</v>
      </c>
      <c r="C1803" s="1" t="n">
        <v>45627</v>
      </c>
      <c r="D1803" t="inlineStr">
        <is>
          <t>HALLANDS LÄN</t>
        </is>
      </c>
      <c r="E1803" t="inlineStr">
        <is>
          <t>HYLTE</t>
        </is>
      </c>
      <c r="G1803" t="n">
        <v>1.1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20763-2022</t>
        </is>
      </c>
      <c r="B1804" s="1" t="n">
        <v>44701</v>
      </c>
      <c r="C1804" s="1" t="n">
        <v>45627</v>
      </c>
      <c r="D1804" t="inlineStr">
        <is>
          <t>HALLANDS LÄN</t>
        </is>
      </c>
      <c r="E1804" t="inlineStr">
        <is>
          <t>HYLTE</t>
        </is>
      </c>
      <c r="F1804" t="inlineStr">
        <is>
          <t>Bergvik skog väst AB</t>
        </is>
      </c>
      <c r="G1804" t="n">
        <v>10.7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20921-2022</t>
        </is>
      </c>
      <c r="B1805" s="1" t="n">
        <v>44701</v>
      </c>
      <c r="C1805" s="1" t="n">
        <v>45627</v>
      </c>
      <c r="D1805" t="inlineStr">
        <is>
          <t>HALLANDS LÄN</t>
        </is>
      </c>
      <c r="E1805" t="inlineStr">
        <is>
          <t>FALKENBERG</t>
        </is>
      </c>
      <c r="G1805" t="n">
        <v>2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21305-2022</t>
        </is>
      </c>
      <c r="B1806" s="1" t="n">
        <v>44705</v>
      </c>
      <c r="C1806" s="1" t="n">
        <v>45627</v>
      </c>
      <c r="D1806" t="inlineStr">
        <is>
          <t>HALLANDS LÄN</t>
        </is>
      </c>
      <c r="E1806" t="inlineStr">
        <is>
          <t>HYLTE</t>
        </is>
      </c>
      <c r="G1806" t="n">
        <v>0.6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21308-2022</t>
        </is>
      </c>
      <c r="B1807" s="1" t="n">
        <v>44705</v>
      </c>
      <c r="C1807" s="1" t="n">
        <v>45627</v>
      </c>
      <c r="D1807" t="inlineStr">
        <is>
          <t>HALLANDS LÄN</t>
        </is>
      </c>
      <c r="E1807" t="inlineStr">
        <is>
          <t>HYLTE</t>
        </is>
      </c>
      <c r="G1807" t="n">
        <v>1.2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21306-2022</t>
        </is>
      </c>
      <c r="B1808" s="1" t="n">
        <v>44705</v>
      </c>
      <c r="C1808" s="1" t="n">
        <v>45627</v>
      </c>
      <c r="D1808" t="inlineStr">
        <is>
          <t>HALLANDS LÄN</t>
        </is>
      </c>
      <c r="E1808" t="inlineStr">
        <is>
          <t>HYLTE</t>
        </is>
      </c>
      <c r="G1808" t="n">
        <v>0.9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21320-2022</t>
        </is>
      </c>
      <c r="B1809" s="1" t="n">
        <v>44705</v>
      </c>
      <c r="C1809" s="1" t="n">
        <v>45627</v>
      </c>
      <c r="D1809" t="inlineStr">
        <is>
          <t>HALLANDS LÄN</t>
        </is>
      </c>
      <c r="E1809" t="inlineStr">
        <is>
          <t>HALMSTAD</t>
        </is>
      </c>
      <c r="G1809" t="n">
        <v>2.1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21350-2022</t>
        </is>
      </c>
      <c r="B1810" s="1" t="n">
        <v>44705</v>
      </c>
      <c r="C1810" s="1" t="n">
        <v>45627</v>
      </c>
      <c r="D1810" t="inlineStr">
        <is>
          <t>HALLANDS LÄN</t>
        </is>
      </c>
      <c r="E1810" t="inlineStr">
        <is>
          <t>HALMSTAD</t>
        </is>
      </c>
      <c r="G1810" t="n">
        <v>3.4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21884-2022</t>
        </is>
      </c>
      <c r="B1811" s="1" t="n">
        <v>44711</v>
      </c>
      <c r="C1811" s="1" t="n">
        <v>45627</v>
      </c>
      <c r="D1811" t="inlineStr">
        <is>
          <t>HALLANDS LÄN</t>
        </is>
      </c>
      <c r="E1811" t="inlineStr">
        <is>
          <t>HALMSTAD</t>
        </is>
      </c>
      <c r="G1811" t="n">
        <v>2.6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21995-2022</t>
        </is>
      </c>
      <c r="B1812" s="1" t="n">
        <v>44711</v>
      </c>
      <c r="C1812" s="1" t="n">
        <v>45627</v>
      </c>
      <c r="D1812" t="inlineStr">
        <is>
          <t>HALLANDS LÄN</t>
        </is>
      </c>
      <c r="E1812" t="inlineStr">
        <is>
          <t>HYLTE</t>
        </is>
      </c>
      <c r="G1812" t="n">
        <v>2.5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21993-2022</t>
        </is>
      </c>
      <c r="B1813" s="1" t="n">
        <v>44711</v>
      </c>
      <c r="C1813" s="1" t="n">
        <v>45627</v>
      </c>
      <c r="D1813" t="inlineStr">
        <is>
          <t>HALLANDS LÄN</t>
        </is>
      </c>
      <c r="E1813" t="inlineStr">
        <is>
          <t>HYLTE</t>
        </is>
      </c>
      <c r="G1813" t="n">
        <v>0.8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21992-2022</t>
        </is>
      </c>
      <c r="B1814" s="1" t="n">
        <v>44711</v>
      </c>
      <c r="C1814" s="1" t="n">
        <v>45627</v>
      </c>
      <c r="D1814" t="inlineStr">
        <is>
          <t>HALLANDS LÄN</t>
        </is>
      </c>
      <c r="E1814" t="inlineStr">
        <is>
          <t>VARBERG</t>
        </is>
      </c>
      <c r="G1814" t="n">
        <v>2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22015-2022</t>
        </is>
      </c>
      <c r="B1815" s="1" t="n">
        <v>44711</v>
      </c>
      <c r="C1815" s="1" t="n">
        <v>45627</v>
      </c>
      <c r="D1815" t="inlineStr">
        <is>
          <t>HALLANDS LÄN</t>
        </is>
      </c>
      <c r="E1815" t="inlineStr">
        <is>
          <t>HALMSTAD</t>
        </is>
      </c>
      <c r="G1815" t="n">
        <v>2.6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22070-2022</t>
        </is>
      </c>
      <c r="B1816" s="1" t="n">
        <v>44711</v>
      </c>
      <c r="C1816" s="1" t="n">
        <v>45627</v>
      </c>
      <c r="D1816" t="inlineStr">
        <is>
          <t>HALLANDS LÄN</t>
        </is>
      </c>
      <c r="E1816" t="inlineStr">
        <is>
          <t>HALMSTAD</t>
        </is>
      </c>
      <c r="G1816" t="n">
        <v>5.3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22002-2022</t>
        </is>
      </c>
      <c r="B1817" s="1" t="n">
        <v>44711</v>
      </c>
      <c r="C1817" s="1" t="n">
        <v>45627</v>
      </c>
      <c r="D1817" t="inlineStr">
        <is>
          <t>HALLANDS LÄN</t>
        </is>
      </c>
      <c r="E1817" t="inlineStr">
        <is>
          <t>FALKENBERG</t>
        </is>
      </c>
      <c r="G1817" t="n">
        <v>0.8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22146-2022</t>
        </is>
      </c>
      <c r="B1818" s="1" t="n">
        <v>44712</v>
      </c>
      <c r="C1818" s="1" t="n">
        <v>45627</v>
      </c>
      <c r="D1818" t="inlineStr">
        <is>
          <t>HALLANDS LÄN</t>
        </is>
      </c>
      <c r="E1818" t="inlineStr">
        <is>
          <t>HALMSTAD</t>
        </is>
      </c>
      <c r="G1818" t="n">
        <v>5.4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22149-2022</t>
        </is>
      </c>
      <c r="B1819" s="1" t="n">
        <v>44712</v>
      </c>
      <c r="C1819" s="1" t="n">
        <v>45627</v>
      </c>
      <c r="D1819" t="inlineStr">
        <is>
          <t>HALLANDS LÄN</t>
        </is>
      </c>
      <c r="E1819" t="inlineStr">
        <is>
          <t>HALMSTAD</t>
        </is>
      </c>
      <c r="G1819" t="n">
        <v>9.699999999999999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22147-2022</t>
        </is>
      </c>
      <c r="B1820" s="1" t="n">
        <v>44712</v>
      </c>
      <c r="C1820" s="1" t="n">
        <v>45627</v>
      </c>
      <c r="D1820" t="inlineStr">
        <is>
          <t>HALLANDS LÄN</t>
        </is>
      </c>
      <c r="E1820" t="inlineStr">
        <is>
          <t>LAHOLM</t>
        </is>
      </c>
      <c r="G1820" t="n">
        <v>1.2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22184-2022</t>
        </is>
      </c>
      <c r="B1821" s="1" t="n">
        <v>44712</v>
      </c>
      <c r="C1821" s="1" t="n">
        <v>45627</v>
      </c>
      <c r="D1821" t="inlineStr">
        <is>
          <t>HALLANDS LÄN</t>
        </is>
      </c>
      <c r="E1821" t="inlineStr">
        <is>
          <t>HYLTE</t>
        </is>
      </c>
      <c r="G1821" t="n">
        <v>1.2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22309-2022</t>
        </is>
      </c>
      <c r="B1822" s="1" t="n">
        <v>44712</v>
      </c>
      <c r="C1822" s="1" t="n">
        <v>45627</v>
      </c>
      <c r="D1822" t="inlineStr">
        <is>
          <t>HALLANDS LÄN</t>
        </is>
      </c>
      <c r="E1822" t="inlineStr">
        <is>
          <t>HYLTE</t>
        </is>
      </c>
      <c r="G1822" t="n">
        <v>2.4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22419-2022</t>
        </is>
      </c>
      <c r="B1823" s="1" t="n">
        <v>44713</v>
      </c>
      <c r="C1823" s="1" t="n">
        <v>45627</v>
      </c>
      <c r="D1823" t="inlineStr">
        <is>
          <t>HALLANDS LÄN</t>
        </is>
      </c>
      <c r="E1823" t="inlineStr">
        <is>
          <t>HALMSTAD</t>
        </is>
      </c>
      <c r="G1823" t="n">
        <v>2.2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22656-2022</t>
        </is>
      </c>
      <c r="B1824" s="1" t="n">
        <v>44714</v>
      </c>
      <c r="C1824" s="1" t="n">
        <v>45627</v>
      </c>
      <c r="D1824" t="inlineStr">
        <is>
          <t>HALLANDS LÄN</t>
        </is>
      </c>
      <c r="E1824" t="inlineStr">
        <is>
          <t>HYLTE</t>
        </is>
      </c>
      <c r="F1824" t="inlineStr">
        <is>
          <t>Bergvik skog väst AB</t>
        </is>
      </c>
      <c r="G1824" t="n">
        <v>5.5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22591-2022</t>
        </is>
      </c>
      <c r="B1825" s="1" t="n">
        <v>44714</v>
      </c>
      <c r="C1825" s="1" t="n">
        <v>45627</v>
      </c>
      <c r="D1825" t="inlineStr">
        <is>
          <t>HALLANDS LÄN</t>
        </is>
      </c>
      <c r="E1825" t="inlineStr">
        <is>
          <t>HYLTE</t>
        </is>
      </c>
      <c r="G1825" t="n">
        <v>0.7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22587-2022</t>
        </is>
      </c>
      <c r="B1826" s="1" t="n">
        <v>44714</v>
      </c>
      <c r="C1826" s="1" t="n">
        <v>45627</v>
      </c>
      <c r="D1826" t="inlineStr">
        <is>
          <t>HALLANDS LÄN</t>
        </is>
      </c>
      <c r="E1826" t="inlineStr">
        <is>
          <t>HYLTE</t>
        </is>
      </c>
      <c r="G1826" t="n">
        <v>1.4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22860-2022</t>
        </is>
      </c>
      <c r="B1827" s="1" t="n">
        <v>44715</v>
      </c>
      <c r="C1827" s="1" t="n">
        <v>45627</v>
      </c>
      <c r="D1827" t="inlineStr">
        <is>
          <t>HALLANDS LÄN</t>
        </is>
      </c>
      <c r="E1827" t="inlineStr">
        <is>
          <t>HALMSTAD</t>
        </is>
      </c>
      <c r="G1827" t="n">
        <v>5.6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22862-2022</t>
        </is>
      </c>
      <c r="B1828" s="1" t="n">
        <v>44715</v>
      </c>
      <c r="C1828" s="1" t="n">
        <v>45627</v>
      </c>
      <c r="D1828" t="inlineStr">
        <is>
          <t>HALLANDS LÄN</t>
        </is>
      </c>
      <c r="E1828" t="inlineStr">
        <is>
          <t>HALMSTAD</t>
        </is>
      </c>
      <c r="G1828" t="n">
        <v>6.1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23037-2022</t>
        </is>
      </c>
      <c r="B1829" s="1" t="n">
        <v>44719</v>
      </c>
      <c r="C1829" s="1" t="n">
        <v>45627</v>
      </c>
      <c r="D1829" t="inlineStr">
        <is>
          <t>HALLANDS LÄN</t>
        </is>
      </c>
      <c r="E1829" t="inlineStr">
        <is>
          <t>HYLTE</t>
        </is>
      </c>
      <c r="G1829" t="n">
        <v>1.1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23109-2022</t>
        </is>
      </c>
      <c r="B1830" s="1" t="n">
        <v>44719</v>
      </c>
      <c r="C1830" s="1" t="n">
        <v>45627</v>
      </c>
      <c r="D1830" t="inlineStr">
        <is>
          <t>HALLANDS LÄN</t>
        </is>
      </c>
      <c r="E1830" t="inlineStr">
        <is>
          <t>VARBERG</t>
        </is>
      </c>
      <c r="G1830" t="n">
        <v>1.2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23136-2022</t>
        </is>
      </c>
      <c r="B1831" s="1" t="n">
        <v>44719</v>
      </c>
      <c r="C1831" s="1" t="n">
        <v>45627</v>
      </c>
      <c r="D1831" t="inlineStr">
        <is>
          <t>HALLANDS LÄN</t>
        </is>
      </c>
      <c r="E1831" t="inlineStr">
        <is>
          <t>FALKENBERG</t>
        </is>
      </c>
      <c r="G1831" t="n">
        <v>0.7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23483-2022</t>
        </is>
      </c>
      <c r="B1832" s="1" t="n">
        <v>44721</v>
      </c>
      <c r="C1832" s="1" t="n">
        <v>45627</v>
      </c>
      <c r="D1832" t="inlineStr">
        <is>
          <t>HALLANDS LÄN</t>
        </is>
      </c>
      <c r="E1832" t="inlineStr">
        <is>
          <t>HALMSTAD</t>
        </is>
      </c>
      <c r="G1832" t="n">
        <v>7.9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23772-2022</t>
        </is>
      </c>
      <c r="B1833" s="1" t="n">
        <v>44722</v>
      </c>
      <c r="C1833" s="1" t="n">
        <v>45627</v>
      </c>
      <c r="D1833" t="inlineStr">
        <is>
          <t>HALLANDS LÄN</t>
        </is>
      </c>
      <c r="E1833" t="inlineStr">
        <is>
          <t>HALMSTAD</t>
        </is>
      </c>
      <c r="G1833" t="n">
        <v>2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23773-2022</t>
        </is>
      </c>
      <c r="B1834" s="1" t="n">
        <v>44722</v>
      </c>
      <c r="C1834" s="1" t="n">
        <v>45627</v>
      </c>
      <c r="D1834" t="inlineStr">
        <is>
          <t>HALLANDS LÄN</t>
        </is>
      </c>
      <c r="E1834" t="inlineStr">
        <is>
          <t>HALMSTAD</t>
        </is>
      </c>
      <c r="G1834" t="n">
        <v>1.7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23912-2022</t>
        </is>
      </c>
      <c r="B1835" s="1" t="n">
        <v>44722</v>
      </c>
      <c r="C1835" s="1" t="n">
        <v>45627</v>
      </c>
      <c r="D1835" t="inlineStr">
        <is>
          <t>HALLANDS LÄN</t>
        </is>
      </c>
      <c r="E1835" t="inlineStr">
        <is>
          <t>VARBERG</t>
        </is>
      </c>
      <c r="G1835" t="n">
        <v>6.2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23913-2022</t>
        </is>
      </c>
      <c r="B1836" s="1" t="n">
        <v>44722</v>
      </c>
      <c r="C1836" s="1" t="n">
        <v>45627</v>
      </c>
      <c r="D1836" t="inlineStr">
        <is>
          <t>HALLANDS LÄN</t>
        </is>
      </c>
      <c r="E1836" t="inlineStr">
        <is>
          <t>VARBERG</t>
        </is>
      </c>
      <c r="G1836" t="n">
        <v>0.6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24459-2022</t>
        </is>
      </c>
      <c r="B1837" s="1" t="n">
        <v>44726</v>
      </c>
      <c r="C1837" s="1" t="n">
        <v>45627</v>
      </c>
      <c r="D1837" t="inlineStr">
        <is>
          <t>HALLANDS LÄN</t>
        </is>
      </c>
      <c r="E1837" t="inlineStr">
        <is>
          <t>KUNGSBACKA</t>
        </is>
      </c>
      <c r="G1837" t="n">
        <v>4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24390-2022</t>
        </is>
      </c>
      <c r="B1838" s="1" t="n">
        <v>44726</v>
      </c>
      <c r="C1838" s="1" t="n">
        <v>45627</v>
      </c>
      <c r="D1838" t="inlineStr">
        <is>
          <t>HALLANDS LÄN</t>
        </is>
      </c>
      <c r="E1838" t="inlineStr">
        <is>
          <t>LAHOLM</t>
        </is>
      </c>
      <c r="G1838" t="n">
        <v>1.4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24481-2022</t>
        </is>
      </c>
      <c r="B1839" s="1" t="n">
        <v>44726</v>
      </c>
      <c r="C1839" s="1" t="n">
        <v>45627</v>
      </c>
      <c r="D1839" t="inlineStr">
        <is>
          <t>HALLANDS LÄN</t>
        </is>
      </c>
      <c r="E1839" t="inlineStr">
        <is>
          <t>HYLTE</t>
        </is>
      </c>
      <c r="G1839" t="n">
        <v>1.1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24593-2022</t>
        </is>
      </c>
      <c r="B1840" s="1" t="n">
        <v>44727</v>
      </c>
      <c r="C1840" s="1" t="n">
        <v>45627</v>
      </c>
      <c r="D1840" t="inlineStr">
        <is>
          <t>HALLANDS LÄN</t>
        </is>
      </c>
      <c r="E1840" t="inlineStr">
        <is>
          <t>LAHOLM</t>
        </is>
      </c>
      <c r="G1840" t="n">
        <v>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24639-2022</t>
        </is>
      </c>
      <c r="B1841" s="1" t="n">
        <v>44727</v>
      </c>
      <c r="C1841" s="1" t="n">
        <v>45627</v>
      </c>
      <c r="D1841" t="inlineStr">
        <is>
          <t>HALLANDS LÄN</t>
        </is>
      </c>
      <c r="E1841" t="inlineStr">
        <is>
          <t>HYLTE</t>
        </is>
      </c>
      <c r="G1841" t="n">
        <v>1.9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24624-2022</t>
        </is>
      </c>
      <c r="B1842" s="1" t="n">
        <v>44727</v>
      </c>
      <c r="C1842" s="1" t="n">
        <v>45627</v>
      </c>
      <c r="D1842" t="inlineStr">
        <is>
          <t>HALLANDS LÄN</t>
        </is>
      </c>
      <c r="E1842" t="inlineStr">
        <is>
          <t>FALKENBERG</t>
        </is>
      </c>
      <c r="G1842" t="n">
        <v>0.5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24627-2022</t>
        </is>
      </c>
      <c r="B1843" s="1" t="n">
        <v>44727</v>
      </c>
      <c r="C1843" s="1" t="n">
        <v>45627</v>
      </c>
      <c r="D1843" t="inlineStr">
        <is>
          <t>HALLANDS LÄN</t>
        </is>
      </c>
      <c r="E1843" t="inlineStr">
        <is>
          <t>HYLTE</t>
        </is>
      </c>
      <c r="G1843" t="n">
        <v>1.4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24626-2022</t>
        </is>
      </c>
      <c r="B1844" s="1" t="n">
        <v>44727</v>
      </c>
      <c r="C1844" s="1" t="n">
        <v>45627</v>
      </c>
      <c r="D1844" t="inlineStr">
        <is>
          <t>HALLANDS LÄN</t>
        </is>
      </c>
      <c r="E1844" t="inlineStr">
        <is>
          <t>HYLTE</t>
        </is>
      </c>
      <c r="G1844" t="n">
        <v>4.3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24891-2022</t>
        </is>
      </c>
      <c r="B1845" s="1" t="n">
        <v>44728</v>
      </c>
      <c r="C1845" s="1" t="n">
        <v>45627</v>
      </c>
      <c r="D1845" t="inlineStr">
        <is>
          <t>HALLANDS LÄN</t>
        </is>
      </c>
      <c r="E1845" t="inlineStr">
        <is>
          <t>HYLTE</t>
        </is>
      </c>
      <c r="G1845" t="n">
        <v>0.3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24917-2022</t>
        </is>
      </c>
      <c r="B1846" s="1" t="n">
        <v>44728</v>
      </c>
      <c r="C1846" s="1" t="n">
        <v>45627</v>
      </c>
      <c r="D1846" t="inlineStr">
        <is>
          <t>HALLANDS LÄN</t>
        </is>
      </c>
      <c r="E1846" t="inlineStr">
        <is>
          <t>HALMSTAD</t>
        </is>
      </c>
      <c r="G1846" t="n">
        <v>4.6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25140-2022</t>
        </is>
      </c>
      <c r="B1847" s="1" t="n">
        <v>44729</v>
      </c>
      <c r="C1847" s="1" t="n">
        <v>45627</v>
      </c>
      <c r="D1847" t="inlineStr">
        <is>
          <t>HALLANDS LÄN</t>
        </is>
      </c>
      <c r="E1847" t="inlineStr">
        <is>
          <t>HYLTE</t>
        </is>
      </c>
      <c r="G1847" t="n">
        <v>2.5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25989-2022</t>
        </is>
      </c>
      <c r="B1848" s="1" t="n">
        <v>44734</v>
      </c>
      <c r="C1848" s="1" t="n">
        <v>45627</v>
      </c>
      <c r="D1848" t="inlineStr">
        <is>
          <t>HALLANDS LÄN</t>
        </is>
      </c>
      <c r="E1848" t="inlineStr">
        <is>
          <t>VARBERG</t>
        </is>
      </c>
      <c r="G1848" t="n">
        <v>2.3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26011-2022</t>
        </is>
      </c>
      <c r="B1849" s="1" t="n">
        <v>44734</v>
      </c>
      <c r="C1849" s="1" t="n">
        <v>45627</v>
      </c>
      <c r="D1849" t="inlineStr">
        <is>
          <t>HALLANDS LÄN</t>
        </is>
      </c>
      <c r="E1849" t="inlineStr">
        <is>
          <t>FALKENBERG</t>
        </is>
      </c>
      <c r="G1849" t="n">
        <v>1.5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26108-2022</t>
        </is>
      </c>
      <c r="B1850" s="1" t="n">
        <v>44734</v>
      </c>
      <c r="C1850" s="1" t="n">
        <v>45627</v>
      </c>
      <c r="D1850" t="inlineStr">
        <is>
          <t>HALLANDS LÄN</t>
        </is>
      </c>
      <c r="E1850" t="inlineStr">
        <is>
          <t>HALMSTAD</t>
        </is>
      </c>
      <c r="G1850" t="n">
        <v>2.6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26102-2022</t>
        </is>
      </c>
      <c r="B1851" s="1" t="n">
        <v>44734</v>
      </c>
      <c r="C1851" s="1" t="n">
        <v>45627</v>
      </c>
      <c r="D1851" t="inlineStr">
        <is>
          <t>HALLANDS LÄN</t>
        </is>
      </c>
      <c r="E1851" t="inlineStr">
        <is>
          <t>HALMSTAD</t>
        </is>
      </c>
      <c r="G1851" t="n">
        <v>0.8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26105-2022</t>
        </is>
      </c>
      <c r="B1852" s="1" t="n">
        <v>44734</v>
      </c>
      <c r="C1852" s="1" t="n">
        <v>45627</v>
      </c>
      <c r="D1852" t="inlineStr">
        <is>
          <t>HALLANDS LÄN</t>
        </is>
      </c>
      <c r="E1852" t="inlineStr">
        <is>
          <t>HALMSTAD</t>
        </is>
      </c>
      <c r="G1852" t="n">
        <v>1.6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26184-2022</t>
        </is>
      </c>
      <c r="B1853" s="1" t="n">
        <v>44735</v>
      </c>
      <c r="C1853" s="1" t="n">
        <v>45627</v>
      </c>
      <c r="D1853" t="inlineStr">
        <is>
          <t>HALLANDS LÄN</t>
        </is>
      </c>
      <c r="E1853" t="inlineStr">
        <is>
          <t>HYLTE</t>
        </is>
      </c>
      <c r="G1853" t="n">
        <v>2.7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26240-2022</t>
        </is>
      </c>
      <c r="B1854" s="1" t="n">
        <v>44735</v>
      </c>
      <c r="C1854" s="1" t="n">
        <v>45627</v>
      </c>
      <c r="D1854" t="inlineStr">
        <is>
          <t>HALLANDS LÄN</t>
        </is>
      </c>
      <c r="E1854" t="inlineStr">
        <is>
          <t>LAHOLM</t>
        </is>
      </c>
      <c r="G1854" t="n">
        <v>2.7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26312-2022</t>
        </is>
      </c>
      <c r="B1855" s="1" t="n">
        <v>44735</v>
      </c>
      <c r="C1855" s="1" t="n">
        <v>45627</v>
      </c>
      <c r="D1855" t="inlineStr">
        <is>
          <t>HALLANDS LÄN</t>
        </is>
      </c>
      <c r="E1855" t="inlineStr">
        <is>
          <t>HYLTE</t>
        </is>
      </c>
      <c r="G1855" t="n">
        <v>2.8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26363-2022</t>
        </is>
      </c>
      <c r="B1856" s="1" t="n">
        <v>44735</v>
      </c>
      <c r="C1856" s="1" t="n">
        <v>45627</v>
      </c>
      <c r="D1856" t="inlineStr">
        <is>
          <t>HALLANDS LÄN</t>
        </is>
      </c>
      <c r="E1856" t="inlineStr">
        <is>
          <t>HYLTE</t>
        </is>
      </c>
      <c r="G1856" t="n">
        <v>2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26600-2022</t>
        </is>
      </c>
      <c r="B1857" s="1" t="n">
        <v>44739</v>
      </c>
      <c r="C1857" s="1" t="n">
        <v>45627</v>
      </c>
      <c r="D1857" t="inlineStr">
        <is>
          <t>HALLANDS LÄN</t>
        </is>
      </c>
      <c r="E1857" t="inlineStr">
        <is>
          <t>HYLTE</t>
        </is>
      </c>
      <c r="G1857" t="n">
        <v>0.6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26602-2022</t>
        </is>
      </c>
      <c r="B1858" s="1" t="n">
        <v>44739</v>
      </c>
      <c r="C1858" s="1" t="n">
        <v>45627</v>
      </c>
      <c r="D1858" t="inlineStr">
        <is>
          <t>HALLANDS LÄN</t>
        </is>
      </c>
      <c r="E1858" t="inlineStr">
        <is>
          <t>HYLTE</t>
        </is>
      </c>
      <c r="G1858" t="n">
        <v>0.5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26677-2022</t>
        </is>
      </c>
      <c r="B1859" s="1" t="n">
        <v>44739</v>
      </c>
      <c r="C1859" s="1" t="n">
        <v>45627</v>
      </c>
      <c r="D1859" t="inlineStr">
        <is>
          <t>HALLANDS LÄN</t>
        </is>
      </c>
      <c r="E1859" t="inlineStr">
        <is>
          <t>LAHOLM</t>
        </is>
      </c>
      <c r="G1859" t="n">
        <v>1.2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26880-2022</t>
        </is>
      </c>
      <c r="B1860" s="1" t="n">
        <v>44740</v>
      </c>
      <c r="C1860" s="1" t="n">
        <v>45627</v>
      </c>
      <c r="D1860" t="inlineStr">
        <is>
          <t>HALLANDS LÄN</t>
        </is>
      </c>
      <c r="E1860" t="inlineStr">
        <is>
          <t>FALKENBERG</t>
        </is>
      </c>
      <c r="G1860" t="n">
        <v>2.8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27021-2022</t>
        </is>
      </c>
      <c r="B1861" s="1" t="n">
        <v>44740</v>
      </c>
      <c r="C1861" s="1" t="n">
        <v>45627</v>
      </c>
      <c r="D1861" t="inlineStr">
        <is>
          <t>HALLANDS LÄN</t>
        </is>
      </c>
      <c r="E1861" t="inlineStr">
        <is>
          <t>VARBERG</t>
        </is>
      </c>
      <c r="G1861" t="n">
        <v>5.3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26949-2022</t>
        </is>
      </c>
      <c r="B1862" s="1" t="n">
        <v>44740</v>
      </c>
      <c r="C1862" s="1" t="n">
        <v>45627</v>
      </c>
      <c r="D1862" t="inlineStr">
        <is>
          <t>HALLANDS LÄN</t>
        </is>
      </c>
      <c r="E1862" t="inlineStr">
        <is>
          <t>FALKENBERG</t>
        </is>
      </c>
      <c r="F1862" t="inlineStr">
        <is>
          <t>Kommuner</t>
        </is>
      </c>
      <c r="G1862" t="n">
        <v>7.4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26887-2022</t>
        </is>
      </c>
      <c r="B1863" s="1" t="n">
        <v>44740</v>
      </c>
      <c r="C1863" s="1" t="n">
        <v>45627</v>
      </c>
      <c r="D1863" t="inlineStr">
        <is>
          <t>HALLANDS LÄN</t>
        </is>
      </c>
      <c r="E1863" t="inlineStr">
        <is>
          <t>FALKENBERG</t>
        </is>
      </c>
      <c r="G1863" t="n">
        <v>3.3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26979-2022</t>
        </is>
      </c>
      <c r="B1864" s="1" t="n">
        <v>44740</v>
      </c>
      <c r="C1864" s="1" t="n">
        <v>45627</v>
      </c>
      <c r="D1864" t="inlineStr">
        <is>
          <t>HALLANDS LÄN</t>
        </is>
      </c>
      <c r="E1864" t="inlineStr">
        <is>
          <t>KUNGSBACKA</t>
        </is>
      </c>
      <c r="G1864" t="n">
        <v>5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27365-2022</t>
        </is>
      </c>
      <c r="B1865" s="1" t="n">
        <v>44742</v>
      </c>
      <c r="C1865" s="1" t="n">
        <v>45627</v>
      </c>
      <c r="D1865" t="inlineStr">
        <is>
          <t>HALLANDS LÄN</t>
        </is>
      </c>
      <c r="E1865" t="inlineStr">
        <is>
          <t>HALMSTAD</t>
        </is>
      </c>
      <c r="G1865" t="n">
        <v>1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27505-2022</t>
        </is>
      </c>
      <c r="B1866" s="1" t="n">
        <v>44742</v>
      </c>
      <c r="C1866" s="1" t="n">
        <v>45627</v>
      </c>
      <c r="D1866" t="inlineStr">
        <is>
          <t>HALLANDS LÄN</t>
        </is>
      </c>
      <c r="E1866" t="inlineStr">
        <is>
          <t>HALMSTAD</t>
        </is>
      </c>
      <c r="G1866" t="n">
        <v>1.7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28252-2022</t>
        </is>
      </c>
      <c r="B1867" s="1" t="n">
        <v>44746</v>
      </c>
      <c r="C1867" s="1" t="n">
        <v>45627</v>
      </c>
      <c r="D1867" t="inlineStr">
        <is>
          <t>HALLANDS LÄN</t>
        </is>
      </c>
      <c r="E1867" t="inlineStr">
        <is>
          <t>LAHOLM</t>
        </is>
      </c>
      <c r="G1867" t="n">
        <v>4.7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28260-2022</t>
        </is>
      </c>
      <c r="B1868" s="1" t="n">
        <v>44746</v>
      </c>
      <c r="C1868" s="1" t="n">
        <v>45627</v>
      </c>
      <c r="D1868" t="inlineStr">
        <is>
          <t>HALLANDS LÄN</t>
        </is>
      </c>
      <c r="E1868" t="inlineStr">
        <is>
          <t>KUNGSBACKA</t>
        </is>
      </c>
      <c r="G1868" t="n">
        <v>0.6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28479-2022</t>
        </is>
      </c>
      <c r="B1869" s="1" t="n">
        <v>44747</v>
      </c>
      <c r="C1869" s="1" t="n">
        <v>45627</v>
      </c>
      <c r="D1869" t="inlineStr">
        <is>
          <t>HALLANDS LÄN</t>
        </is>
      </c>
      <c r="E1869" t="inlineStr">
        <is>
          <t>FALKENBERG</t>
        </is>
      </c>
      <c r="G1869" t="n">
        <v>3.5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28478-2022</t>
        </is>
      </c>
      <c r="B1870" s="1" t="n">
        <v>44747</v>
      </c>
      <c r="C1870" s="1" t="n">
        <v>45627</v>
      </c>
      <c r="D1870" t="inlineStr">
        <is>
          <t>HALLANDS LÄN</t>
        </is>
      </c>
      <c r="E1870" t="inlineStr">
        <is>
          <t>FALKENBERG</t>
        </is>
      </c>
      <c r="G1870" t="n">
        <v>3.2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28529-2022</t>
        </is>
      </c>
      <c r="B1871" s="1" t="n">
        <v>44748</v>
      </c>
      <c r="C1871" s="1" t="n">
        <v>45627</v>
      </c>
      <c r="D1871" t="inlineStr">
        <is>
          <t>HALLANDS LÄN</t>
        </is>
      </c>
      <c r="E1871" t="inlineStr">
        <is>
          <t>KUNGSBACKA</t>
        </is>
      </c>
      <c r="G1871" t="n">
        <v>7.2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28625-2022</t>
        </is>
      </c>
      <c r="B1872" s="1" t="n">
        <v>44748</v>
      </c>
      <c r="C1872" s="1" t="n">
        <v>45627</v>
      </c>
      <c r="D1872" t="inlineStr">
        <is>
          <t>HALLANDS LÄN</t>
        </is>
      </c>
      <c r="E1872" t="inlineStr">
        <is>
          <t>KUNGSBACKA</t>
        </is>
      </c>
      <c r="G1872" t="n">
        <v>3.8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28922-2022</t>
        </is>
      </c>
      <c r="B1873" s="1" t="n">
        <v>44749</v>
      </c>
      <c r="C1873" s="1" t="n">
        <v>45627</v>
      </c>
      <c r="D1873" t="inlineStr">
        <is>
          <t>HALLANDS LÄN</t>
        </is>
      </c>
      <c r="E1873" t="inlineStr">
        <is>
          <t>LAHOLM</t>
        </is>
      </c>
      <c r="G1873" t="n">
        <v>0.5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28831-2022</t>
        </is>
      </c>
      <c r="B1874" s="1" t="n">
        <v>44749</v>
      </c>
      <c r="C1874" s="1" t="n">
        <v>45627</v>
      </c>
      <c r="D1874" t="inlineStr">
        <is>
          <t>HALLANDS LÄN</t>
        </is>
      </c>
      <c r="E1874" t="inlineStr">
        <is>
          <t>LAHOLM</t>
        </is>
      </c>
      <c r="G1874" t="n">
        <v>0.5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28917-2022</t>
        </is>
      </c>
      <c r="B1875" s="1" t="n">
        <v>44749</v>
      </c>
      <c r="C1875" s="1" t="n">
        <v>45627</v>
      </c>
      <c r="D1875" t="inlineStr">
        <is>
          <t>HALLANDS LÄN</t>
        </is>
      </c>
      <c r="E1875" t="inlineStr">
        <is>
          <t>FALKENBERG</t>
        </is>
      </c>
      <c r="G1875" t="n">
        <v>2.4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28855-2022</t>
        </is>
      </c>
      <c r="B1876" s="1" t="n">
        <v>44749</v>
      </c>
      <c r="C1876" s="1" t="n">
        <v>45627</v>
      </c>
      <c r="D1876" t="inlineStr">
        <is>
          <t>HALLANDS LÄN</t>
        </is>
      </c>
      <c r="E1876" t="inlineStr">
        <is>
          <t>VARBERG</t>
        </is>
      </c>
      <c r="G1876" t="n">
        <v>2.3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29167-2022</t>
        </is>
      </c>
      <c r="B1877" s="1" t="n">
        <v>44750</v>
      </c>
      <c r="C1877" s="1" t="n">
        <v>45627</v>
      </c>
      <c r="D1877" t="inlineStr">
        <is>
          <t>HALLANDS LÄN</t>
        </is>
      </c>
      <c r="E1877" t="inlineStr">
        <is>
          <t>HYLTE</t>
        </is>
      </c>
      <c r="G1877" t="n">
        <v>2.2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29471-2022</t>
        </is>
      </c>
      <c r="B1878" s="1" t="n">
        <v>44753</v>
      </c>
      <c r="C1878" s="1" t="n">
        <v>45627</v>
      </c>
      <c r="D1878" t="inlineStr">
        <is>
          <t>HALLANDS LÄN</t>
        </is>
      </c>
      <c r="E1878" t="inlineStr">
        <is>
          <t>HALMSTAD</t>
        </is>
      </c>
      <c r="G1878" t="n">
        <v>4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29388-2022</t>
        </is>
      </c>
      <c r="B1879" s="1" t="n">
        <v>44753</v>
      </c>
      <c r="C1879" s="1" t="n">
        <v>45627</v>
      </c>
      <c r="D1879" t="inlineStr">
        <is>
          <t>HALLANDS LÄN</t>
        </is>
      </c>
      <c r="E1879" t="inlineStr">
        <is>
          <t>HYLTE</t>
        </is>
      </c>
      <c r="G1879" t="n">
        <v>2.1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29474-2022</t>
        </is>
      </c>
      <c r="B1880" s="1" t="n">
        <v>44753</v>
      </c>
      <c r="C1880" s="1" t="n">
        <v>45627</v>
      </c>
      <c r="D1880" t="inlineStr">
        <is>
          <t>HALLANDS LÄN</t>
        </is>
      </c>
      <c r="E1880" t="inlineStr">
        <is>
          <t>LAHOLM</t>
        </is>
      </c>
      <c r="G1880" t="n">
        <v>1.4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29674-2022</t>
        </is>
      </c>
      <c r="B1881" s="1" t="n">
        <v>44754</v>
      </c>
      <c r="C1881" s="1" t="n">
        <v>45627</v>
      </c>
      <c r="D1881" t="inlineStr">
        <is>
          <t>HALLANDS LÄN</t>
        </is>
      </c>
      <c r="E1881" t="inlineStr">
        <is>
          <t>VARBERG</t>
        </is>
      </c>
      <c r="G1881" t="n">
        <v>0.6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29673-2022</t>
        </is>
      </c>
      <c r="B1882" s="1" t="n">
        <v>44754</v>
      </c>
      <c r="C1882" s="1" t="n">
        <v>45627</v>
      </c>
      <c r="D1882" t="inlineStr">
        <is>
          <t>HALLANDS LÄN</t>
        </is>
      </c>
      <c r="E1882" t="inlineStr">
        <is>
          <t>VARBERG</t>
        </is>
      </c>
      <c r="G1882" t="n">
        <v>0.7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29958-2022</t>
        </is>
      </c>
      <c r="B1883" s="1" t="n">
        <v>44756</v>
      </c>
      <c r="C1883" s="1" t="n">
        <v>45627</v>
      </c>
      <c r="D1883" t="inlineStr">
        <is>
          <t>HALLANDS LÄN</t>
        </is>
      </c>
      <c r="E1883" t="inlineStr">
        <is>
          <t>HYLTE</t>
        </is>
      </c>
      <c r="G1883" t="n">
        <v>3.2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29839-2022</t>
        </is>
      </c>
      <c r="B1884" s="1" t="n">
        <v>44756</v>
      </c>
      <c r="C1884" s="1" t="n">
        <v>45627</v>
      </c>
      <c r="D1884" t="inlineStr">
        <is>
          <t>HALLANDS LÄN</t>
        </is>
      </c>
      <c r="E1884" t="inlineStr">
        <is>
          <t>HALMSTAD</t>
        </is>
      </c>
      <c r="G1884" t="n">
        <v>0.8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29961-2022</t>
        </is>
      </c>
      <c r="B1885" s="1" t="n">
        <v>44756</v>
      </c>
      <c r="C1885" s="1" t="n">
        <v>45627</v>
      </c>
      <c r="D1885" t="inlineStr">
        <is>
          <t>HALLANDS LÄN</t>
        </is>
      </c>
      <c r="E1885" t="inlineStr">
        <is>
          <t>HYLTE</t>
        </is>
      </c>
      <c r="G1885" t="n">
        <v>0.5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30169-2022</t>
        </is>
      </c>
      <c r="B1886" s="1" t="n">
        <v>44757</v>
      </c>
      <c r="C1886" s="1" t="n">
        <v>45627</v>
      </c>
      <c r="D1886" t="inlineStr">
        <is>
          <t>HALLANDS LÄN</t>
        </is>
      </c>
      <c r="E1886" t="inlineStr">
        <is>
          <t>HYLTE</t>
        </is>
      </c>
      <c r="G1886" t="n">
        <v>0.6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30386-2022</t>
        </is>
      </c>
      <c r="B1887" s="1" t="n">
        <v>44760</v>
      </c>
      <c r="C1887" s="1" t="n">
        <v>45627</v>
      </c>
      <c r="D1887" t="inlineStr">
        <is>
          <t>HALLANDS LÄN</t>
        </is>
      </c>
      <c r="E1887" t="inlineStr">
        <is>
          <t>HALMSTAD</t>
        </is>
      </c>
      <c r="G1887" t="n">
        <v>0.9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30385-2022</t>
        </is>
      </c>
      <c r="B1888" s="1" t="n">
        <v>44760</v>
      </c>
      <c r="C1888" s="1" t="n">
        <v>45627</v>
      </c>
      <c r="D1888" t="inlineStr">
        <is>
          <t>HALLANDS LÄN</t>
        </is>
      </c>
      <c r="E1888" t="inlineStr">
        <is>
          <t>HALMSTAD</t>
        </is>
      </c>
      <c r="G1888" t="n">
        <v>0.7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30383-2022</t>
        </is>
      </c>
      <c r="B1889" s="1" t="n">
        <v>44760</v>
      </c>
      <c r="C1889" s="1" t="n">
        <v>45627</v>
      </c>
      <c r="D1889" t="inlineStr">
        <is>
          <t>HALLANDS LÄN</t>
        </is>
      </c>
      <c r="E1889" t="inlineStr">
        <is>
          <t>HALMSTAD</t>
        </is>
      </c>
      <c r="G1889" t="n">
        <v>0.7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30573-2022</t>
        </is>
      </c>
      <c r="B1890" s="1" t="n">
        <v>44762</v>
      </c>
      <c r="C1890" s="1" t="n">
        <v>45627</v>
      </c>
      <c r="D1890" t="inlineStr">
        <is>
          <t>HALLANDS LÄN</t>
        </is>
      </c>
      <c r="E1890" t="inlineStr">
        <is>
          <t>VARBERG</t>
        </is>
      </c>
      <c r="G1890" t="n">
        <v>4.2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30584-2022</t>
        </is>
      </c>
      <c r="B1891" s="1" t="n">
        <v>44762</v>
      </c>
      <c r="C1891" s="1" t="n">
        <v>45627</v>
      </c>
      <c r="D1891" t="inlineStr">
        <is>
          <t>HALLANDS LÄN</t>
        </is>
      </c>
      <c r="E1891" t="inlineStr">
        <is>
          <t>HYLTE</t>
        </is>
      </c>
      <c r="G1891" t="n">
        <v>0.8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30611-2022</t>
        </is>
      </c>
      <c r="B1892" s="1" t="n">
        <v>44763</v>
      </c>
      <c r="C1892" s="1" t="n">
        <v>45627</v>
      </c>
      <c r="D1892" t="inlineStr">
        <is>
          <t>HALLANDS LÄN</t>
        </is>
      </c>
      <c r="E1892" t="inlineStr">
        <is>
          <t>HYLTE</t>
        </is>
      </c>
      <c r="G1892" t="n">
        <v>2.3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30666-2022</t>
        </is>
      </c>
      <c r="B1893" s="1" t="n">
        <v>44763</v>
      </c>
      <c r="C1893" s="1" t="n">
        <v>45627</v>
      </c>
      <c r="D1893" t="inlineStr">
        <is>
          <t>HALLANDS LÄN</t>
        </is>
      </c>
      <c r="E1893" t="inlineStr">
        <is>
          <t>VARBERG</t>
        </is>
      </c>
      <c r="G1893" t="n">
        <v>1.4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30625-2022</t>
        </is>
      </c>
      <c r="B1894" s="1" t="n">
        <v>44763</v>
      </c>
      <c r="C1894" s="1" t="n">
        <v>45627</v>
      </c>
      <c r="D1894" t="inlineStr">
        <is>
          <t>HALLANDS LÄN</t>
        </is>
      </c>
      <c r="E1894" t="inlineStr">
        <is>
          <t>FALKENBERG</t>
        </is>
      </c>
      <c r="G1894" t="n">
        <v>0.8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30688-2022</t>
        </is>
      </c>
      <c r="B1895" s="1" t="n">
        <v>44763</v>
      </c>
      <c r="C1895" s="1" t="n">
        <v>45627</v>
      </c>
      <c r="D1895" t="inlineStr">
        <is>
          <t>HALLANDS LÄN</t>
        </is>
      </c>
      <c r="E1895" t="inlineStr">
        <is>
          <t>VARBERG</t>
        </is>
      </c>
      <c r="G1895" t="n">
        <v>1.7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30796-2022</t>
        </is>
      </c>
      <c r="B1896" s="1" t="n">
        <v>44764</v>
      </c>
      <c r="C1896" s="1" t="n">
        <v>45627</v>
      </c>
      <c r="D1896" t="inlineStr">
        <is>
          <t>HALLANDS LÄN</t>
        </is>
      </c>
      <c r="E1896" t="inlineStr">
        <is>
          <t>LAHOLM</t>
        </is>
      </c>
      <c r="G1896" t="n">
        <v>1.3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30885-2022</t>
        </is>
      </c>
      <c r="B1897" s="1" t="n">
        <v>44767</v>
      </c>
      <c r="C1897" s="1" t="n">
        <v>45627</v>
      </c>
      <c r="D1897" t="inlineStr">
        <is>
          <t>HALLANDS LÄN</t>
        </is>
      </c>
      <c r="E1897" t="inlineStr">
        <is>
          <t>KUNGSBACKA</t>
        </is>
      </c>
      <c r="G1897" t="n">
        <v>0.6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30893-2022</t>
        </is>
      </c>
      <c r="B1898" s="1" t="n">
        <v>44767</v>
      </c>
      <c r="C1898" s="1" t="n">
        <v>45627</v>
      </c>
      <c r="D1898" t="inlineStr">
        <is>
          <t>HALLANDS LÄN</t>
        </is>
      </c>
      <c r="E1898" t="inlineStr">
        <is>
          <t>FALKENBERG</t>
        </is>
      </c>
      <c r="G1898" t="n">
        <v>1.2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30901-2022</t>
        </is>
      </c>
      <c r="B1899" s="1" t="n">
        <v>44767</v>
      </c>
      <c r="C1899" s="1" t="n">
        <v>45627</v>
      </c>
      <c r="D1899" t="inlineStr">
        <is>
          <t>HALLANDS LÄN</t>
        </is>
      </c>
      <c r="E1899" t="inlineStr">
        <is>
          <t>KUNGSBACKA</t>
        </is>
      </c>
      <c r="G1899" t="n">
        <v>1.9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30910-2022</t>
        </is>
      </c>
      <c r="B1900" s="1" t="n">
        <v>44767</v>
      </c>
      <c r="C1900" s="1" t="n">
        <v>45627</v>
      </c>
      <c r="D1900" t="inlineStr">
        <is>
          <t>HALLANDS LÄN</t>
        </is>
      </c>
      <c r="E1900" t="inlineStr">
        <is>
          <t>VARBERG</t>
        </is>
      </c>
      <c r="G1900" t="n">
        <v>7.4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30913-2022</t>
        </is>
      </c>
      <c r="B1901" s="1" t="n">
        <v>44767</v>
      </c>
      <c r="C1901" s="1" t="n">
        <v>45627</v>
      </c>
      <c r="D1901" t="inlineStr">
        <is>
          <t>HALLANDS LÄN</t>
        </is>
      </c>
      <c r="E1901" t="inlineStr">
        <is>
          <t>VARBERG</t>
        </is>
      </c>
      <c r="G1901" t="n">
        <v>1.1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30912-2022</t>
        </is>
      </c>
      <c r="B1902" s="1" t="n">
        <v>44767</v>
      </c>
      <c r="C1902" s="1" t="n">
        <v>45627</v>
      </c>
      <c r="D1902" t="inlineStr">
        <is>
          <t>HALLANDS LÄN</t>
        </is>
      </c>
      <c r="E1902" t="inlineStr">
        <is>
          <t>VARBERG</t>
        </is>
      </c>
      <c r="G1902" t="n">
        <v>1.1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30917-2022</t>
        </is>
      </c>
      <c r="B1903" s="1" t="n">
        <v>44767</v>
      </c>
      <c r="C1903" s="1" t="n">
        <v>45627</v>
      </c>
      <c r="D1903" t="inlineStr">
        <is>
          <t>HALLANDS LÄN</t>
        </is>
      </c>
      <c r="E1903" t="inlineStr">
        <is>
          <t>VARBERG</t>
        </is>
      </c>
      <c r="G1903" t="n">
        <v>3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30952-2022</t>
        </is>
      </c>
      <c r="B1904" s="1" t="n">
        <v>44768</v>
      </c>
      <c r="C1904" s="1" t="n">
        <v>45627</v>
      </c>
      <c r="D1904" t="inlineStr">
        <is>
          <t>HALLANDS LÄN</t>
        </is>
      </c>
      <c r="E1904" t="inlineStr">
        <is>
          <t>KUNGSBACKA</t>
        </is>
      </c>
      <c r="G1904" t="n">
        <v>0.8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31024-2022</t>
        </is>
      </c>
      <c r="B1905" s="1" t="n">
        <v>44768</v>
      </c>
      <c r="C1905" s="1" t="n">
        <v>45627</v>
      </c>
      <c r="D1905" t="inlineStr">
        <is>
          <t>HALLANDS LÄN</t>
        </is>
      </c>
      <c r="E1905" t="inlineStr">
        <is>
          <t>FALKENBERG</t>
        </is>
      </c>
      <c r="G1905" t="n">
        <v>1.9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31170-2022</t>
        </is>
      </c>
      <c r="B1906" s="1" t="n">
        <v>44770</v>
      </c>
      <c r="C1906" s="1" t="n">
        <v>45627</v>
      </c>
      <c r="D1906" t="inlineStr">
        <is>
          <t>HALLANDS LÄN</t>
        </is>
      </c>
      <c r="E1906" t="inlineStr">
        <is>
          <t>HYLTE</t>
        </is>
      </c>
      <c r="G1906" t="n">
        <v>3.2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31171-2022</t>
        </is>
      </c>
      <c r="B1907" s="1" t="n">
        <v>44770</v>
      </c>
      <c r="C1907" s="1" t="n">
        <v>45627</v>
      </c>
      <c r="D1907" t="inlineStr">
        <is>
          <t>HALLANDS LÄN</t>
        </is>
      </c>
      <c r="E1907" t="inlineStr">
        <is>
          <t>HYLTE</t>
        </is>
      </c>
      <c r="G1907" t="n">
        <v>1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31198-2022</t>
        </is>
      </c>
      <c r="B1908" s="1" t="n">
        <v>44770</v>
      </c>
      <c r="C1908" s="1" t="n">
        <v>45627</v>
      </c>
      <c r="D1908" t="inlineStr">
        <is>
          <t>HALLANDS LÄN</t>
        </is>
      </c>
      <c r="E1908" t="inlineStr">
        <is>
          <t>VARBERG</t>
        </is>
      </c>
      <c r="G1908" t="n">
        <v>5.9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31267-2022</t>
        </is>
      </c>
      <c r="B1909" s="1" t="n">
        <v>44771</v>
      </c>
      <c r="C1909" s="1" t="n">
        <v>45627</v>
      </c>
      <c r="D1909" t="inlineStr">
        <is>
          <t>HALLANDS LÄN</t>
        </is>
      </c>
      <c r="E1909" t="inlineStr">
        <is>
          <t>LAHOLM</t>
        </is>
      </c>
      <c r="G1909" t="n">
        <v>1.4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31279-2022</t>
        </is>
      </c>
      <c r="B1910" s="1" t="n">
        <v>44771</v>
      </c>
      <c r="C1910" s="1" t="n">
        <v>45627</v>
      </c>
      <c r="D1910" t="inlineStr">
        <is>
          <t>HALLANDS LÄN</t>
        </is>
      </c>
      <c r="E1910" t="inlineStr">
        <is>
          <t>LAHOLM</t>
        </is>
      </c>
      <c r="G1910" t="n">
        <v>0.8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31280-2022</t>
        </is>
      </c>
      <c r="B1911" s="1" t="n">
        <v>44771</v>
      </c>
      <c r="C1911" s="1" t="n">
        <v>45627</v>
      </c>
      <c r="D1911" t="inlineStr">
        <is>
          <t>HALLANDS LÄN</t>
        </is>
      </c>
      <c r="E1911" t="inlineStr">
        <is>
          <t>LAHOLM</t>
        </is>
      </c>
      <c r="G1911" t="n">
        <v>1.4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31302-2022</t>
        </is>
      </c>
      <c r="B1912" s="1" t="n">
        <v>44773</v>
      </c>
      <c r="C1912" s="1" t="n">
        <v>45627</v>
      </c>
      <c r="D1912" t="inlineStr">
        <is>
          <t>HALLANDS LÄN</t>
        </is>
      </c>
      <c r="E1912" t="inlineStr">
        <is>
          <t>KUNGSBACKA</t>
        </is>
      </c>
      <c r="G1912" t="n">
        <v>2.6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31376-2022</t>
        </is>
      </c>
      <c r="B1913" s="1" t="n">
        <v>44774</v>
      </c>
      <c r="C1913" s="1" t="n">
        <v>45627</v>
      </c>
      <c r="D1913" t="inlineStr">
        <is>
          <t>HALLANDS LÄN</t>
        </is>
      </c>
      <c r="E1913" t="inlineStr">
        <is>
          <t>LAHOLM</t>
        </is>
      </c>
      <c r="G1913" t="n">
        <v>2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31358-2022</t>
        </is>
      </c>
      <c r="B1914" s="1" t="n">
        <v>44774</v>
      </c>
      <c r="C1914" s="1" t="n">
        <v>45627</v>
      </c>
      <c r="D1914" t="inlineStr">
        <is>
          <t>HALLANDS LÄN</t>
        </is>
      </c>
      <c r="E1914" t="inlineStr">
        <is>
          <t>LAHOLM</t>
        </is>
      </c>
      <c r="G1914" t="n">
        <v>1.5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31316-2022</t>
        </is>
      </c>
      <c r="B1915" s="1" t="n">
        <v>44774</v>
      </c>
      <c r="C1915" s="1" t="n">
        <v>45627</v>
      </c>
      <c r="D1915" t="inlineStr">
        <is>
          <t>HALLANDS LÄN</t>
        </is>
      </c>
      <c r="E1915" t="inlineStr">
        <is>
          <t>VARBERG</t>
        </is>
      </c>
      <c r="G1915" t="n">
        <v>3.9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31547-2022</t>
        </is>
      </c>
      <c r="B1916" s="1" t="n">
        <v>44775</v>
      </c>
      <c r="C1916" s="1" t="n">
        <v>45627</v>
      </c>
      <c r="D1916" t="inlineStr">
        <is>
          <t>HALLANDS LÄN</t>
        </is>
      </c>
      <c r="E1916" t="inlineStr">
        <is>
          <t>HALMSTAD</t>
        </is>
      </c>
      <c r="G1916" t="n">
        <v>0.7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31617-2022</t>
        </is>
      </c>
      <c r="B1917" s="1" t="n">
        <v>44775</v>
      </c>
      <c r="C1917" s="1" t="n">
        <v>45627</v>
      </c>
      <c r="D1917" t="inlineStr">
        <is>
          <t>HALLANDS LÄN</t>
        </is>
      </c>
      <c r="E1917" t="inlineStr">
        <is>
          <t>KUNGSBACKA</t>
        </is>
      </c>
      <c r="G1917" t="n">
        <v>1.3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31543-2022</t>
        </is>
      </c>
      <c r="B1918" s="1" t="n">
        <v>44775</v>
      </c>
      <c r="C1918" s="1" t="n">
        <v>45627</v>
      </c>
      <c r="D1918" t="inlineStr">
        <is>
          <t>HALLANDS LÄN</t>
        </is>
      </c>
      <c r="E1918" t="inlineStr">
        <is>
          <t>HALMSTAD</t>
        </is>
      </c>
      <c r="G1918" t="n">
        <v>2.9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31691-2022</t>
        </is>
      </c>
      <c r="B1919" s="1" t="n">
        <v>44776</v>
      </c>
      <c r="C1919" s="1" t="n">
        <v>45627</v>
      </c>
      <c r="D1919" t="inlineStr">
        <is>
          <t>HALLANDS LÄN</t>
        </is>
      </c>
      <c r="E1919" t="inlineStr">
        <is>
          <t>FALKENBERG</t>
        </is>
      </c>
      <c r="G1919" t="n">
        <v>1.6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31838-2022</t>
        </is>
      </c>
      <c r="B1920" s="1" t="n">
        <v>44777</v>
      </c>
      <c r="C1920" s="1" t="n">
        <v>45627</v>
      </c>
      <c r="D1920" t="inlineStr">
        <is>
          <t>HALLANDS LÄN</t>
        </is>
      </c>
      <c r="E1920" t="inlineStr">
        <is>
          <t>HYLTE</t>
        </is>
      </c>
      <c r="G1920" t="n">
        <v>1.3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31887-2022</t>
        </is>
      </c>
      <c r="B1921" s="1" t="n">
        <v>44777</v>
      </c>
      <c r="C1921" s="1" t="n">
        <v>45627</v>
      </c>
      <c r="D1921" t="inlineStr">
        <is>
          <t>HALLANDS LÄN</t>
        </is>
      </c>
      <c r="E1921" t="inlineStr">
        <is>
          <t>KUNGSBACKA</t>
        </is>
      </c>
      <c r="G1921" t="n">
        <v>6.2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31884-2022</t>
        </is>
      </c>
      <c r="B1922" s="1" t="n">
        <v>44777</v>
      </c>
      <c r="C1922" s="1" t="n">
        <v>45627</v>
      </c>
      <c r="D1922" t="inlineStr">
        <is>
          <t>HALLANDS LÄN</t>
        </is>
      </c>
      <c r="E1922" t="inlineStr">
        <is>
          <t>KUNGSBACKA</t>
        </is>
      </c>
      <c r="G1922" t="n">
        <v>1.3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32049-2022</t>
        </is>
      </c>
      <c r="B1923" s="1" t="n">
        <v>44778</v>
      </c>
      <c r="C1923" s="1" t="n">
        <v>45627</v>
      </c>
      <c r="D1923" t="inlineStr">
        <is>
          <t>HALLANDS LÄN</t>
        </is>
      </c>
      <c r="E1923" t="inlineStr">
        <is>
          <t>HYLTE</t>
        </is>
      </c>
      <c r="G1923" t="n">
        <v>0.3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32047-2022</t>
        </is>
      </c>
      <c r="B1924" s="1" t="n">
        <v>44778</v>
      </c>
      <c r="C1924" s="1" t="n">
        <v>45627</v>
      </c>
      <c r="D1924" t="inlineStr">
        <is>
          <t>HALLANDS LÄN</t>
        </is>
      </c>
      <c r="E1924" t="inlineStr">
        <is>
          <t>HYLTE</t>
        </is>
      </c>
      <c r="G1924" t="n">
        <v>4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32052-2022</t>
        </is>
      </c>
      <c r="B1925" s="1" t="n">
        <v>44778</v>
      </c>
      <c r="C1925" s="1" t="n">
        <v>45627</v>
      </c>
      <c r="D1925" t="inlineStr">
        <is>
          <t>HALLANDS LÄN</t>
        </is>
      </c>
      <c r="E1925" t="inlineStr">
        <is>
          <t>HYLTE</t>
        </is>
      </c>
      <c r="G1925" t="n">
        <v>1.8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32051-2022</t>
        </is>
      </c>
      <c r="B1926" s="1" t="n">
        <v>44778</v>
      </c>
      <c r="C1926" s="1" t="n">
        <v>45627</v>
      </c>
      <c r="D1926" t="inlineStr">
        <is>
          <t>HALLANDS LÄN</t>
        </is>
      </c>
      <c r="E1926" t="inlineStr">
        <is>
          <t>HYLTE</t>
        </is>
      </c>
      <c r="G1926" t="n">
        <v>1.1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32699-2022</t>
        </is>
      </c>
      <c r="B1927" s="1" t="n">
        <v>44783</v>
      </c>
      <c r="C1927" s="1" t="n">
        <v>45627</v>
      </c>
      <c r="D1927" t="inlineStr">
        <is>
          <t>HALLANDS LÄN</t>
        </is>
      </c>
      <c r="E1927" t="inlineStr">
        <is>
          <t>KUNGSBACKA</t>
        </is>
      </c>
      <c r="G1927" t="n">
        <v>9.699999999999999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32698-2022</t>
        </is>
      </c>
      <c r="B1928" s="1" t="n">
        <v>44783</v>
      </c>
      <c r="C1928" s="1" t="n">
        <v>45627</v>
      </c>
      <c r="D1928" t="inlineStr">
        <is>
          <t>HALLANDS LÄN</t>
        </is>
      </c>
      <c r="E1928" t="inlineStr">
        <is>
          <t>KUNGSBACKA</t>
        </is>
      </c>
      <c r="G1928" t="n">
        <v>18.8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32549-2022</t>
        </is>
      </c>
      <c r="B1929" s="1" t="n">
        <v>44783</v>
      </c>
      <c r="C1929" s="1" t="n">
        <v>45627</v>
      </c>
      <c r="D1929" t="inlineStr">
        <is>
          <t>HALLANDS LÄN</t>
        </is>
      </c>
      <c r="E1929" t="inlineStr">
        <is>
          <t>FALKENBERG</t>
        </is>
      </c>
      <c r="G1929" t="n">
        <v>1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33041-2022</t>
        </is>
      </c>
      <c r="B1930" s="1" t="n">
        <v>44785</v>
      </c>
      <c r="C1930" s="1" t="n">
        <v>45627</v>
      </c>
      <c r="D1930" t="inlineStr">
        <is>
          <t>HALLANDS LÄN</t>
        </is>
      </c>
      <c r="E1930" t="inlineStr">
        <is>
          <t>FALKENBERG</t>
        </is>
      </c>
      <c r="G1930" t="n">
        <v>1.4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33646-2022</t>
        </is>
      </c>
      <c r="B1931" s="1" t="n">
        <v>44789</v>
      </c>
      <c r="C1931" s="1" t="n">
        <v>45627</v>
      </c>
      <c r="D1931" t="inlineStr">
        <is>
          <t>HALLANDS LÄN</t>
        </is>
      </c>
      <c r="E1931" t="inlineStr">
        <is>
          <t>KUNGSBACKA</t>
        </is>
      </c>
      <c r="G1931" t="n">
        <v>0.7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34211-2022</t>
        </is>
      </c>
      <c r="B1932" s="1" t="n">
        <v>44791</v>
      </c>
      <c r="C1932" s="1" t="n">
        <v>45627</v>
      </c>
      <c r="D1932" t="inlineStr">
        <is>
          <t>HALLANDS LÄN</t>
        </is>
      </c>
      <c r="E1932" t="inlineStr">
        <is>
          <t>KUNGSBACKA</t>
        </is>
      </c>
      <c r="G1932" t="n">
        <v>6.9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34628-2022</t>
        </is>
      </c>
      <c r="B1933" s="1" t="n">
        <v>44795</v>
      </c>
      <c r="C1933" s="1" t="n">
        <v>45627</v>
      </c>
      <c r="D1933" t="inlineStr">
        <is>
          <t>HALLANDS LÄN</t>
        </is>
      </c>
      <c r="E1933" t="inlineStr">
        <is>
          <t>HYLTE</t>
        </is>
      </c>
      <c r="G1933" t="n">
        <v>0.5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34922-2022</t>
        </is>
      </c>
      <c r="B1934" s="1" t="n">
        <v>44796</v>
      </c>
      <c r="C1934" s="1" t="n">
        <v>45627</v>
      </c>
      <c r="D1934" t="inlineStr">
        <is>
          <t>HALLANDS LÄN</t>
        </is>
      </c>
      <c r="E1934" t="inlineStr">
        <is>
          <t>HALMSTAD</t>
        </is>
      </c>
      <c r="G1934" t="n">
        <v>0.5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34902-2022</t>
        </is>
      </c>
      <c r="B1935" s="1" t="n">
        <v>44796</v>
      </c>
      <c r="C1935" s="1" t="n">
        <v>45627</v>
      </c>
      <c r="D1935" t="inlineStr">
        <is>
          <t>HALLANDS LÄN</t>
        </is>
      </c>
      <c r="E1935" t="inlineStr">
        <is>
          <t>HYLTE</t>
        </is>
      </c>
      <c r="G1935" t="n">
        <v>2.7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34899-2022</t>
        </is>
      </c>
      <c r="B1936" s="1" t="n">
        <v>44796</v>
      </c>
      <c r="C1936" s="1" t="n">
        <v>45627</v>
      </c>
      <c r="D1936" t="inlineStr">
        <is>
          <t>HALLANDS LÄN</t>
        </is>
      </c>
      <c r="E1936" t="inlineStr">
        <is>
          <t>HYLTE</t>
        </is>
      </c>
      <c r="G1936" t="n">
        <v>1.9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34975-2022</t>
        </is>
      </c>
      <c r="B1937" s="1" t="n">
        <v>44796</v>
      </c>
      <c r="C1937" s="1" t="n">
        <v>45627</v>
      </c>
      <c r="D1937" t="inlineStr">
        <is>
          <t>HALLANDS LÄN</t>
        </is>
      </c>
      <c r="E1937" t="inlineStr">
        <is>
          <t>HYLTE</t>
        </is>
      </c>
      <c r="G1937" t="n">
        <v>0.8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34985-2022</t>
        </is>
      </c>
      <c r="B1938" s="1" t="n">
        <v>44796</v>
      </c>
      <c r="C1938" s="1" t="n">
        <v>45627</v>
      </c>
      <c r="D1938" t="inlineStr">
        <is>
          <t>HALLANDS LÄN</t>
        </is>
      </c>
      <c r="E1938" t="inlineStr">
        <is>
          <t>LAHOLM</t>
        </is>
      </c>
      <c r="G1938" t="n">
        <v>1.2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35137-2022</t>
        </is>
      </c>
      <c r="B1939" s="1" t="n">
        <v>44797</v>
      </c>
      <c r="C1939" s="1" t="n">
        <v>45627</v>
      </c>
      <c r="D1939" t="inlineStr">
        <is>
          <t>HALLANDS LÄN</t>
        </is>
      </c>
      <c r="E1939" t="inlineStr">
        <is>
          <t>VARBERG</t>
        </is>
      </c>
      <c r="G1939" t="n">
        <v>3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35117-2022</t>
        </is>
      </c>
      <c r="B1940" s="1" t="n">
        <v>44797</v>
      </c>
      <c r="C1940" s="1" t="n">
        <v>45627</v>
      </c>
      <c r="D1940" t="inlineStr">
        <is>
          <t>HALLANDS LÄN</t>
        </is>
      </c>
      <c r="E1940" t="inlineStr">
        <is>
          <t>HYLTE</t>
        </is>
      </c>
      <c r="G1940" t="n">
        <v>0.6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35138-2022</t>
        </is>
      </c>
      <c r="B1941" s="1" t="n">
        <v>44797</v>
      </c>
      <c r="C1941" s="1" t="n">
        <v>45627</v>
      </c>
      <c r="D1941" t="inlineStr">
        <is>
          <t>HALLANDS LÄN</t>
        </is>
      </c>
      <c r="E1941" t="inlineStr">
        <is>
          <t>VARBERG</t>
        </is>
      </c>
      <c r="G1941" t="n">
        <v>0.9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35140-2022</t>
        </is>
      </c>
      <c r="B1942" s="1" t="n">
        <v>44797</v>
      </c>
      <c r="C1942" s="1" t="n">
        <v>45627</v>
      </c>
      <c r="D1942" t="inlineStr">
        <is>
          <t>HALLANDS LÄN</t>
        </is>
      </c>
      <c r="E1942" t="inlineStr">
        <is>
          <t>VARBERG</t>
        </is>
      </c>
      <c r="G1942" t="n">
        <v>1.6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35795-2022</t>
        </is>
      </c>
      <c r="B1943" s="1" t="n">
        <v>44801</v>
      </c>
      <c r="C1943" s="1" t="n">
        <v>45627</v>
      </c>
      <c r="D1943" t="inlineStr">
        <is>
          <t>HALLANDS LÄN</t>
        </is>
      </c>
      <c r="E1943" t="inlineStr">
        <is>
          <t>HYLTE</t>
        </is>
      </c>
      <c r="G1943" t="n">
        <v>0.3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35891-2022</t>
        </is>
      </c>
      <c r="B1944" s="1" t="n">
        <v>44802</v>
      </c>
      <c r="C1944" s="1" t="n">
        <v>45627</v>
      </c>
      <c r="D1944" t="inlineStr">
        <is>
          <t>HALLANDS LÄN</t>
        </is>
      </c>
      <c r="E1944" t="inlineStr">
        <is>
          <t>LAHOLM</t>
        </is>
      </c>
      <c r="G1944" t="n">
        <v>1.7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35897-2022</t>
        </is>
      </c>
      <c r="B1945" s="1" t="n">
        <v>44802</v>
      </c>
      <c r="C1945" s="1" t="n">
        <v>45627</v>
      </c>
      <c r="D1945" t="inlineStr">
        <is>
          <t>HALLANDS LÄN</t>
        </is>
      </c>
      <c r="E1945" t="inlineStr">
        <is>
          <t>LAHOLM</t>
        </is>
      </c>
      <c r="G1945" t="n">
        <v>1.9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38174-2022</t>
        </is>
      </c>
      <c r="B1946" s="1" t="n">
        <v>44802</v>
      </c>
      <c r="C1946" s="1" t="n">
        <v>45627</v>
      </c>
      <c r="D1946" t="inlineStr">
        <is>
          <t>HALLANDS LÄN</t>
        </is>
      </c>
      <c r="E1946" t="inlineStr">
        <is>
          <t>HALMSTAD</t>
        </is>
      </c>
      <c r="G1946" t="n">
        <v>1.9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36242-2022</t>
        </is>
      </c>
      <c r="B1947" s="1" t="n">
        <v>44803</v>
      </c>
      <c r="C1947" s="1" t="n">
        <v>45627</v>
      </c>
      <c r="D1947" t="inlineStr">
        <is>
          <t>HALLANDS LÄN</t>
        </is>
      </c>
      <c r="E1947" t="inlineStr">
        <is>
          <t>FALKENBERG</t>
        </is>
      </c>
      <c r="G1947" t="n">
        <v>0.4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36246-2022</t>
        </is>
      </c>
      <c r="B1948" s="1" t="n">
        <v>44803</v>
      </c>
      <c r="C1948" s="1" t="n">
        <v>45627</v>
      </c>
      <c r="D1948" t="inlineStr">
        <is>
          <t>HALLANDS LÄN</t>
        </is>
      </c>
      <c r="E1948" t="inlineStr">
        <is>
          <t>FALKENBERG</t>
        </is>
      </c>
      <c r="G1948" t="n">
        <v>1.2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36670-2022</t>
        </is>
      </c>
      <c r="B1949" s="1" t="n">
        <v>44804</v>
      </c>
      <c r="C1949" s="1" t="n">
        <v>45627</v>
      </c>
      <c r="D1949" t="inlineStr">
        <is>
          <t>HALLANDS LÄN</t>
        </is>
      </c>
      <c r="E1949" t="inlineStr">
        <is>
          <t>KUNGSBACKA</t>
        </is>
      </c>
      <c r="G1949" t="n">
        <v>4.1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36980-2022</t>
        </is>
      </c>
      <c r="B1950" s="1" t="n">
        <v>44806</v>
      </c>
      <c r="C1950" s="1" t="n">
        <v>45627</v>
      </c>
      <c r="D1950" t="inlineStr">
        <is>
          <t>HALLANDS LÄN</t>
        </is>
      </c>
      <c r="E1950" t="inlineStr">
        <is>
          <t>FALKENBERG</t>
        </is>
      </c>
      <c r="G1950" t="n">
        <v>4.2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36995-2022</t>
        </is>
      </c>
      <c r="B1951" s="1" t="n">
        <v>44806</v>
      </c>
      <c r="C1951" s="1" t="n">
        <v>45627</v>
      </c>
      <c r="D1951" t="inlineStr">
        <is>
          <t>HALLANDS LÄN</t>
        </is>
      </c>
      <c r="E1951" t="inlineStr">
        <is>
          <t>FALKENBERG</t>
        </is>
      </c>
      <c r="G1951" t="n">
        <v>3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37150-2022</t>
        </is>
      </c>
      <c r="B1952" s="1" t="n">
        <v>44806</v>
      </c>
      <c r="C1952" s="1" t="n">
        <v>45627</v>
      </c>
      <c r="D1952" t="inlineStr">
        <is>
          <t>HALLANDS LÄN</t>
        </is>
      </c>
      <c r="E1952" t="inlineStr">
        <is>
          <t>FALKENBERG</t>
        </is>
      </c>
      <c r="G1952" t="n">
        <v>4.6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37161-2022</t>
        </is>
      </c>
      <c r="B1953" s="1" t="n">
        <v>44806</v>
      </c>
      <c r="C1953" s="1" t="n">
        <v>45627</v>
      </c>
      <c r="D1953" t="inlineStr">
        <is>
          <t>HALLANDS LÄN</t>
        </is>
      </c>
      <c r="E1953" t="inlineStr">
        <is>
          <t>HALMSTAD</t>
        </is>
      </c>
      <c r="G1953" t="n">
        <v>1.3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37163-2022</t>
        </is>
      </c>
      <c r="B1954" s="1" t="n">
        <v>44806</v>
      </c>
      <c r="C1954" s="1" t="n">
        <v>45627</v>
      </c>
      <c r="D1954" t="inlineStr">
        <is>
          <t>HALLANDS LÄN</t>
        </is>
      </c>
      <c r="E1954" t="inlineStr">
        <is>
          <t>FALKENBERG</t>
        </is>
      </c>
      <c r="G1954" t="n">
        <v>1.2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37672-2022</t>
        </is>
      </c>
      <c r="B1955" s="1" t="n">
        <v>44810</v>
      </c>
      <c r="C1955" s="1" t="n">
        <v>45627</v>
      </c>
      <c r="D1955" t="inlineStr">
        <is>
          <t>HALLANDS LÄN</t>
        </is>
      </c>
      <c r="E1955" t="inlineStr">
        <is>
          <t>LAHOLM</t>
        </is>
      </c>
      <c r="G1955" t="n">
        <v>2.7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37705-2022</t>
        </is>
      </c>
      <c r="B1956" s="1" t="n">
        <v>44810</v>
      </c>
      <c r="C1956" s="1" t="n">
        <v>45627</v>
      </c>
      <c r="D1956" t="inlineStr">
        <is>
          <t>HALLANDS LÄN</t>
        </is>
      </c>
      <c r="E1956" t="inlineStr">
        <is>
          <t>LAHOLM</t>
        </is>
      </c>
      <c r="G1956" t="n">
        <v>1.8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37606-2022</t>
        </is>
      </c>
      <c r="B1957" s="1" t="n">
        <v>44810</v>
      </c>
      <c r="C1957" s="1" t="n">
        <v>45627</v>
      </c>
      <c r="D1957" t="inlineStr">
        <is>
          <t>HALLANDS LÄN</t>
        </is>
      </c>
      <c r="E1957" t="inlineStr">
        <is>
          <t>HYLTE</t>
        </is>
      </c>
      <c r="G1957" t="n">
        <v>0.9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37725-2022</t>
        </is>
      </c>
      <c r="B1958" s="1" t="n">
        <v>44810</v>
      </c>
      <c r="C1958" s="1" t="n">
        <v>45627</v>
      </c>
      <c r="D1958" t="inlineStr">
        <is>
          <t>HALLANDS LÄN</t>
        </is>
      </c>
      <c r="E1958" t="inlineStr">
        <is>
          <t>LAHOLM</t>
        </is>
      </c>
      <c r="G1958" t="n">
        <v>3.7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37849-2022</t>
        </is>
      </c>
      <c r="B1959" s="1" t="n">
        <v>44811</v>
      </c>
      <c r="C1959" s="1" t="n">
        <v>45627</v>
      </c>
      <c r="D1959" t="inlineStr">
        <is>
          <t>HALLANDS LÄN</t>
        </is>
      </c>
      <c r="E1959" t="inlineStr">
        <is>
          <t>VARBERG</t>
        </is>
      </c>
      <c r="G1959" t="n">
        <v>1.3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37971-2022</t>
        </is>
      </c>
      <c r="B1960" s="1" t="n">
        <v>44811</v>
      </c>
      <c r="C1960" s="1" t="n">
        <v>45627</v>
      </c>
      <c r="D1960" t="inlineStr">
        <is>
          <t>HALLANDS LÄN</t>
        </is>
      </c>
      <c r="E1960" t="inlineStr">
        <is>
          <t>VARBERG</t>
        </is>
      </c>
      <c r="G1960" t="n">
        <v>2.2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38010-2022</t>
        </is>
      </c>
      <c r="B1961" s="1" t="n">
        <v>44811</v>
      </c>
      <c r="C1961" s="1" t="n">
        <v>45627</v>
      </c>
      <c r="D1961" t="inlineStr">
        <is>
          <t>HALLANDS LÄN</t>
        </is>
      </c>
      <c r="E1961" t="inlineStr">
        <is>
          <t>FALKENBERG</t>
        </is>
      </c>
      <c r="G1961" t="n">
        <v>0.8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38170-2022</t>
        </is>
      </c>
      <c r="B1962" s="1" t="n">
        <v>44812</v>
      </c>
      <c r="C1962" s="1" t="n">
        <v>45627</v>
      </c>
      <c r="D1962" t="inlineStr">
        <is>
          <t>HALLANDS LÄN</t>
        </is>
      </c>
      <c r="E1962" t="inlineStr">
        <is>
          <t>HYLTE</t>
        </is>
      </c>
      <c r="G1962" t="n">
        <v>0.5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38140-2022</t>
        </is>
      </c>
      <c r="B1963" s="1" t="n">
        <v>44812</v>
      </c>
      <c r="C1963" s="1" t="n">
        <v>45627</v>
      </c>
      <c r="D1963" t="inlineStr">
        <is>
          <t>HALLANDS LÄN</t>
        </is>
      </c>
      <c r="E1963" t="inlineStr">
        <is>
          <t>FALKENBERG</t>
        </is>
      </c>
      <c r="G1963" t="n">
        <v>2.7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38226-2022</t>
        </is>
      </c>
      <c r="B1964" s="1" t="n">
        <v>44812</v>
      </c>
      <c r="C1964" s="1" t="n">
        <v>45627</v>
      </c>
      <c r="D1964" t="inlineStr">
        <is>
          <t>HALLANDS LÄN</t>
        </is>
      </c>
      <c r="E1964" t="inlineStr">
        <is>
          <t>VARBERG</t>
        </is>
      </c>
      <c r="G1964" t="n">
        <v>1.7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38309-2022</t>
        </is>
      </c>
      <c r="B1965" s="1" t="n">
        <v>44812</v>
      </c>
      <c r="C1965" s="1" t="n">
        <v>45627</v>
      </c>
      <c r="D1965" t="inlineStr">
        <is>
          <t>HALLANDS LÄN</t>
        </is>
      </c>
      <c r="E1965" t="inlineStr">
        <is>
          <t>HALMSTAD</t>
        </is>
      </c>
      <c r="G1965" t="n">
        <v>1.2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38589-2022</t>
        </is>
      </c>
      <c r="B1966" s="1" t="n">
        <v>44813</v>
      </c>
      <c r="C1966" s="1" t="n">
        <v>45627</v>
      </c>
      <c r="D1966" t="inlineStr">
        <is>
          <t>HALLANDS LÄN</t>
        </is>
      </c>
      <c r="E1966" t="inlineStr">
        <is>
          <t>FALKENBERG</t>
        </is>
      </c>
      <c r="G1966" t="n">
        <v>5.6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38602-2022</t>
        </is>
      </c>
      <c r="B1967" s="1" t="n">
        <v>44813</v>
      </c>
      <c r="C1967" s="1" t="n">
        <v>45627</v>
      </c>
      <c r="D1967" t="inlineStr">
        <is>
          <t>HALLANDS LÄN</t>
        </is>
      </c>
      <c r="E1967" t="inlineStr">
        <is>
          <t>HYLTE</t>
        </is>
      </c>
      <c r="G1967" t="n">
        <v>2.6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38582-2022</t>
        </is>
      </c>
      <c r="B1968" s="1" t="n">
        <v>44813</v>
      </c>
      <c r="C1968" s="1" t="n">
        <v>45627</v>
      </c>
      <c r="D1968" t="inlineStr">
        <is>
          <t>HALLANDS LÄN</t>
        </is>
      </c>
      <c r="E1968" t="inlineStr">
        <is>
          <t>FALKENBERG</t>
        </is>
      </c>
      <c r="G1968" t="n">
        <v>1.3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38600-2022</t>
        </is>
      </c>
      <c r="B1969" s="1" t="n">
        <v>44813</v>
      </c>
      <c r="C1969" s="1" t="n">
        <v>45627</v>
      </c>
      <c r="D1969" t="inlineStr">
        <is>
          <t>HALLANDS LÄN</t>
        </is>
      </c>
      <c r="E1969" t="inlineStr">
        <is>
          <t>HYLTE</t>
        </is>
      </c>
      <c r="G1969" t="n">
        <v>2.5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38642-2022</t>
        </is>
      </c>
      <c r="B1970" s="1" t="n">
        <v>44813</v>
      </c>
      <c r="C1970" s="1" t="n">
        <v>45627</v>
      </c>
      <c r="D1970" t="inlineStr">
        <is>
          <t>HALLANDS LÄN</t>
        </is>
      </c>
      <c r="E1970" t="inlineStr">
        <is>
          <t>HYLTE</t>
        </is>
      </c>
      <c r="G1970" t="n">
        <v>3.8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38804-2022</t>
        </is>
      </c>
      <c r="B1971" s="1" t="n">
        <v>44816</v>
      </c>
      <c r="C1971" s="1" t="n">
        <v>45627</v>
      </c>
      <c r="D1971" t="inlineStr">
        <is>
          <t>HALLANDS LÄN</t>
        </is>
      </c>
      <c r="E1971" t="inlineStr">
        <is>
          <t>FALKENBERG</t>
        </is>
      </c>
      <c r="G1971" t="n">
        <v>3.8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39143-2022</t>
        </is>
      </c>
      <c r="B1972" s="1" t="n">
        <v>44817</v>
      </c>
      <c r="C1972" s="1" t="n">
        <v>45627</v>
      </c>
      <c r="D1972" t="inlineStr">
        <is>
          <t>HALLANDS LÄN</t>
        </is>
      </c>
      <c r="E1972" t="inlineStr">
        <is>
          <t>HYLTE</t>
        </is>
      </c>
      <c r="G1972" t="n">
        <v>1.9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39274-2022</t>
        </is>
      </c>
      <c r="B1973" s="1" t="n">
        <v>44817</v>
      </c>
      <c r="C1973" s="1" t="n">
        <v>45627</v>
      </c>
      <c r="D1973" t="inlineStr">
        <is>
          <t>HALLANDS LÄN</t>
        </is>
      </c>
      <c r="E1973" t="inlineStr">
        <is>
          <t>HALMSTAD</t>
        </is>
      </c>
      <c r="G1973" t="n">
        <v>2.9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39466-2022</t>
        </is>
      </c>
      <c r="B1974" s="1" t="n">
        <v>44818</v>
      </c>
      <c r="C1974" s="1" t="n">
        <v>45627</v>
      </c>
      <c r="D1974" t="inlineStr">
        <is>
          <t>HALLANDS LÄN</t>
        </is>
      </c>
      <c r="E1974" t="inlineStr">
        <is>
          <t>VARBERG</t>
        </is>
      </c>
      <c r="G1974" t="n">
        <v>3.4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39461-2022</t>
        </is>
      </c>
      <c r="B1975" s="1" t="n">
        <v>44818</v>
      </c>
      <c r="C1975" s="1" t="n">
        <v>45627</v>
      </c>
      <c r="D1975" t="inlineStr">
        <is>
          <t>HALLANDS LÄN</t>
        </is>
      </c>
      <c r="E1975" t="inlineStr">
        <is>
          <t>VARBERG</t>
        </is>
      </c>
      <c r="G1975" t="n">
        <v>3.2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39464-2022</t>
        </is>
      </c>
      <c r="B1976" s="1" t="n">
        <v>44818</v>
      </c>
      <c r="C1976" s="1" t="n">
        <v>45627</v>
      </c>
      <c r="D1976" t="inlineStr">
        <is>
          <t>HALLANDS LÄN</t>
        </is>
      </c>
      <c r="E1976" t="inlineStr">
        <is>
          <t>VARBERG</t>
        </is>
      </c>
      <c r="G1976" t="n">
        <v>2.5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39505-2022</t>
        </is>
      </c>
      <c r="B1977" s="1" t="n">
        <v>44818</v>
      </c>
      <c r="C1977" s="1" t="n">
        <v>45627</v>
      </c>
      <c r="D1977" t="inlineStr">
        <is>
          <t>HALLANDS LÄN</t>
        </is>
      </c>
      <c r="E1977" t="inlineStr">
        <is>
          <t>HALMSTAD</t>
        </is>
      </c>
      <c r="G1977" t="n">
        <v>2.3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39550-2022</t>
        </is>
      </c>
      <c r="B1978" s="1" t="n">
        <v>44818</v>
      </c>
      <c r="C1978" s="1" t="n">
        <v>45627</v>
      </c>
      <c r="D1978" t="inlineStr">
        <is>
          <t>HALLANDS LÄN</t>
        </is>
      </c>
      <c r="E1978" t="inlineStr">
        <is>
          <t>HYLTE</t>
        </is>
      </c>
      <c r="G1978" t="n">
        <v>0.5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39593-2022</t>
        </is>
      </c>
      <c r="B1979" s="1" t="n">
        <v>44818</v>
      </c>
      <c r="C1979" s="1" t="n">
        <v>45627</v>
      </c>
      <c r="D1979" t="inlineStr">
        <is>
          <t>HALLANDS LÄN</t>
        </is>
      </c>
      <c r="E1979" t="inlineStr">
        <is>
          <t>FALKENBERG</t>
        </is>
      </c>
      <c r="F1979" t="inlineStr">
        <is>
          <t>Bergvik skog väst AB</t>
        </is>
      </c>
      <c r="G1979" t="n">
        <v>3.1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39604-2022</t>
        </is>
      </c>
      <c r="B1980" s="1" t="n">
        <v>44818</v>
      </c>
      <c r="C1980" s="1" t="n">
        <v>45627</v>
      </c>
      <c r="D1980" t="inlineStr">
        <is>
          <t>HALLANDS LÄN</t>
        </is>
      </c>
      <c r="E1980" t="inlineStr">
        <is>
          <t>FALKENBERG</t>
        </is>
      </c>
      <c r="F1980" t="inlineStr">
        <is>
          <t>Bergvik skog väst AB</t>
        </is>
      </c>
      <c r="G1980" t="n">
        <v>2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40582-2022</t>
        </is>
      </c>
      <c r="B1981" s="1" t="n">
        <v>44819</v>
      </c>
      <c r="C1981" s="1" t="n">
        <v>45627</v>
      </c>
      <c r="D1981" t="inlineStr">
        <is>
          <t>HALLANDS LÄN</t>
        </is>
      </c>
      <c r="E1981" t="inlineStr">
        <is>
          <t>KUNGSBACKA</t>
        </is>
      </c>
      <c r="G1981" t="n">
        <v>4.1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40396-2022</t>
        </is>
      </c>
      <c r="B1982" s="1" t="n">
        <v>44823</v>
      </c>
      <c r="C1982" s="1" t="n">
        <v>45627</v>
      </c>
      <c r="D1982" t="inlineStr">
        <is>
          <t>HALLANDS LÄN</t>
        </is>
      </c>
      <c r="E1982" t="inlineStr">
        <is>
          <t>HALMSTAD</t>
        </is>
      </c>
      <c r="G1982" t="n">
        <v>1.2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40398-2022</t>
        </is>
      </c>
      <c r="B1983" s="1" t="n">
        <v>44823</v>
      </c>
      <c r="C1983" s="1" t="n">
        <v>45627</v>
      </c>
      <c r="D1983" t="inlineStr">
        <is>
          <t>HALLANDS LÄN</t>
        </is>
      </c>
      <c r="E1983" t="inlineStr">
        <is>
          <t>HALMSTAD</t>
        </is>
      </c>
      <c r="G1983" t="n">
        <v>2.7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40450-2022</t>
        </is>
      </c>
      <c r="B1984" s="1" t="n">
        <v>44823</v>
      </c>
      <c r="C1984" s="1" t="n">
        <v>45627</v>
      </c>
      <c r="D1984" t="inlineStr">
        <is>
          <t>HALLANDS LÄN</t>
        </is>
      </c>
      <c r="E1984" t="inlineStr">
        <is>
          <t>HYLTE</t>
        </is>
      </c>
      <c r="G1984" t="n">
        <v>0.6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40451-2022</t>
        </is>
      </c>
      <c r="B1985" s="1" t="n">
        <v>44823</v>
      </c>
      <c r="C1985" s="1" t="n">
        <v>45627</v>
      </c>
      <c r="D1985" t="inlineStr">
        <is>
          <t>HALLANDS LÄN</t>
        </is>
      </c>
      <c r="E1985" t="inlineStr">
        <is>
          <t>HYLTE</t>
        </is>
      </c>
      <c r="G1985" t="n">
        <v>7.4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40408-2022</t>
        </is>
      </c>
      <c r="B1986" s="1" t="n">
        <v>44823</v>
      </c>
      <c r="C1986" s="1" t="n">
        <v>45627</v>
      </c>
      <c r="D1986" t="inlineStr">
        <is>
          <t>HALLANDS LÄN</t>
        </is>
      </c>
      <c r="E1986" t="inlineStr">
        <is>
          <t>HALMSTAD</t>
        </is>
      </c>
      <c r="G1986" t="n">
        <v>0.8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40760-2022</t>
        </is>
      </c>
      <c r="B1987" s="1" t="n">
        <v>44824</v>
      </c>
      <c r="C1987" s="1" t="n">
        <v>45627</v>
      </c>
      <c r="D1987" t="inlineStr">
        <is>
          <t>HALLANDS LÄN</t>
        </is>
      </c>
      <c r="E1987" t="inlineStr">
        <is>
          <t>KUNGSBACKA</t>
        </is>
      </c>
      <c r="G1987" t="n">
        <v>1.9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41341-2022</t>
        </is>
      </c>
      <c r="B1988" s="1" t="n">
        <v>44824</v>
      </c>
      <c r="C1988" s="1" t="n">
        <v>45627</v>
      </c>
      <c r="D1988" t="inlineStr">
        <is>
          <t>HALLANDS LÄN</t>
        </is>
      </c>
      <c r="E1988" t="inlineStr">
        <is>
          <t>VARBERG</t>
        </is>
      </c>
      <c r="G1988" t="n">
        <v>1.4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41238-2022</t>
        </is>
      </c>
      <c r="B1989" s="1" t="n">
        <v>44826</v>
      </c>
      <c r="C1989" s="1" t="n">
        <v>45627</v>
      </c>
      <c r="D1989" t="inlineStr">
        <is>
          <t>HALLANDS LÄN</t>
        </is>
      </c>
      <c r="E1989" t="inlineStr">
        <is>
          <t>HYLTE</t>
        </is>
      </c>
      <c r="G1989" t="n">
        <v>1.1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41523-2022</t>
        </is>
      </c>
      <c r="B1990" s="1" t="n">
        <v>44827</v>
      </c>
      <c r="C1990" s="1" t="n">
        <v>45627</v>
      </c>
      <c r="D1990" t="inlineStr">
        <is>
          <t>HALLANDS LÄN</t>
        </is>
      </c>
      <c r="E1990" t="inlineStr">
        <is>
          <t>FALKENBERG</t>
        </is>
      </c>
      <c r="G1990" t="n">
        <v>0.9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41629-2022</t>
        </is>
      </c>
      <c r="B1991" s="1" t="n">
        <v>44827</v>
      </c>
      <c r="C1991" s="1" t="n">
        <v>45627</v>
      </c>
      <c r="D1991" t="inlineStr">
        <is>
          <t>HALLANDS LÄN</t>
        </is>
      </c>
      <c r="E1991" t="inlineStr">
        <is>
          <t>VARBERG</t>
        </is>
      </c>
      <c r="G1991" t="n">
        <v>1.2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41568-2022</t>
        </is>
      </c>
      <c r="B1992" s="1" t="n">
        <v>44827</v>
      </c>
      <c r="C1992" s="1" t="n">
        <v>45627</v>
      </c>
      <c r="D1992" t="inlineStr">
        <is>
          <t>HALLANDS LÄN</t>
        </is>
      </c>
      <c r="E1992" t="inlineStr">
        <is>
          <t>LAHOLM</t>
        </is>
      </c>
      <c r="G1992" t="n">
        <v>0.7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41633-2022</t>
        </is>
      </c>
      <c r="B1993" s="1" t="n">
        <v>44827</v>
      </c>
      <c r="C1993" s="1" t="n">
        <v>45627</v>
      </c>
      <c r="D1993" t="inlineStr">
        <is>
          <t>HALLANDS LÄN</t>
        </is>
      </c>
      <c r="E1993" t="inlineStr">
        <is>
          <t>HALMSTAD</t>
        </is>
      </c>
      <c r="G1993" t="n">
        <v>0.5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41573-2022</t>
        </is>
      </c>
      <c r="B1994" s="1" t="n">
        <v>44827</v>
      </c>
      <c r="C1994" s="1" t="n">
        <v>45627</v>
      </c>
      <c r="D1994" t="inlineStr">
        <is>
          <t>HALLANDS LÄN</t>
        </is>
      </c>
      <c r="E1994" t="inlineStr">
        <is>
          <t>LAHOLM</t>
        </is>
      </c>
      <c r="G1994" t="n">
        <v>1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41612-2022</t>
        </is>
      </c>
      <c r="B1995" s="1" t="n">
        <v>44827</v>
      </c>
      <c r="C1995" s="1" t="n">
        <v>45627</v>
      </c>
      <c r="D1995" t="inlineStr">
        <is>
          <t>HALLANDS LÄN</t>
        </is>
      </c>
      <c r="E1995" t="inlineStr">
        <is>
          <t>HALMSTAD</t>
        </is>
      </c>
      <c r="G1995" t="n">
        <v>1.7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41626-2022</t>
        </is>
      </c>
      <c r="B1996" s="1" t="n">
        <v>44827</v>
      </c>
      <c r="C1996" s="1" t="n">
        <v>45627</v>
      </c>
      <c r="D1996" t="inlineStr">
        <is>
          <t>HALLANDS LÄN</t>
        </is>
      </c>
      <c r="E1996" t="inlineStr">
        <is>
          <t>HALMSTAD</t>
        </is>
      </c>
      <c r="G1996" t="n">
        <v>0.8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41526-2022</t>
        </is>
      </c>
      <c r="B1997" s="1" t="n">
        <v>44827</v>
      </c>
      <c r="C1997" s="1" t="n">
        <v>45627</v>
      </c>
      <c r="D1997" t="inlineStr">
        <is>
          <t>HALLANDS LÄN</t>
        </is>
      </c>
      <c r="E1997" t="inlineStr">
        <is>
          <t>FALKENBERG</t>
        </is>
      </c>
      <c r="G1997" t="n">
        <v>4.9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41610-2022</t>
        </is>
      </c>
      <c r="B1998" s="1" t="n">
        <v>44827</v>
      </c>
      <c r="C1998" s="1" t="n">
        <v>45627</v>
      </c>
      <c r="D1998" t="inlineStr">
        <is>
          <t>HALLANDS LÄN</t>
        </is>
      </c>
      <c r="E1998" t="inlineStr">
        <is>
          <t>FALKENBERG</t>
        </is>
      </c>
      <c r="G1998" t="n">
        <v>3.2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41631-2022</t>
        </is>
      </c>
      <c r="B1999" s="1" t="n">
        <v>44827</v>
      </c>
      <c r="C1999" s="1" t="n">
        <v>45627</v>
      </c>
      <c r="D1999" t="inlineStr">
        <is>
          <t>HALLANDS LÄN</t>
        </is>
      </c>
      <c r="E1999" t="inlineStr">
        <is>
          <t>HALMSTAD</t>
        </is>
      </c>
      <c r="G1999" t="n">
        <v>0.8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41767-2022</t>
        </is>
      </c>
      <c r="B2000" s="1" t="n">
        <v>44827</v>
      </c>
      <c r="C2000" s="1" t="n">
        <v>45627</v>
      </c>
      <c r="D2000" t="inlineStr">
        <is>
          <t>HALLANDS LÄN</t>
        </is>
      </c>
      <c r="E2000" t="inlineStr">
        <is>
          <t>HYLTE</t>
        </is>
      </c>
      <c r="G2000" t="n">
        <v>0.7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41832-2022</t>
        </is>
      </c>
      <c r="B2001" s="1" t="n">
        <v>44828</v>
      </c>
      <c r="C2001" s="1" t="n">
        <v>45627</v>
      </c>
      <c r="D2001" t="inlineStr">
        <is>
          <t>HALLANDS LÄN</t>
        </is>
      </c>
      <c r="E2001" t="inlineStr">
        <is>
          <t>VARBERG</t>
        </is>
      </c>
      <c r="G2001" t="n">
        <v>3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41834-2022</t>
        </is>
      </c>
      <c r="B2002" s="1" t="n">
        <v>44828</v>
      </c>
      <c r="C2002" s="1" t="n">
        <v>45627</v>
      </c>
      <c r="D2002" t="inlineStr">
        <is>
          <t>HALLANDS LÄN</t>
        </is>
      </c>
      <c r="E2002" t="inlineStr">
        <is>
          <t>VARBERG</t>
        </is>
      </c>
      <c r="G2002" t="n">
        <v>0.8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41864-2022</t>
        </is>
      </c>
      <c r="B2003" s="1" t="n">
        <v>44829</v>
      </c>
      <c r="C2003" s="1" t="n">
        <v>45627</v>
      </c>
      <c r="D2003" t="inlineStr">
        <is>
          <t>HALLANDS LÄN</t>
        </is>
      </c>
      <c r="E2003" t="inlineStr">
        <is>
          <t>VARBERG</t>
        </is>
      </c>
      <c r="G2003" t="n">
        <v>2.6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42120-2022</t>
        </is>
      </c>
      <c r="B2004" s="1" t="n">
        <v>44830</v>
      </c>
      <c r="C2004" s="1" t="n">
        <v>45627</v>
      </c>
      <c r="D2004" t="inlineStr">
        <is>
          <t>HALLANDS LÄN</t>
        </is>
      </c>
      <c r="E2004" t="inlineStr">
        <is>
          <t>HYLTE</t>
        </is>
      </c>
      <c r="G2004" t="n">
        <v>0.7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41951-2022</t>
        </is>
      </c>
      <c r="B2005" s="1" t="n">
        <v>44830</v>
      </c>
      <c r="C2005" s="1" t="n">
        <v>45627</v>
      </c>
      <c r="D2005" t="inlineStr">
        <is>
          <t>HALLANDS LÄN</t>
        </is>
      </c>
      <c r="E2005" t="inlineStr">
        <is>
          <t>HALMSTAD</t>
        </is>
      </c>
      <c r="G2005" t="n">
        <v>3.1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42003-2022</t>
        </is>
      </c>
      <c r="B2006" s="1" t="n">
        <v>44830</v>
      </c>
      <c r="C2006" s="1" t="n">
        <v>45627</v>
      </c>
      <c r="D2006" t="inlineStr">
        <is>
          <t>HALLANDS LÄN</t>
        </is>
      </c>
      <c r="E2006" t="inlineStr">
        <is>
          <t>HYLTE</t>
        </is>
      </c>
      <c r="G2006" t="n">
        <v>5.9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42319-2022</t>
        </is>
      </c>
      <c r="B2007" s="1" t="n">
        <v>44831</v>
      </c>
      <c r="C2007" s="1" t="n">
        <v>45627</v>
      </c>
      <c r="D2007" t="inlineStr">
        <is>
          <t>HALLANDS LÄN</t>
        </is>
      </c>
      <c r="E2007" t="inlineStr">
        <is>
          <t>FALKENBERG</t>
        </is>
      </c>
      <c r="G2007" t="n">
        <v>1.3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42412-2022</t>
        </is>
      </c>
      <c r="B2008" s="1" t="n">
        <v>44831</v>
      </c>
      <c r="C2008" s="1" t="n">
        <v>45627</v>
      </c>
      <c r="D2008" t="inlineStr">
        <is>
          <t>HALLANDS LÄN</t>
        </is>
      </c>
      <c r="E2008" t="inlineStr">
        <is>
          <t>KUNGSBACKA</t>
        </is>
      </c>
      <c r="G2008" t="n">
        <v>1.6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42562-2022</t>
        </is>
      </c>
      <c r="B2009" s="1" t="n">
        <v>44831</v>
      </c>
      <c r="C2009" s="1" t="n">
        <v>45627</v>
      </c>
      <c r="D2009" t="inlineStr">
        <is>
          <t>HALLANDS LÄN</t>
        </is>
      </c>
      <c r="E2009" t="inlineStr">
        <is>
          <t>LAHOLM</t>
        </is>
      </c>
      <c r="G2009" t="n">
        <v>1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42573-2022</t>
        </is>
      </c>
      <c r="B2010" s="1" t="n">
        <v>44831</v>
      </c>
      <c r="C2010" s="1" t="n">
        <v>45627</v>
      </c>
      <c r="D2010" t="inlineStr">
        <is>
          <t>HALLANDS LÄN</t>
        </is>
      </c>
      <c r="E2010" t="inlineStr">
        <is>
          <t>VARBERG</t>
        </is>
      </c>
      <c r="G2010" t="n">
        <v>2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42561-2022</t>
        </is>
      </c>
      <c r="B2011" s="1" t="n">
        <v>44831</v>
      </c>
      <c r="C2011" s="1" t="n">
        <v>45627</v>
      </c>
      <c r="D2011" t="inlineStr">
        <is>
          <t>HALLANDS LÄN</t>
        </is>
      </c>
      <c r="E2011" t="inlineStr">
        <is>
          <t>VARBERG</t>
        </is>
      </c>
      <c r="G2011" t="n">
        <v>5.3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42566-2022</t>
        </is>
      </c>
      <c r="B2012" s="1" t="n">
        <v>44831</v>
      </c>
      <c r="C2012" s="1" t="n">
        <v>45627</v>
      </c>
      <c r="D2012" t="inlineStr">
        <is>
          <t>HALLANDS LÄN</t>
        </is>
      </c>
      <c r="E2012" t="inlineStr">
        <is>
          <t>VARBERG</t>
        </is>
      </c>
      <c r="G2012" t="n">
        <v>5.8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43169-2022</t>
        </is>
      </c>
      <c r="B2013" s="1" t="n">
        <v>44834</v>
      </c>
      <c r="C2013" s="1" t="n">
        <v>45627</v>
      </c>
      <c r="D2013" t="inlineStr">
        <is>
          <t>HALLANDS LÄN</t>
        </is>
      </c>
      <c r="E2013" t="inlineStr">
        <is>
          <t>VARBERG</t>
        </is>
      </c>
      <c r="G2013" t="n">
        <v>1.8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43171-2022</t>
        </is>
      </c>
      <c r="B2014" s="1" t="n">
        <v>44834</v>
      </c>
      <c r="C2014" s="1" t="n">
        <v>45627</v>
      </c>
      <c r="D2014" t="inlineStr">
        <is>
          <t>HALLANDS LÄN</t>
        </is>
      </c>
      <c r="E2014" t="inlineStr">
        <is>
          <t>VARBERG</t>
        </is>
      </c>
      <c r="G2014" t="n">
        <v>6.8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43170-2022</t>
        </is>
      </c>
      <c r="B2015" s="1" t="n">
        <v>44834</v>
      </c>
      <c r="C2015" s="1" t="n">
        <v>45627</v>
      </c>
      <c r="D2015" t="inlineStr">
        <is>
          <t>HALLANDS LÄN</t>
        </is>
      </c>
      <c r="E2015" t="inlineStr">
        <is>
          <t>VARBERG</t>
        </is>
      </c>
      <c r="G2015" t="n">
        <v>3.8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43269-2022</t>
        </is>
      </c>
      <c r="B2016" s="1" t="n">
        <v>44834</v>
      </c>
      <c r="C2016" s="1" t="n">
        <v>45627</v>
      </c>
      <c r="D2016" t="inlineStr">
        <is>
          <t>HALLANDS LÄN</t>
        </is>
      </c>
      <c r="E2016" t="inlineStr">
        <is>
          <t>FALKENBERG</t>
        </is>
      </c>
      <c r="G2016" t="n">
        <v>2.3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43329-2022</t>
        </is>
      </c>
      <c r="B2017" s="1" t="n">
        <v>44834</v>
      </c>
      <c r="C2017" s="1" t="n">
        <v>45627</v>
      </c>
      <c r="D2017" t="inlineStr">
        <is>
          <t>HALLANDS LÄN</t>
        </is>
      </c>
      <c r="E2017" t="inlineStr">
        <is>
          <t>VARBERG</t>
        </is>
      </c>
      <c r="G2017" t="n">
        <v>1.8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43356-2022</t>
        </is>
      </c>
      <c r="B2018" s="1" t="n">
        <v>44834</v>
      </c>
      <c r="C2018" s="1" t="n">
        <v>45627</v>
      </c>
      <c r="D2018" t="inlineStr">
        <is>
          <t>HALLANDS LÄN</t>
        </is>
      </c>
      <c r="E2018" t="inlineStr">
        <is>
          <t>VARBERG</t>
        </is>
      </c>
      <c r="G2018" t="n">
        <v>0.4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43366-2022</t>
        </is>
      </c>
      <c r="B2019" s="1" t="n">
        <v>44834</v>
      </c>
      <c r="C2019" s="1" t="n">
        <v>45627</v>
      </c>
      <c r="D2019" t="inlineStr">
        <is>
          <t>HALLANDS LÄN</t>
        </is>
      </c>
      <c r="E2019" t="inlineStr">
        <is>
          <t>HYLTE</t>
        </is>
      </c>
      <c r="G2019" t="n">
        <v>1.1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43364-2022</t>
        </is>
      </c>
      <c r="B2020" s="1" t="n">
        <v>44834</v>
      </c>
      <c r="C2020" s="1" t="n">
        <v>45627</v>
      </c>
      <c r="D2020" t="inlineStr">
        <is>
          <t>HALLANDS LÄN</t>
        </is>
      </c>
      <c r="E2020" t="inlineStr">
        <is>
          <t>HYLTE</t>
        </is>
      </c>
      <c r="G2020" t="n">
        <v>0.6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43473-2022</t>
        </is>
      </c>
      <c r="B2021" s="1" t="n">
        <v>44836</v>
      </c>
      <c r="C2021" s="1" t="n">
        <v>45627</v>
      </c>
      <c r="D2021" t="inlineStr">
        <is>
          <t>HALLANDS LÄN</t>
        </is>
      </c>
      <c r="E2021" t="inlineStr">
        <is>
          <t>FALKENBERG</t>
        </is>
      </c>
      <c r="G2021" t="n">
        <v>1.7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43474-2022</t>
        </is>
      </c>
      <c r="B2022" s="1" t="n">
        <v>44836</v>
      </c>
      <c r="C2022" s="1" t="n">
        <v>45627</v>
      </c>
      <c r="D2022" t="inlineStr">
        <is>
          <t>HALLANDS LÄN</t>
        </is>
      </c>
      <c r="E2022" t="inlineStr">
        <is>
          <t>FALKENBERG</t>
        </is>
      </c>
      <c r="G2022" t="n">
        <v>0.7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43681-2022</t>
        </is>
      </c>
      <c r="B2023" s="1" t="n">
        <v>44837</v>
      </c>
      <c r="C2023" s="1" t="n">
        <v>45627</v>
      </c>
      <c r="D2023" t="inlineStr">
        <is>
          <t>HALLANDS LÄN</t>
        </is>
      </c>
      <c r="E2023" t="inlineStr">
        <is>
          <t>VARBERG</t>
        </is>
      </c>
      <c r="G2023" t="n">
        <v>3.8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44104-2022</t>
        </is>
      </c>
      <c r="B2024" s="1" t="n">
        <v>44839</v>
      </c>
      <c r="C2024" s="1" t="n">
        <v>45627</v>
      </c>
      <c r="D2024" t="inlineStr">
        <is>
          <t>HALLANDS LÄN</t>
        </is>
      </c>
      <c r="E2024" t="inlineStr">
        <is>
          <t>VARBERG</t>
        </is>
      </c>
      <c r="G2024" t="n">
        <v>1.3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44134-2022</t>
        </is>
      </c>
      <c r="B2025" s="1" t="n">
        <v>44839</v>
      </c>
      <c r="C2025" s="1" t="n">
        <v>45627</v>
      </c>
      <c r="D2025" t="inlineStr">
        <is>
          <t>HALLANDS LÄN</t>
        </is>
      </c>
      <c r="E2025" t="inlineStr">
        <is>
          <t>HYLTE</t>
        </is>
      </c>
      <c r="G2025" t="n">
        <v>0.8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44157-2022</t>
        </is>
      </c>
      <c r="B2026" s="1" t="n">
        <v>44839</v>
      </c>
      <c r="C2026" s="1" t="n">
        <v>45627</v>
      </c>
      <c r="D2026" t="inlineStr">
        <is>
          <t>HALLANDS LÄN</t>
        </is>
      </c>
      <c r="E2026" t="inlineStr">
        <is>
          <t>VARBERG</t>
        </is>
      </c>
      <c r="G2026" t="n">
        <v>1.4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44638-2022</t>
        </is>
      </c>
      <c r="B2027" s="1" t="n">
        <v>44840</v>
      </c>
      <c r="C2027" s="1" t="n">
        <v>45627</v>
      </c>
      <c r="D2027" t="inlineStr">
        <is>
          <t>HALLANDS LÄN</t>
        </is>
      </c>
      <c r="E2027" t="inlineStr">
        <is>
          <t>KUNGSBACKA</t>
        </is>
      </c>
      <c r="F2027" t="inlineStr">
        <is>
          <t>Kommuner</t>
        </is>
      </c>
      <c r="G2027" t="n">
        <v>11.8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44770-2022</t>
        </is>
      </c>
      <c r="B2028" s="1" t="n">
        <v>44841</v>
      </c>
      <c r="C2028" s="1" t="n">
        <v>45627</v>
      </c>
      <c r="D2028" t="inlineStr">
        <is>
          <t>HALLANDS LÄN</t>
        </is>
      </c>
      <c r="E2028" t="inlineStr">
        <is>
          <t>VARBERG</t>
        </is>
      </c>
      <c r="G2028" t="n">
        <v>1.9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44953-2022</t>
        </is>
      </c>
      <c r="B2029" s="1" t="n">
        <v>44841</v>
      </c>
      <c r="C2029" s="1" t="n">
        <v>45627</v>
      </c>
      <c r="D2029" t="inlineStr">
        <is>
          <t>HALLANDS LÄN</t>
        </is>
      </c>
      <c r="E2029" t="inlineStr">
        <is>
          <t>FALKENBERG</t>
        </is>
      </c>
      <c r="G2029" t="n">
        <v>1.2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44984-2022</t>
        </is>
      </c>
      <c r="B2030" s="1" t="n">
        <v>44841</v>
      </c>
      <c r="C2030" s="1" t="n">
        <v>45627</v>
      </c>
      <c r="D2030" t="inlineStr">
        <is>
          <t>HALLANDS LÄN</t>
        </is>
      </c>
      <c r="E2030" t="inlineStr">
        <is>
          <t>KUNGSBACKA</t>
        </is>
      </c>
      <c r="G2030" t="n">
        <v>5.3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45453-2022</t>
        </is>
      </c>
      <c r="B2031" s="1" t="n">
        <v>44845</v>
      </c>
      <c r="C2031" s="1" t="n">
        <v>45627</v>
      </c>
      <c r="D2031" t="inlineStr">
        <is>
          <t>HALLANDS LÄN</t>
        </is>
      </c>
      <c r="E2031" t="inlineStr">
        <is>
          <t>HYLTE</t>
        </is>
      </c>
      <c r="G2031" t="n">
        <v>0.5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45585-2022</t>
        </is>
      </c>
      <c r="B2032" s="1" t="n">
        <v>44845</v>
      </c>
      <c r="C2032" s="1" t="n">
        <v>45627</v>
      </c>
      <c r="D2032" t="inlineStr">
        <is>
          <t>HALLANDS LÄN</t>
        </is>
      </c>
      <c r="E2032" t="inlineStr">
        <is>
          <t>HALMSTAD</t>
        </is>
      </c>
      <c r="F2032" t="inlineStr">
        <is>
          <t>Kyrkan</t>
        </is>
      </c>
      <c r="G2032" t="n">
        <v>1.7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45732-2022</t>
        </is>
      </c>
      <c r="B2033" s="1" t="n">
        <v>44846</v>
      </c>
      <c r="C2033" s="1" t="n">
        <v>45627</v>
      </c>
      <c r="D2033" t="inlineStr">
        <is>
          <t>HALLANDS LÄN</t>
        </is>
      </c>
      <c r="E2033" t="inlineStr">
        <is>
          <t>LAHOLM</t>
        </is>
      </c>
      <c r="G2033" t="n">
        <v>1.3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45965-2022</t>
        </is>
      </c>
      <c r="B2034" s="1" t="n">
        <v>44846</v>
      </c>
      <c r="C2034" s="1" t="n">
        <v>45627</v>
      </c>
      <c r="D2034" t="inlineStr">
        <is>
          <t>HALLANDS LÄN</t>
        </is>
      </c>
      <c r="E2034" t="inlineStr">
        <is>
          <t>FALKENBERG</t>
        </is>
      </c>
      <c r="G2034" t="n">
        <v>2.3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45733-2022</t>
        </is>
      </c>
      <c r="B2035" s="1" t="n">
        <v>44846</v>
      </c>
      <c r="C2035" s="1" t="n">
        <v>45627</v>
      </c>
      <c r="D2035" t="inlineStr">
        <is>
          <t>HALLANDS LÄN</t>
        </is>
      </c>
      <c r="E2035" t="inlineStr">
        <is>
          <t>LAHOLM</t>
        </is>
      </c>
      <c r="G2035" t="n">
        <v>0.9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45914-2022</t>
        </is>
      </c>
      <c r="B2036" s="1" t="n">
        <v>44846</v>
      </c>
      <c r="C2036" s="1" t="n">
        <v>45627</v>
      </c>
      <c r="D2036" t="inlineStr">
        <is>
          <t>HALLANDS LÄN</t>
        </is>
      </c>
      <c r="E2036" t="inlineStr">
        <is>
          <t>FALKENBERG</t>
        </is>
      </c>
      <c r="G2036" t="n">
        <v>0.5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45970-2022</t>
        </is>
      </c>
      <c r="B2037" s="1" t="n">
        <v>44846</v>
      </c>
      <c r="C2037" s="1" t="n">
        <v>45627</v>
      </c>
      <c r="D2037" t="inlineStr">
        <is>
          <t>HALLANDS LÄN</t>
        </is>
      </c>
      <c r="E2037" t="inlineStr">
        <is>
          <t>FALKENBERG</t>
        </is>
      </c>
      <c r="G2037" t="n">
        <v>2.2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45974-2022</t>
        </is>
      </c>
      <c r="B2038" s="1" t="n">
        <v>44846</v>
      </c>
      <c r="C2038" s="1" t="n">
        <v>45627</v>
      </c>
      <c r="D2038" t="inlineStr">
        <is>
          <t>HALLANDS LÄN</t>
        </is>
      </c>
      <c r="E2038" t="inlineStr">
        <is>
          <t>FALKENBERG</t>
        </is>
      </c>
      <c r="G2038" t="n">
        <v>3.6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46015-2022</t>
        </is>
      </c>
      <c r="B2039" s="1" t="n">
        <v>44846</v>
      </c>
      <c r="C2039" s="1" t="n">
        <v>45627</v>
      </c>
      <c r="D2039" t="inlineStr">
        <is>
          <t>HALLANDS LÄN</t>
        </is>
      </c>
      <c r="E2039" t="inlineStr">
        <is>
          <t>FALKENBERG</t>
        </is>
      </c>
      <c r="G2039" t="n">
        <v>1.2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46253-2022</t>
        </is>
      </c>
      <c r="B2040" s="1" t="n">
        <v>44847</v>
      </c>
      <c r="C2040" s="1" t="n">
        <v>45627</v>
      </c>
      <c r="D2040" t="inlineStr">
        <is>
          <t>HALLANDS LÄN</t>
        </is>
      </c>
      <c r="E2040" t="inlineStr">
        <is>
          <t>HYLTE</t>
        </is>
      </c>
      <c r="G2040" t="n">
        <v>4.6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46250-2022</t>
        </is>
      </c>
      <c r="B2041" s="1" t="n">
        <v>44847</v>
      </c>
      <c r="C2041" s="1" t="n">
        <v>45627</v>
      </c>
      <c r="D2041" t="inlineStr">
        <is>
          <t>HALLANDS LÄN</t>
        </is>
      </c>
      <c r="E2041" t="inlineStr">
        <is>
          <t>HYLTE</t>
        </is>
      </c>
      <c r="G2041" t="n">
        <v>0.9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46251-2022</t>
        </is>
      </c>
      <c r="B2042" s="1" t="n">
        <v>44847</v>
      </c>
      <c r="C2042" s="1" t="n">
        <v>45627</v>
      </c>
      <c r="D2042" t="inlineStr">
        <is>
          <t>HALLANDS LÄN</t>
        </is>
      </c>
      <c r="E2042" t="inlineStr">
        <is>
          <t>HYLTE</t>
        </is>
      </c>
      <c r="G2042" t="n">
        <v>0.6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46365-2022</t>
        </is>
      </c>
      <c r="B2043" s="1" t="n">
        <v>44848</v>
      </c>
      <c r="C2043" s="1" t="n">
        <v>45627</v>
      </c>
      <c r="D2043" t="inlineStr">
        <is>
          <t>HALLANDS LÄN</t>
        </is>
      </c>
      <c r="E2043" t="inlineStr">
        <is>
          <t>FALKENBERG</t>
        </is>
      </c>
      <c r="G2043" t="n">
        <v>0.8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46518-2022</t>
        </is>
      </c>
      <c r="B2044" s="1" t="n">
        <v>44848</v>
      </c>
      <c r="C2044" s="1" t="n">
        <v>45627</v>
      </c>
      <c r="D2044" t="inlineStr">
        <is>
          <t>HALLANDS LÄN</t>
        </is>
      </c>
      <c r="E2044" t="inlineStr">
        <is>
          <t>VARBERG</t>
        </is>
      </c>
      <c r="G2044" t="n">
        <v>2.9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46500-2022</t>
        </is>
      </c>
      <c r="B2045" s="1" t="n">
        <v>44848</v>
      </c>
      <c r="C2045" s="1" t="n">
        <v>45627</v>
      </c>
      <c r="D2045" t="inlineStr">
        <is>
          <t>HALLANDS LÄN</t>
        </is>
      </c>
      <c r="E2045" t="inlineStr">
        <is>
          <t>HALMSTAD</t>
        </is>
      </c>
      <c r="G2045" t="n">
        <v>2.1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46442-2022</t>
        </is>
      </c>
      <c r="B2046" s="1" t="n">
        <v>44848</v>
      </c>
      <c r="C2046" s="1" t="n">
        <v>45627</v>
      </c>
      <c r="D2046" t="inlineStr">
        <is>
          <t>HALLANDS LÄN</t>
        </is>
      </c>
      <c r="E2046" t="inlineStr">
        <is>
          <t>LAHOLM</t>
        </is>
      </c>
      <c r="G2046" t="n">
        <v>7.9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46508-2022</t>
        </is>
      </c>
      <c r="B2047" s="1" t="n">
        <v>44848</v>
      </c>
      <c r="C2047" s="1" t="n">
        <v>45627</v>
      </c>
      <c r="D2047" t="inlineStr">
        <is>
          <t>HALLANDS LÄN</t>
        </is>
      </c>
      <c r="E2047" t="inlineStr">
        <is>
          <t>HALMSTAD</t>
        </is>
      </c>
      <c r="G2047" t="n">
        <v>1.3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46715-2022</t>
        </is>
      </c>
      <c r="B2048" s="1" t="n">
        <v>44851</v>
      </c>
      <c r="C2048" s="1" t="n">
        <v>45627</v>
      </c>
      <c r="D2048" t="inlineStr">
        <is>
          <t>HALLANDS LÄN</t>
        </is>
      </c>
      <c r="E2048" t="inlineStr">
        <is>
          <t>LAHOLM</t>
        </is>
      </c>
      <c r="G2048" t="n">
        <v>1.6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46948-2022</t>
        </is>
      </c>
      <c r="B2049" s="1" t="n">
        <v>44851</v>
      </c>
      <c r="C2049" s="1" t="n">
        <v>45627</v>
      </c>
      <c r="D2049" t="inlineStr">
        <is>
          <t>HALLANDS LÄN</t>
        </is>
      </c>
      <c r="E2049" t="inlineStr">
        <is>
          <t>HYLTE</t>
        </is>
      </c>
      <c r="G2049" t="n">
        <v>1.5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46771-2022</t>
        </is>
      </c>
      <c r="B2050" s="1" t="n">
        <v>44851</v>
      </c>
      <c r="C2050" s="1" t="n">
        <v>45627</v>
      </c>
      <c r="D2050" t="inlineStr">
        <is>
          <t>HALLANDS LÄN</t>
        </is>
      </c>
      <c r="E2050" t="inlineStr">
        <is>
          <t>VARBERG</t>
        </is>
      </c>
      <c r="G2050" t="n">
        <v>2.3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46779-2022</t>
        </is>
      </c>
      <c r="B2051" s="1" t="n">
        <v>44851</v>
      </c>
      <c r="C2051" s="1" t="n">
        <v>45627</v>
      </c>
      <c r="D2051" t="inlineStr">
        <is>
          <t>HALLANDS LÄN</t>
        </is>
      </c>
      <c r="E2051" t="inlineStr">
        <is>
          <t>KUNGSBACKA</t>
        </is>
      </c>
      <c r="G2051" t="n">
        <v>6.7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46947-2022</t>
        </is>
      </c>
      <c r="B2052" s="1" t="n">
        <v>44851</v>
      </c>
      <c r="C2052" s="1" t="n">
        <v>45627</v>
      </c>
      <c r="D2052" t="inlineStr">
        <is>
          <t>HALLANDS LÄN</t>
        </is>
      </c>
      <c r="E2052" t="inlineStr">
        <is>
          <t>HYLTE</t>
        </is>
      </c>
      <c r="G2052" t="n">
        <v>2.4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46946-2022</t>
        </is>
      </c>
      <c r="B2053" s="1" t="n">
        <v>44851</v>
      </c>
      <c r="C2053" s="1" t="n">
        <v>45627</v>
      </c>
      <c r="D2053" t="inlineStr">
        <is>
          <t>HALLANDS LÄN</t>
        </is>
      </c>
      <c r="E2053" t="inlineStr">
        <is>
          <t>HYLTE</t>
        </is>
      </c>
      <c r="G2053" t="n">
        <v>4.9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47205-2022</t>
        </is>
      </c>
      <c r="B2054" s="1" t="n">
        <v>44852</v>
      </c>
      <c r="C2054" s="1" t="n">
        <v>45627</v>
      </c>
      <c r="D2054" t="inlineStr">
        <is>
          <t>HALLANDS LÄN</t>
        </is>
      </c>
      <c r="E2054" t="inlineStr">
        <is>
          <t>FALKENBERG</t>
        </is>
      </c>
      <c r="G2054" t="n">
        <v>1.6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47198-2022</t>
        </is>
      </c>
      <c r="B2055" s="1" t="n">
        <v>44852</v>
      </c>
      <c r="C2055" s="1" t="n">
        <v>45627</v>
      </c>
      <c r="D2055" t="inlineStr">
        <is>
          <t>HALLANDS LÄN</t>
        </is>
      </c>
      <c r="E2055" t="inlineStr">
        <is>
          <t>HALMSTAD</t>
        </is>
      </c>
      <c r="G2055" t="n">
        <v>3.7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47033-2022</t>
        </is>
      </c>
      <c r="B2056" s="1" t="n">
        <v>44852</v>
      </c>
      <c r="C2056" s="1" t="n">
        <v>45627</v>
      </c>
      <c r="D2056" t="inlineStr">
        <is>
          <t>HALLANDS LÄN</t>
        </is>
      </c>
      <c r="E2056" t="inlineStr">
        <is>
          <t>FALKENBERG</t>
        </is>
      </c>
      <c r="G2056" t="n">
        <v>0.7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47021-2022</t>
        </is>
      </c>
      <c r="B2057" s="1" t="n">
        <v>44852</v>
      </c>
      <c r="C2057" s="1" t="n">
        <v>45627</v>
      </c>
      <c r="D2057" t="inlineStr">
        <is>
          <t>HALLANDS LÄN</t>
        </is>
      </c>
      <c r="E2057" t="inlineStr">
        <is>
          <t>FALKENBERG</t>
        </is>
      </c>
      <c r="G2057" t="n">
        <v>1.5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47401-2022</t>
        </is>
      </c>
      <c r="B2058" s="1" t="n">
        <v>44853</v>
      </c>
      <c r="C2058" s="1" t="n">
        <v>45627</v>
      </c>
      <c r="D2058" t="inlineStr">
        <is>
          <t>HALLANDS LÄN</t>
        </is>
      </c>
      <c r="E2058" t="inlineStr">
        <is>
          <t>KUNGSBACKA</t>
        </is>
      </c>
      <c r="G2058" t="n">
        <v>0.6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47307-2022</t>
        </is>
      </c>
      <c r="B2059" s="1" t="n">
        <v>44853</v>
      </c>
      <c r="C2059" s="1" t="n">
        <v>45627</v>
      </c>
      <c r="D2059" t="inlineStr">
        <is>
          <t>HALLANDS LÄN</t>
        </is>
      </c>
      <c r="E2059" t="inlineStr">
        <is>
          <t>KUNGSBACKA</t>
        </is>
      </c>
      <c r="G2059" t="n">
        <v>2.1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48708-2022</t>
        </is>
      </c>
      <c r="B2060" s="1" t="n">
        <v>44854</v>
      </c>
      <c r="C2060" s="1" t="n">
        <v>45627</v>
      </c>
      <c r="D2060" t="inlineStr">
        <is>
          <t>HALLANDS LÄN</t>
        </is>
      </c>
      <c r="E2060" t="inlineStr">
        <is>
          <t>HALMSTAD</t>
        </is>
      </c>
      <c r="G2060" t="n">
        <v>3.6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48674-2022</t>
        </is>
      </c>
      <c r="B2061" s="1" t="n">
        <v>44854</v>
      </c>
      <c r="C2061" s="1" t="n">
        <v>45627</v>
      </c>
      <c r="D2061" t="inlineStr">
        <is>
          <t>HALLANDS LÄN</t>
        </is>
      </c>
      <c r="E2061" t="inlineStr">
        <is>
          <t>HALMSTAD</t>
        </is>
      </c>
      <c r="G2061" t="n">
        <v>3.3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47937-2022</t>
        </is>
      </c>
      <c r="B2062" s="1" t="n">
        <v>44855</v>
      </c>
      <c r="C2062" s="1" t="n">
        <v>45627</v>
      </c>
      <c r="D2062" t="inlineStr">
        <is>
          <t>HALLANDS LÄN</t>
        </is>
      </c>
      <c r="E2062" t="inlineStr">
        <is>
          <t>LAHOLM</t>
        </is>
      </c>
      <c r="G2062" t="n">
        <v>1.8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48019-2022</t>
        </is>
      </c>
      <c r="B2063" s="1" t="n">
        <v>44855</v>
      </c>
      <c r="C2063" s="1" t="n">
        <v>45627</v>
      </c>
      <c r="D2063" t="inlineStr">
        <is>
          <t>HALLANDS LÄN</t>
        </is>
      </c>
      <c r="E2063" t="inlineStr">
        <is>
          <t>VARBERG</t>
        </is>
      </c>
      <c r="G2063" t="n">
        <v>8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47842-2022</t>
        </is>
      </c>
      <c r="B2064" s="1" t="n">
        <v>44855</v>
      </c>
      <c r="C2064" s="1" t="n">
        <v>45627</v>
      </c>
      <c r="D2064" t="inlineStr">
        <is>
          <t>HALLANDS LÄN</t>
        </is>
      </c>
      <c r="E2064" t="inlineStr">
        <is>
          <t>HALMSTAD</t>
        </is>
      </c>
      <c r="G2064" t="n">
        <v>4.6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47970-2022</t>
        </is>
      </c>
      <c r="B2065" s="1" t="n">
        <v>44855</v>
      </c>
      <c r="C2065" s="1" t="n">
        <v>45627</v>
      </c>
      <c r="D2065" t="inlineStr">
        <is>
          <t>HALLANDS LÄN</t>
        </is>
      </c>
      <c r="E2065" t="inlineStr">
        <is>
          <t>HYLTE</t>
        </is>
      </c>
      <c r="G2065" t="n">
        <v>1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48418-2022</t>
        </is>
      </c>
      <c r="B2066" s="1" t="n">
        <v>44858</v>
      </c>
      <c r="C2066" s="1" t="n">
        <v>45627</v>
      </c>
      <c r="D2066" t="inlineStr">
        <is>
          <t>HALLANDS LÄN</t>
        </is>
      </c>
      <c r="E2066" t="inlineStr">
        <is>
          <t>VARBERG</t>
        </is>
      </c>
      <c r="G2066" t="n">
        <v>2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48700-2022</t>
        </is>
      </c>
      <c r="B2067" s="1" t="n">
        <v>44859</v>
      </c>
      <c r="C2067" s="1" t="n">
        <v>45627</v>
      </c>
      <c r="D2067" t="inlineStr">
        <is>
          <t>HALLANDS LÄN</t>
        </is>
      </c>
      <c r="E2067" t="inlineStr">
        <is>
          <t>LAHOLM</t>
        </is>
      </c>
      <c r="G2067" t="n">
        <v>2.7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49083-2022</t>
        </is>
      </c>
      <c r="B2068" s="1" t="n">
        <v>44860</v>
      </c>
      <c r="C2068" s="1" t="n">
        <v>45627</v>
      </c>
      <c r="D2068" t="inlineStr">
        <is>
          <t>HALLANDS LÄN</t>
        </is>
      </c>
      <c r="E2068" t="inlineStr">
        <is>
          <t>VARBERG</t>
        </is>
      </c>
      <c r="G2068" t="n">
        <v>13.3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50439-2022</t>
        </is>
      </c>
      <c r="B2069" s="1" t="n">
        <v>44860</v>
      </c>
      <c r="C2069" s="1" t="n">
        <v>45627</v>
      </c>
      <c r="D2069" t="inlineStr">
        <is>
          <t>HALLANDS LÄN</t>
        </is>
      </c>
      <c r="E2069" t="inlineStr">
        <is>
          <t>HALMSTAD</t>
        </is>
      </c>
      <c r="F2069" t="inlineStr">
        <is>
          <t>Bergvik skog väst AB</t>
        </is>
      </c>
      <c r="G2069" t="n">
        <v>6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49550-2022</t>
        </is>
      </c>
      <c r="B2070" s="1" t="n">
        <v>44862</v>
      </c>
      <c r="C2070" s="1" t="n">
        <v>45627</v>
      </c>
      <c r="D2070" t="inlineStr">
        <is>
          <t>HALLANDS LÄN</t>
        </is>
      </c>
      <c r="E2070" t="inlineStr">
        <is>
          <t>VARBERG</t>
        </is>
      </c>
      <c r="G2070" t="n">
        <v>1.4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49655-2022</t>
        </is>
      </c>
      <c r="B2071" s="1" t="n">
        <v>44862</v>
      </c>
      <c r="C2071" s="1" t="n">
        <v>45627</v>
      </c>
      <c r="D2071" t="inlineStr">
        <is>
          <t>HALLANDS LÄN</t>
        </is>
      </c>
      <c r="E2071" t="inlineStr">
        <is>
          <t>LAHOLM</t>
        </is>
      </c>
      <c r="G2071" t="n">
        <v>1.8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49657-2022</t>
        </is>
      </c>
      <c r="B2072" s="1" t="n">
        <v>44862</v>
      </c>
      <c r="C2072" s="1" t="n">
        <v>45627</v>
      </c>
      <c r="D2072" t="inlineStr">
        <is>
          <t>HALLANDS LÄN</t>
        </is>
      </c>
      <c r="E2072" t="inlineStr">
        <is>
          <t>HALMSTAD</t>
        </is>
      </c>
      <c r="G2072" t="n">
        <v>1.7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49697-2022</t>
        </is>
      </c>
      <c r="B2073" s="1" t="n">
        <v>44862</v>
      </c>
      <c r="C2073" s="1" t="n">
        <v>45627</v>
      </c>
      <c r="D2073" t="inlineStr">
        <is>
          <t>HALLANDS LÄN</t>
        </is>
      </c>
      <c r="E2073" t="inlineStr">
        <is>
          <t>VARBERG</t>
        </is>
      </c>
      <c r="G2073" t="n">
        <v>0.8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50130-2022</t>
        </is>
      </c>
      <c r="B2074" s="1" t="n">
        <v>44865</v>
      </c>
      <c r="C2074" s="1" t="n">
        <v>45627</v>
      </c>
      <c r="D2074" t="inlineStr">
        <is>
          <t>HALLANDS LÄN</t>
        </is>
      </c>
      <c r="E2074" t="inlineStr">
        <is>
          <t>LAHOLM</t>
        </is>
      </c>
      <c r="F2074" t="inlineStr">
        <is>
          <t>Sveaskog</t>
        </is>
      </c>
      <c r="G2074" t="n">
        <v>0.9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50182-2022</t>
        </is>
      </c>
      <c r="B2075" s="1" t="n">
        <v>44865</v>
      </c>
      <c r="C2075" s="1" t="n">
        <v>45627</v>
      </c>
      <c r="D2075" t="inlineStr">
        <is>
          <t>HALLANDS LÄN</t>
        </is>
      </c>
      <c r="E2075" t="inlineStr">
        <is>
          <t>HALMSTAD</t>
        </is>
      </c>
      <c r="G2075" t="n">
        <v>0.6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50127-2022</t>
        </is>
      </c>
      <c r="B2076" s="1" t="n">
        <v>44865</v>
      </c>
      <c r="C2076" s="1" t="n">
        <v>45627</v>
      </c>
      <c r="D2076" t="inlineStr">
        <is>
          <t>HALLANDS LÄN</t>
        </is>
      </c>
      <c r="E2076" t="inlineStr">
        <is>
          <t>LAHOLM</t>
        </is>
      </c>
      <c r="F2076" t="inlineStr">
        <is>
          <t>Sveaskog</t>
        </is>
      </c>
      <c r="G2076" t="n">
        <v>2.2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50256-2022</t>
        </is>
      </c>
      <c r="B2077" s="1" t="n">
        <v>44865</v>
      </c>
      <c r="C2077" s="1" t="n">
        <v>45627</v>
      </c>
      <c r="D2077" t="inlineStr">
        <is>
          <t>HALLANDS LÄN</t>
        </is>
      </c>
      <c r="E2077" t="inlineStr">
        <is>
          <t>LAHOLM</t>
        </is>
      </c>
      <c r="G2077" t="n">
        <v>2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51147-2022</t>
        </is>
      </c>
      <c r="B2078" s="1" t="n">
        <v>44865</v>
      </c>
      <c r="C2078" s="1" t="n">
        <v>45627</v>
      </c>
      <c r="D2078" t="inlineStr">
        <is>
          <t>HALLANDS LÄN</t>
        </is>
      </c>
      <c r="E2078" t="inlineStr">
        <is>
          <t>HYLTE</t>
        </is>
      </c>
      <c r="G2078" t="n">
        <v>5.6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51150-2022</t>
        </is>
      </c>
      <c r="B2079" s="1" t="n">
        <v>44865</v>
      </c>
      <c r="C2079" s="1" t="n">
        <v>45627</v>
      </c>
      <c r="D2079" t="inlineStr">
        <is>
          <t>HALLANDS LÄN</t>
        </is>
      </c>
      <c r="E2079" t="inlineStr">
        <is>
          <t>HYLTE</t>
        </is>
      </c>
      <c r="G2079" t="n">
        <v>3.4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50452-2022</t>
        </is>
      </c>
      <c r="B2080" s="1" t="n">
        <v>44866</v>
      </c>
      <c r="C2080" s="1" t="n">
        <v>45627</v>
      </c>
      <c r="D2080" t="inlineStr">
        <is>
          <t>HALLANDS LÄN</t>
        </is>
      </c>
      <c r="E2080" t="inlineStr">
        <is>
          <t>HYLTE</t>
        </is>
      </c>
      <c r="G2080" t="n">
        <v>5.5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50381-2022</t>
        </is>
      </c>
      <c r="B2081" s="1" t="n">
        <v>44866</v>
      </c>
      <c r="C2081" s="1" t="n">
        <v>45627</v>
      </c>
      <c r="D2081" t="inlineStr">
        <is>
          <t>HALLANDS LÄN</t>
        </is>
      </c>
      <c r="E2081" t="inlineStr">
        <is>
          <t>FALKENBERG</t>
        </is>
      </c>
      <c r="G2081" t="n">
        <v>2.6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50546-2022</t>
        </is>
      </c>
      <c r="B2082" s="1" t="n">
        <v>44866</v>
      </c>
      <c r="C2082" s="1" t="n">
        <v>45627</v>
      </c>
      <c r="D2082" t="inlineStr">
        <is>
          <t>HALLANDS LÄN</t>
        </is>
      </c>
      <c r="E2082" t="inlineStr">
        <is>
          <t>FALKENBERG</t>
        </is>
      </c>
      <c r="G2082" t="n">
        <v>0.9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50408-2022</t>
        </is>
      </c>
      <c r="B2083" s="1" t="n">
        <v>44866</v>
      </c>
      <c r="C2083" s="1" t="n">
        <v>45627</v>
      </c>
      <c r="D2083" t="inlineStr">
        <is>
          <t>HALLANDS LÄN</t>
        </is>
      </c>
      <c r="E2083" t="inlineStr">
        <is>
          <t>VARBERG</t>
        </is>
      </c>
      <c r="G2083" t="n">
        <v>1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50547-2022</t>
        </is>
      </c>
      <c r="B2084" s="1" t="n">
        <v>44866</v>
      </c>
      <c r="C2084" s="1" t="n">
        <v>45627</v>
      </c>
      <c r="D2084" t="inlineStr">
        <is>
          <t>HALLANDS LÄN</t>
        </is>
      </c>
      <c r="E2084" t="inlineStr">
        <is>
          <t>FALKENBERG</t>
        </is>
      </c>
      <c r="G2084" t="n">
        <v>0.7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50791-2022</t>
        </is>
      </c>
      <c r="B2085" s="1" t="n">
        <v>44867</v>
      </c>
      <c r="C2085" s="1" t="n">
        <v>45627</v>
      </c>
      <c r="D2085" t="inlineStr">
        <is>
          <t>HALLANDS LÄN</t>
        </is>
      </c>
      <c r="E2085" t="inlineStr">
        <is>
          <t>VARBERG</t>
        </is>
      </c>
      <c r="G2085" t="n">
        <v>2.2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50805-2022</t>
        </is>
      </c>
      <c r="B2086" s="1" t="n">
        <v>44867</v>
      </c>
      <c r="C2086" s="1" t="n">
        <v>45627</v>
      </c>
      <c r="D2086" t="inlineStr">
        <is>
          <t>HALLANDS LÄN</t>
        </is>
      </c>
      <c r="E2086" t="inlineStr">
        <is>
          <t>VARBERG</t>
        </is>
      </c>
      <c r="G2086" t="n">
        <v>1.5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50726-2022</t>
        </is>
      </c>
      <c r="B2087" s="1" t="n">
        <v>44867</v>
      </c>
      <c r="C2087" s="1" t="n">
        <v>45627</v>
      </c>
      <c r="D2087" t="inlineStr">
        <is>
          <t>HALLANDS LÄN</t>
        </is>
      </c>
      <c r="E2087" t="inlineStr">
        <is>
          <t>FALKENBERG</t>
        </is>
      </c>
      <c r="G2087" t="n">
        <v>0.4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50717-2022</t>
        </is>
      </c>
      <c r="B2088" s="1" t="n">
        <v>44867</v>
      </c>
      <c r="C2088" s="1" t="n">
        <v>45627</v>
      </c>
      <c r="D2088" t="inlineStr">
        <is>
          <t>HALLANDS LÄN</t>
        </is>
      </c>
      <c r="E2088" t="inlineStr">
        <is>
          <t>FALKENBERG</t>
        </is>
      </c>
      <c r="G2088" t="n">
        <v>0.7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50852-2022</t>
        </is>
      </c>
      <c r="B2089" s="1" t="n">
        <v>44867</v>
      </c>
      <c r="C2089" s="1" t="n">
        <v>45627</v>
      </c>
      <c r="D2089" t="inlineStr">
        <is>
          <t>HALLANDS LÄN</t>
        </is>
      </c>
      <c r="E2089" t="inlineStr">
        <is>
          <t>VARBERG</t>
        </is>
      </c>
      <c r="G2089" t="n">
        <v>4.8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50712-2022</t>
        </is>
      </c>
      <c r="B2090" s="1" t="n">
        <v>44867</v>
      </c>
      <c r="C2090" s="1" t="n">
        <v>45627</v>
      </c>
      <c r="D2090" t="inlineStr">
        <is>
          <t>HALLANDS LÄN</t>
        </is>
      </c>
      <c r="E2090" t="inlineStr">
        <is>
          <t>HYLTE</t>
        </is>
      </c>
      <c r="G2090" t="n">
        <v>2.5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50718-2022</t>
        </is>
      </c>
      <c r="B2091" s="1" t="n">
        <v>44867</v>
      </c>
      <c r="C2091" s="1" t="n">
        <v>45627</v>
      </c>
      <c r="D2091" t="inlineStr">
        <is>
          <t>HALLANDS LÄN</t>
        </is>
      </c>
      <c r="E2091" t="inlineStr">
        <is>
          <t>FALKENBERG</t>
        </is>
      </c>
      <c r="G2091" t="n">
        <v>0.9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50988-2022</t>
        </is>
      </c>
      <c r="B2092" s="1" t="n">
        <v>44867</v>
      </c>
      <c r="C2092" s="1" t="n">
        <v>45627</v>
      </c>
      <c r="D2092" t="inlineStr">
        <is>
          <t>HALLANDS LÄN</t>
        </is>
      </c>
      <c r="E2092" t="inlineStr">
        <is>
          <t>VARBERG</t>
        </is>
      </c>
      <c r="G2092" t="n">
        <v>4.7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51037-2022</t>
        </is>
      </c>
      <c r="B2093" s="1" t="n">
        <v>44868</v>
      </c>
      <c r="C2093" s="1" t="n">
        <v>45627</v>
      </c>
      <c r="D2093" t="inlineStr">
        <is>
          <t>HALLANDS LÄN</t>
        </is>
      </c>
      <c r="E2093" t="inlineStr">
        <is>
          <t>FALKENBERG</t>
        </is>
      </c>
      <c r="G2093" t="n">
        <v>9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51054-2022</t>
        </is>
      </c>
      <c r="B2094" s="1" t="n">
        <v>44868</v>
      </c>
      <c r="C2094" s="1" t="n">
        <v>45627</v>
      </c>
      <c r="D2094" t="inlineStr">
        <is>
          <t>HALLANDS LÄN</t>
        </is>
      </c>
      <c r="E2094" t="inlineStr">
        <is>
          <t>FALKENBERG</t>
        </is>
      </c>
      <c r="G2094" t="n">
        <v>8.199999999999999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51230-2022</t>
        </is>
      </c>
      <c r="B2095" s="1" t="n">
        <v>44868</v>
      </c>
      <c r="C2095" s="1" t="n">
        <v>45627</v>
      </c>
      <c r="D2095" t="inlineStr">
        <is>
          <t>HALLANDS LÄN</t>
        </is>
      </c>
      <c r="E2095" t="inlineStr">
        <is>
          <t>HYLTE</t>
        </is>
      </c>
      <c r="G2095" t="n">
        <v>1.3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51190-2022</t>
        </is>
      </c>
      <c r="B2096" s="1" t="n">
        <v>44868</v>
      </c>
      <c r="C2096" s="1" t="n">
        <v>45627</v>
      </c>
      <c r="D2096" t="inlineStr">
        <is>
          <t>HALLANDS LÄN</t>
        </is>
      </c>
      <c r="E2096" t="inlineStr">
        <is>
          <t>HALMSTAD</t>
        </is>
      </c>
      <c r="G2096" t="n">
        <v>1.7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51223-2022</t>
        </is>
      </c>
      <c r="B2097" s="1" t="n">
        <v>44868</v>
      </c>
      <c r="C2097" s="1" t="n">
        <v>45627</v>
      </c>
      <c r="D2097" t="inlineStr">
        <is>
          <t>HALLANDS LÄN</t>
        </is>
      </c>
      <c r="E2097" t="inlineStr">
        <is>
          <t>HYLTE</t>
        </is>
      </c>
      <c r="G2097" t="n">
        <v>1.8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51285-2022</t>
        </is>
      </c>
      <c r="B2098" s="1" t="n">
        <v>44868</v>
      </c>
      <c r="C2098" s="1" t="n">
        <v>45627</v>
      </c>
      <c r="D2098" t="inlineStr">
        <is>
          <t>HALLANDS LÄN</t>
        </is>
      </c>
      <c r="E2098" t="inlineStr">
        <is>
          <t>VARBERG</t>
        </is>
      </c>
      <c r="G2098" t="n">
        <v>4.1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51399-2022</t>
        </is>
      </c>
      <c r="B2099" s="1" t="n">
        <v>44869</v>
      </c>
      <c r="C2099" s="1" t="n">
        <v>45627</v>
      </c>
      <c r="D2099" t="inlineStr">
        <is>
          <t>HALLANDS LÄN</t>
        </is>
      </c>
      <c r="E2099" t="inlineStr">
        <is>
          <t>LAHOLM</t>
        </is>
      </c>
      <c r="G2099" t="n">
        <v>1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51331-2022</t>
        </is>
      </c>
      <c r="B2100" s="1" t="n">
        <v>44869</v>
      </c>
      <c r="C2100" s="1" t="n">
        <v>45627</v>
      </c>
      <c r="D2100" t="inlineStr">
        <is>
          <t>HALLANDS LÄN</t>
        </is>
      </c>
      <c r="E2100" t="inlineStr">
        <is>
          <t>KUNGSBACKA</t>
        </is>
      </c>
      <c r="G2100" t="n">
        <v>1.7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51332-2022</t>
        </is>
      </c>
      <c r="B2101" s="1" t="n">
        <v>44869</v>
      </c>
      <c r="C2101" s="1" t="n">
        <v>45627</v>
      </c>
      <c r="D2101" t="inlineStr">
        <is>
          <t>HALLANDS LÄN</t>
        </is>
      </c>
      <c r="E2101" t="inlineStr">
        <is>
          <t>KUNGSBACKA</t>
        </is>
      </c>
      <c r="G2101" t="n">
        <v>1.1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51517-2022</t>
        </is>
      </c>
      <c r="B2102" s="1" t="n">
        <v>44869</v>
      </c>
      <c r="C2102" s="1" t="n">
        <v>45627</v>
      </c>
      <c r="D2102" t="inlineStr">
        <is>
          <t>HALLANDS LÄN</t>
        </is>
      </c>
      <c r="E2102" t="inlineStr">
        <is>
          <t>LAHOLM</t>
        </is>
      </c>
      <c r="G2102" t="n">
        <v>0.5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51515-2022</t>
        </is>
      </c>
      <c r="B2103" s="1" t="n">
        <v>44869</v>
      </c>
      <c r="C2103" s="1" t="n">
        <v>45627</v>
      </c>
      <c r="D2103" t="inlineStr">
        <is>
          <t>HALLANDS LÄN</t>
        </is>
      </c>
      <c r="E2103" t="inlineStr">
        <is>
          <t>LAHOLM</t>
        </is>
      </c>
      <c r="G2103" t="n">
        <v>1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51512-2022</t>
        </is>
      </c>
      <c r="B2104" s="1" t="n">
        <v>44869</v>
      </c>
      <c r="C2104" s="1" t="n">
        <v>45627</v>
      </c>
      <c r="D2104" t="inlineStr">
        <is>
          <t>HALLANDS LÄN</t>
        </is>
      </c>
      <c r="E2104" t="inlineStr">
        <is>
          <t>HYLTE</t>
        </is>
      </c>
      <c r="G2104" t="n">
        <v>1.2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52596-2022</t>
        </is>
      </c>
      <c r="B2105" s="1" t="n">
        <v>44871</v>
      </c>
      <c r="C2105" s="1" t="n">
        <v>45627</v>
      </c>
      <c r="D2105" t="inlineStr">
        <is>
          <t>HALLANDS LÄN</t>
        </is>
      </c>
      <c r="E2105" t="inlineStr">
        <is>
          <t>FALKENBERG</t>
        </is>
      </c>
      <c r="G2105" t="n">
        <v>4.7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51706-2022</t>
        </is>
      </c>
      <c r="B2106" s="1" t="n">
        <v>44872</v>
      </c>
      <c r="C2106" s="1" t="n">
        <v>45627</v>
      </c>
      <c r="D2106" t="inlineStr">
        <is>
          <t>HALLANDS LÄN</t>
        </is>
      </c>
      <c r="E2106" t="inlineStr">
        <is>
          <t>HALMSTAD</t>
        </is>
      </c>
      <c r="G2106" t="n">
        <v>1.1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51708-2022</t>
        </is>
      </c>
      <c r="B2107" s="1" t="n">
        <v>44872</v>
      </c>
      <c r="C2107" s="1" t="n">
        <v>45627</v>
      </c>
      <c r="D2107" t="inlineStr">
        <is>
          <t>HALLANDS LÄN</t>
        </is>
      </c>
      <c r="E2107" t="inlineStr">
        <is>
          <t>HALMSTAD</t>
        </is>
      </c>
      <c r="G2107" t="n">
        <v>1.1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51743-2022</t>
        </is>
      </c>
      <c r="B2108" s="1" t="n">
        <v>44872</v>
      </c>
      <c r="C2108" s="1" t="n">
        <v>45627</v>
      </c>
      <c r="D2108" t="inlineStr">
        <is>
          <t>HALLANDS LÄN</t>
        </is>
      </c>
      <c r="E2108" t="inlineStr">
        <is>
          <t>FALKENBERG</t>
        </is>
      </c>
      <c r="G2108" t="n">
        <v>1.1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51802-2022</t>
        </is>
      </c>
      <c r="B2109" s="1" t="n">
        <v>44872</v>
      </c>
      <c r="C2109" s="1" t="n">
        <v>45627</v>
      </c>
      <c r="D2109" t="inlineStr">
        <is>
          <t>HALLANDS LÄN</t>
        </is>
      </c>
      <c r="E2109" t="inlineStr">
        <is>
          <t>LAHOLM</t>
        </is>
      </c>
      <c r="G2109" t="n">
        <v>0.6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51807-2022</t>
        </is>
      </c>
      <c r="B2110" s="1" t="n">
        <v>44872</v>
      </c>
      <c r="C2110" s="1" t="n">
        <v>45627</v>
      </c>
      <c r="D2110" t="inlineStr">
        <is>
          <t>HALLANDS LÄN</t>
        </is>
      </c>
      <c r="E2110" t="inlineStr">
        <is>
          <t>HALMSTAD</t>
        </is>
      </c>
      <c r="G2110" t="n">
        <v>2.1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51869-2022</t>
        </is>
      </c>
      <c r="B2111" s="1" t="n">
        <v>44872</v>
      </c>
      <c r="C2111" s="1" t="n">
        <v>45627</v>
      </c>
      <c r="D2111" t="inlineStr">
        <is>
          <t>HALLANDS LÄN</t>
        </is>
      </c>
      <c r="E2111" t="inlineStr">
        <is>
          <t>HYLTE</t>
        </is>
      </c>
      <c r="G2111" t="n">
        <v>0.8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51943-2022</t>
        </is>
      </c>
      <c r="B2112" s="1" t="n">
        <v>44872</v>
      </c>
      <c r="C2112" s="1" t="n">
        <v>45627</v>
      </c>
      <c r="D2112" t="inlineStr">
        <is>
          <t>HALLANDS LÄN</t>
        </is>
      </c>
      <c r="E2112" t="inlineStr">
        <is>
          <t>HYLTE</t>
        </is>
      </c>
      <c r="G2112" t="n">
        <v>1.9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51938-2022</t>
        </is>
      </c>
      <c r="B2113" s="1" t="n">
        <v>44872</v>
      </c>
      <c r="C2113" s="1" t="n">
        <v>45627</v>
      </c>
      <c r="D2113" t="inlineStr">
        <is>
          <t>HALLANDS LÄN</t>
        </is>
      </c>
      <c r="E2113" t="inlineStr">
        <is>
          <t>HYLTE</t>
        </is>
      </c>
      <c r="G2113" t="n">
        <v>2.1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52011-2022</t>
        </is>
      </c>
      <c r="B2114" s="1" t="n">
        <v>44872</v>
      </c>
      <c r="C2114" s="1" t="n">
        <v>45627</v>
      </c>
      <c r="D2114" t="inlineStr">
        <is>
          <t>HALLANDS LÄN</t>
        </is>
      </c>
      <c r="E2114" t="inlineStr">
        <is>
          <t>HYLTE</t>
        </is>
      </c>
      <c r="G2114" t="n">
        <v>0.8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52056-2022</t>
        </is>
      </c>
      <c r="B2115" s="1" t="n">
        <v>44873</v>
      </c>
      <c r="C2115" s="1" t="n">
        <v>45627</v>
      </c>
      <c r="D2115" t="inlineStr">
        <is>
          <t>HALLANDS LÄN</t>
        </is>
      </c>
      <c r="E2115" t="inlineStr">
        <is>
          <t>LAHOLM</t>
        </is>
      </c>
      <c r="F2115" t="inlineStr">
        <is>
          <t>Sveaskog</t>
        </is>
      </c>
      <c r="G2115" t="n">
        <v>2.9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52102-2022</t>
        </is>
      </c>
      <c r="B2116" s="1" t="n">
        <v>44873</v>
      </c>
      <c r="C2116" s="1" t="n">
        <v>45627</v>
      </c>
      <c r="D2116" t="inlineStr">
        <is>
          <t>HALLANDS LÄN</t>
        </is>
      </c>
      <c r="E2116" t="inlineStr">
        <is>
          <t>HALMSTAD</t>
        </is>
      </c>
      <c r="G2116" t="n">
        <v>0.6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52110-2022</t>
        </is>
      </c>
      <c r="B2117" s="1" t="n">
        <v>44873</v>
      </c>
      <c r="C2117" s="1" t="n">
        <v>45627</v>
      </c>
      <c r="D2117" t="inlineStr">
        <is>
          <t>HALLANDS LÄN</t>
        </is>
      </c>
      <c r="E2117" t="inlineStr">
        <is>
          <t>LAHOLM</t>
        </is>
      </c>
      <c r="G2117" t="n">
        <v>0.3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52055-2022</t>
        </is>
      </c>
      <c r="B2118" s="1" t="n">
        <v>44873</v>
      </c>
      <c r="C2118" s="1" t="n">
        <v>45627</v>
      </c>
      <c r="D2118" t="inlineStr">
        <is>
          <t>HALLANDS LÄN</t>
        </is>
      </c>
      <c r="E2118" t="inlineStr">
        <is>
          <t>LAHOLM</t>
        </is>
      </c>
      <c r="F2118" t="inlineStr">
        <is>
          <t>Sveaskog</t>
        </is>
      </c>
      <c r="G2118" t="n">
        <v>6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52106-2022</t>
        </is>
      </c>
      <c r="B2119" s="1" t="n">
        <v>44873</v>
      </c>
      <c r="C2119" s="1" t="n">
        <v>45627</v>
      </c>
      <c r="D2119" t="inlineStr">
        <is>
          <t>HALLANDS LÄN</t>
        </is>
      </c>
      <c r="E2119" t="inlineStr">
        <is>
          <t>LAHOLM</t>
        </is>
      </c>
      <c r="G2119" t="n">
        <v>1.4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52113-2022</t>
        </is>
      </c>
      <c r="B2120" s="1" t="n">
        <v>44873</v>
      </c>
      <c r="C2120" s="1" t="n">
        <v>45627</v>
      </c>
      <c r="D2120" t="inlineStr">
        <is>
          <t>HALLANDS LÄN</t>
        </is>
      </c>
      <c r="E2120" t="inlineStr">
        <is>
          <t>LAHOLM</t>
        </is>
      </c>
      <c r="G2120" t="n">
        <v>1.2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52131-2022</t>
        </is>
      </c>
      <c r="B2121" s="1" t="n">
        <v>44873</v>
      </c>
      <c r="C2121" s="1" t="n">
        <v>45627</v>
      </c>
      <c r="D2121" t="inlineStr">
        <is>
          <t>HALLANDS LÄN</t>
        </is>
      </c>
      <c r="E2121" t="inlineStr">
        <is>
          <t>LAHOLM</t>
        </is>
      </c>
      <c r="G2121" t="n">
        <v>3.1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52317-2022</t>
        </is>
      </c>
      <c r="B2122" s="1" t="n">
        <v>44873</v>
      </c>
      <c r="C2122" s="1" t="n">
        <v>45627</v>
      </c>
      <c r="D2122" t="inlineStr">
        <is>
          <t>HALLANDS LÄN</t>
        </is>
      </c>
      <c r="E2122" t="inlineStr">
        <is>
          <t>KUNGSBACKA</t>
        </is>
      </c>
      <c r="G2122" t="n">
        <v>1.4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52248-2022</t>
        </is>
      </c>
      <c r="B2123" s="1" t="n">
        <v>44873</v>
      </c>
      <c r="C2123" s="1" t="n">
        <v>45627</v>
      </c>
      <c r="D2123" t="inlineStr">
        <is>
          <t>HALLANDS LÄN</t>
        </is>
      </c>
      <c r="E2123" t="inlineStr">
        <is>
          <t>HYLTE</t>
        </is>
      </c>
      <c r="G2123" t="n">
        <v>1.3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52358-2022</t>
        </is>
      </c>
      <c r="B2124" s="1" t="n">
        <v>44874</v>
      </c>
      <c r="C2124" s="1" t="n">
        <v>45627</v>
      </c>
      <c r="D2124" t="inlineStr">
        <is>
          <t>HALLANDS LÄN</t>
        </is>
      </c>
      <c r="E2124" t="inlineStr">
        <is>
          <t>VARBERG</t>
        </is>
      </c>
      <c r="G2124" t="n">
        <v>1.7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52507-2022</t>
        </is>
      </c>
      <c r="B2125" s="1" t="n">
        <v>44874</v>
      </c>
      <c r="C2125" s="1" t="n">
        <v>45627</v>
      </c>
      <c r="D2125" t="inlineStr">
        <is>
          <t>HALLANDS LÄN</t>
        </is>
      </c>
      <c r="E2125" t="inlineStr">
        <is>
          <t>VARBERG</t>
        </is>
      </c>
      <c r="G2125" t="n">
        <v>3.8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52640-2022</t>
        </is>
      </c>
      <c r="B2126" s="1" t="n">
        <v>44874</v>
      </c>
      <c r="C2126" s="1" t="n">
        <v>45627</v>
      </c>
      <c r="D2126" t="inlineStr">
        <is>
          <t>HALLANDS LÄN</t>
        </is>
      </c>
      <c r="E2126" t="inlineStr">
        <is>
          <t>VARBERG</t>
        </is>
      </c>
      <c r="G2126" t="n">
        <v>1.1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52779-2022</t>
        </is>
      </c>
      <c r="B2127" s="1" t="n">
        <v>44875</v>
      </c>
      <c r="C2127" s="1" t="n">
        <v>45627</v>
      </c>
      <c r="D2127" t="inlineStr">
        <is>
          <t>HALLANDS LÄN</t>
        </is>
      </c>
      <c r="E2127" t="inlineStr">
        <is>
          <t>LAHOLM</t>
        </is>
      </c>
      <c r="G2127" t="n">
        <v>2.2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52975-2022</t>
        </is>
      </c>
      <c r="B2128" s="1" t="n">
        <v>44875</v>
      </c>
      <c r="C2128" s="1" t="n">
        <v>45627</v>
      </c>
      <c r="D2128" t="inlineStr">
        <is>
          <t>HALLANDS LÄN</t>
        </is>
      </c>
      <c r="E2128" t="inlineStr">
        <is>
          <t>VARBERG</t>
        </is>
      </c>
      <c r="G2128" t="n">
        <v>4.2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53763-2022</t>
        </is>
      </c>
      <c r="B2129" s="1" t="n">
        <v>44875</v>
      </c>
      <c r="C2129" s="1" t="n">
        <v>45627</v>
      </c>
      <c r="D2129" t="inlineStr">
        <is>
          <t>HALLANDS LÄN</t>
        </is>
      </c>
      <c r="E2129" t="inlineStr">
        <is>
          <t>HALMSTAD</t>
        </is>
      </c>
      <c r="G2129" t="n">
        <v>0.9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53039-2022</t>
        </is>
      </c>
      <c r="B2130" s="1" t="n">
        <v>44876</v>
      </c>
      <c r="C2130" s="1" t="n">
        <v>45627</v>
      </c>
      <c r="D2130" t="inlineStr">
        <is>
          <t>HALLANDS LÄN</t>
        </is>
      </c>
      <c r="E2130" t="inlineStr">
        <is>
          <t>VARBERG</t>
        </is>
      </c>
      <c r="G2130" t="n">
        <v>1.7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53041-2022</t>
        </is>
      </c>
      <c r="B2131" s="1" t="n">
        <v>44876</v>
      </c>
      <c r="C2131" s="1" t="n">
        <v>45627</v>
      </c>
      <c r="D2131" t="inlineStr">
        <is>
          <t>HALLANDS LÄN</t>
        </is>
      </c>
      <c r="E2131" t="inlineStr">
        <is>
          <t>VARBERG</t>
        </is>
      </c>
      <c r="G2131" t="n">
        <v>0.6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53268-2022</t>
        </is>
      </c>
      <c r="B2132" s="1" t="n">
        <v>44876</v>
      </c>
      <c r="C2132" s="1" t="n">
        <v>45627</v>
      </c>
      <c r="D2132" t="inlineStr">
        <is>
          <t>HALLANDS LÄN</t>
        </is>
      </c>
      <c r="E2132" t="inlineStr">
        <is>
          <t>HYLTE</t>
        </is>
      </c>
      <c r="G2132" t="n">
        <v>2.3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53267-2022</t>
        </is>
      </c>
      <c r="B2133" s="1" t="n">
        <v>44876</v>
      </c>
      <c r="C2133" s="1" t="n">
        <v>45627</v>
      </c>
      <c r="D2133" t="inlineStr">
        <is>
          <t>HALLANDS LÄN</t>
        </is>
      </c>
      <c r="E2133" t="inlineStr">
        <is>
          <t>HYLTE</t>
        </is>
      </c>
      <c r="G2133" t="n">
        <v>4.2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53465-2022</t>
        </is>
      </c>
      <c r="B2134" s="1" t="n">
        <v>44879</v>
      </c>
      <c r="C2134" s="1" t="n">
        <v>45627</v>
      </c>
      <c r="D2134" t="inlineStr">
        <is>
          <t>HALLANDS LÄN</t>
        </is>
      </c>
      <c r="E2134" t="inlineStr">
        <is>
          <t>HALMSTAD</t>
        </is>
      </c>
      <c r="G2134" t="n">
        <v>1.2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53550-2022</t>
        </is>
      </c>
      <c r="B2135" s="1" t="n">
        <v>44879</v>
      </c>
      <c r="C2135" s="1" t="n">
        <v>45627</v>
      </c>
      <c r="D2135" t="inlineStr">
        <is>
          <t>HALLANDS LÄN</t>
        </is>
      </c>
      <c r="E2135" t="inlineStr">
        <is>
          <t>HALMSTAD</t>
        </is>
      </c>
      <c r="G2135" t="n">
        <v>0.6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53584-2022</t>
        </is>
      </c>
      <c r="B2136" s="1" t="n">
        <v>44879</v>
      </c>
      <c r="C2136" s="1" t="n">
        <v>45627</v>
      </c>
      <c r="D2136" t="inlineStr">
        <is>
          <t>HALLANDS LÄN</t>
        </is>
      </c>
      <c r="E2136" t="inlineStr">
        <is>
          <t>LAHOLM</t>
        </is>
      </c>
      <c r="G2136" t="n">
        <v>1.4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53449-2022</t>
        </is>
      </c>
      <c r="B2137" s="1" t="n">
        <v>44879</v>
      </c>
      <c r="C2137" s="1" t="n">
        <v>45627</v>
      </c>
      <c r="D2137" t="inlineStr">
        <is>
          <t>HALLANDS LÄN</t>
        </is>
      </c>
      <c r="E2137" t="inlineStr">
        <is>
          <t>FALKENBERG</t>
        </is>
      </c>
      <c r="G2137" t="n">
        <v>0.8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53499-2022</t>
        </is>
      </c>
      <c r="B2138" s="1" t="n">
        <v>44879</v>
      </c>
      <c r="C2138" s="1" t="n">
        <v>45627</v>
      </c>
      <c r="D2138" t="inlineStr">
        <is>
          <t>HALLANDS LÄN</t>
        </is>
      </c>
      <c r="E2138" t="inlineStr">
        <is>
          <t>HALMSTAD</t>
        </is>
      </c>
      <c r="G2138" t="n">
        <v>6.1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53539-2022</t>
        </is>
      </c>
      <c r="B2139" s="1" t="n">
        <v>44879</v>
      </c>
      <c r="C2139" s="1" t="n">
        <v>45627</v>
      </c>
      <c r="D2139" t="inlineStr">
        <is>
          <t>HALLANDS LÄN</t>
        </is>
      </c>
      <c r="E2139" t="inlineStr">
        <is>
          <t>HALMSTAD</t>
        </is>
      </c>
      <c r="G2139" t="n">
        <v>0.7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53462-2022</t>
        </is>
      </c>
      <c r="B2140" s="1" t="n">
        <v>44879</v>
      </c>
      <c r="C2140" s="1" t="n">
        <v>45627</v>
      </c>
      <c r="D2140" t="inlineStr">
        <is>
          <t>HALLANDS LÄN</t>
        </is>
      </c>
      <c r="E2140" t="inlineStr">
        <is>
          <t>LAHOLM</t>
        </is>
      </c>
      <c r="F2140" t="inlineStr">
        <is>
          <t>Sveaskog</t>
        </is>
      </c>
      <c r="G2140" t="n">
        <v>11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53882-2022</t>
        </is>
      </c>
      <c r="B2141" s="1" t="n">
        <v>44880</v>
      </c>
      <c r="C2141" s="1" t="n">
        <v>45627</v>
      </c>
      <c r="D2141" t="inlineStr">
        <is>
          <t>HALLANDS LÄN</t>
        </is>
      </c>
      <c r="E2141" t="inlineStr">
        <is>
          <t>KUNGSBACKA</t>
        </is>
      </c>
      <c r="G2141" t="n">
        <v>0.9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53909-2022</t>
        </is>
      </c>
      <c r="B2142" s="1" t="n">
        <v>44880</v>
      </c>
      <c r="C2142" s="1" t="n">
        <v>45627</v>
      </c>
      <c r="D2142" t="inlineStr">
        <is>
          <t>HALLANDS LÄN</t>
        </is>
      </c>
      <c r="E2142" t="inlineStr">
        <is>
          <t>LAHOLM</t>
        </is>
      </c>
      <c r="G2142" t="n">
        <v>2.1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53809-2022</t>
        </is>
      </c>
      <c r="B2143" s="1" t="n">
        <v>44880</v>
      </c>
      <c r="C2143" s="1" t="n">
        <v>45627</v>
      </c>
      <c r="D2143" t="inlineStr">
        <is>
          <t>HALLANDS LÄN</t>
        </is>
      </c>
      <c r="E2143" t="inlineStr">
        <is>
          <t>FALKENBERG</t>
        </is>
      </c>
      <c r="G2143" t="n">
        <v>1.8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53901-2022</t>
        </is>
      </c>
      <c r="B2144" s="1" t="n">
        <v>44880</v>
      </c>
      <c r="C2144" s="1" t="n">
        <v>45627</v>
      </c>
      <c r="D2144" t="inlineStr">
        <is>
          <t>HALLANDS LÄN</t>
        </is>
      </c>
      <c r="E2144" t="inlineStr">
        <is>
          <t>LAHOLM</t>
        </is>
      </c>
      <c r="G2144" t="n">
        <v>0.6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53911-2022</t>
        </is>
      </c>
      <c r="B2145" s="1" t="n">
        <v>44880</v>
      </c>
      <c r="C2145" s="1" t="n">
        <v>45627</v>
      </c>
      <c r="D2145" t="inlineStr">
        <is>
          <t>HALLANDS LÄN</t>
        </is>
      </c>
      <c r="E2145" t="inlineStr">
        <is>
          <t>LAHOLM</t>
        </is>
      </c>
      <c r="G2145" t="n">
        <v>1.4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53873-2022</t>
        </is>
      </c>
      <c r="B2146" s="1" t="n">
        <v>44880</v>
      </c>
      <c r="C2146" s="1" t="n">
        <v>45627</v>
      </c>
      <c r="D2146" t="inlineStr">
        <is>
          <t>HALLANDS LÄN</t>
        </is>
      </c>
      <c r="E2146" t="inlineStr">
        <is>
          <t>HALMSTAD</t>
        </is>
      </c>
      <c r="G2146" t="n">
        <v>1.4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54121-2022</t>
        </is>
      </c>
      <c r="B2147" s="1" t="n">
        <v>44881</v>
      </c>
      <c r="C2147" s="1" t="n">
        <v>45627</v>
      </c>
      <c r="D2147" t="inlineStr">
        <is>
          <t>HALLANDS LÄN</t>
        </is>
      </c>
      <c r="E2147" t="inlineStr">
        <is>
          <t>FALKENBERG</t>
        </is>
      </c>
      <c r="G2147" t="n">
        <v>1.6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54115-2022</t>
        </is>
      </c>
      <c r="B2148" s="1" t="n">
        <v>44881</v>
      </c>
      <c r="C2148" s="1" t="n">
        <v>45627</v>
      </c>
      <c r="D2148" t="inlineStr">
        <is>
          <t>HALLANDS LÄN</t>
        </is>
      </c>
      <c r="E2148" t="inlineStr">
        <is>
          <t>FALKENBERG</t>
        </is>
      </c>
      <c r="G2148" t="n">
        <v>0.8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54385-2022</t>
        </is>
      </c>
      <c r="B2149" s="1" t="n">
        <v>44882</v>
      </c>
      <c r="C2149" s="1" t="n">
        <v>45627</v>
      </c>
      <c r="D2149" t="inlineStr">
        <is>
          <t>HALLANDS LÄN</t>
        </is>
      </c>
      <c r="E2149" t="inlineStr">
        <is>
          <t>LAHOLM</t>
        </is>
      </c>
      <c r="G2149" t="n">
        <v>2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55257-2022</t>
        </is>
      </c>
      <c r="B2150" s="1" t="n">
        <v>44882</v>
      </c>
      <c r="C2150" s="1" t="n">
        <v>45627</v>
      </c>
      <c r="D2150" t="inlineStr">
        <is>
          <t>HALLANDS LÄN</t>
        </is>
      </c>
      <c r="E2150" t="inlineStr">
        <is>
          <t>FALKENBERG</t>
        </is>
      </c>
      <c r="G2150" t="n">
        <v>0.7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54802-2022</t>
        </is>
      </c>
      <c r="B2151" s="1" t="n">
        <v>44883</v>
      </c>
      <c r="C2151" s="1" t="n">
        <v>45627</v>
      </c>
      <c r="D2151" t="inlineStr">
        <is>
          <t>HALLANDS LÄN</t>
        </is>
      </c>
      <c r="E2151" t="inlineStr">
        <is>
          <t>LAHOLM</t>
        </is>
      </c>
      <c r="F2151" t="inlineStr">
        <is>
          <t>Kommuner</t>
        </is>
      </c>
      <c r="G2151" t="n">
        <v>4.4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54723-2022</t>
        </is>
      </c>
      <c r="B2152" s="1" t="n">
        <v>44883</v>
      </c>
      <c r="C2152" s="1" t="n">
        <v>45627</v>
      </c>
      <c r="D2152" t="inlineStr">
        <is>
          <t>HALLANDS LÄN</t>
        </is>
      </c>
      <c r="E2152" t="inlineStr">
        <is>
          <t>HYLTE</t>
        </is>
      </c>
      <c r="G2152" t="n">
        <v>1.5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54795-2022</t>
        </is>
      </c>
      <c r="B2153" s="1" t="n">
        <v>44883</v>
      </c>
      <c r="C2153" s="1" t="n">
        <v>45627</v>
      </c>
      <c r="D2153" t="inlineStr">
        <is>
          <t>HALLANDS LÄN</t>
        </is>
      </c>
      <c r="E2153" t="inlineStr">
        <is>
          <t>LAHOLM</t>
        </is>
      </c>
      <c r="F2153" t="inlineStr">
        <is>
          <t>Kommuner</t>
        </is>
      </c>
      <c r="G2153" t="n">
        <v>20.3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54869-2022</t>
        </is>
      </c>
      <c r="B2154" s="1" t="n">
        <v>44885</v>
      </c>
      <c r="C2154" s="1" t="n">
        <v>45627</v>
      </c>
      <c r="D2154" t="inlineStr">
        <is>
          <t>HALLANDS LÄN</t>
        </is>
      </c>
      <c r="E2154" t="inlineStr">
        <is>
          <t>HALMSTAD</t>
        </is>
      </c>
      <c r="G2154" t="n">
        <v>1.3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54870-2022</t>
        </is>
      </c>
      <c r="B2155" s="1" t="n">
        <v>44885</v>
      </c>
      <c r="C2155" s="1" t="n">
        <v>45627</v>
      </c>
      <c r="D2155" t="inlineStr">
        <is>
          <t>HALLANDS LÄN</t>
        </is>
      </c>
      <c r="E2155" t="inlineStr">
        <is>
          <t>HALMSTAD</t>
        </is>
      </c>
      <c r="G2155" t="n">
        <v>1.5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55006-2022</t>
        </is>
      </c>
      <c r="B2156" s="1" t="n">
        <v>44886</v>
      </c>
      <c r="C2156" s="1" t="n">
        <v>45627</v>
      </c>
      <c r="D2156" t="inlineStr">
        <is>
          <t>HALLANDS LÄN</t>
        </is>
      </c>
      <c r="E2156" t="inlineStr">
        <is>
          <t>HALMSTAD</t>
        </is>
      </c>
      <c r="G2156" t="n">
        <v>1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55033-2022</t>
        </is>
      </c>
      <c r="B2157" s="1" t="n">
        <v>44886</v>
      </c>
      <c r="C2157" s="1" t="n">
        <v>45627</v>
      </c>
      <c r="D2157" t="inlineStr">
        <is>
          <t>HALLANDS LÄN</t>
        </is>
      </c>
      <c r="E2157" t="inlineStr">
        <is>
          <t>LAHOLM</t>
        </is>
      </c>
      <c r="G2157" t="n">
        <v>1.7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55038-2022</t>
        </is>
      </c>
      <c r="B2158" s="1" t="n">
        <v>44886</v>
      </c>
      <c r="C2158" s="1" t="n">
        <v>45627</v>
      </c>
      <c r="D2158" t="inlineStr">
        <is>
          <t>HALLANDS LÄN</t>
        </is>
      </c>
      <c r="E2158" t="inlineStr">
        <is>
          <t>VARBERG</t>
        </is>
      </c>
      <c r="G2158" t="n">
        <v>1.5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55064-2022</t>
        </is>
      </c>
      <c r="B2159" s="1" t="n">
        <v>44886</v>
      </c>
      <c r="C2159" s="1" t="n">
        <v>45627</v>
      </c>
      <c r="D2159" t="inlineStr">
        <is>
          <t>HALLANDS LÄN</t>
        </is>
      </c>
      <c r="E2159" t="inlineStr">
        <is>
          <t>VARBERG</t>
        </is>
      </c>
      <c r="G2159" t="n">
        <v>1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55107-2022</t>
        </is>
      </c>
      <c r="B2160" s="1" t="n">
        <v>44886</v>
      </c>
      <c r="C2160" s="1" t="n">
        <v>45627</v>
      </c>
      <c r="D2160" t="inlineStr">
        <is>
          <t>HALLANDS LÄN</t>
        </is>
      </c>
      <c r="E2160" t="inlineStr">
        <is>
          <t>LAHOLM</t>
        </is>
      </c>
      <c r="F2160" t="inlineStr">
        <is>
          <t>Sveaskog</t>
        </is>
      </c>
      <c r="G2160" t="n">
        <v>1.5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55417-2022</t>
        </is>
      </c>
      <c r="B2161" s="1" t="n">
        <v>44887</v>
      </c>
      <c r="C2161" s="1" t="n">
        <v>45627</v>
      </c>
      <c r="D2161" t="inlineStr">
        <is>
          <t>HALLANDS LÄN</t>
        </is>
      </c>
      <c r="E2161" t="inlineStr">
        <is>
          <t>HYLTE</t>
        </is>
      </c>
      <c r="G2161" t="n">
        <v>4.1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55270-2022</t>
        </is>
      </c>
      <c r="B2162" s="1" t="n">
        <v>44887</v>
      </c>
      <c r="C2162" s="1" t="n">
        <v>45627</v>
      </c>
      <c r="D2162" t="inlineStr">
        <is>
          <t>HALLANDS LÄN</t>
        </is>
      </c>
      <c r="E2162" t="inlineStr">
        <is>
          <t>FALKENBERG</t>
        </is>
      </c>
      <c r="G2162" t="n">
        <v>1.1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57211-2022</t>
        </is>
      </c>
      <c r="B2163" s="1" t="n">
        <v>44889</v>
      </c>
      <c r="C2163" s="1" t="n">
        <v>45627</v>
      </c>
      <c r="D2163" t="inlineStr">
        <is>
          <t>HALLANDS LÄN</t>
        </is>
      </c>
      <c r="E2163" t="inlineStr">
        <is>
          <t>HYLTE</t>
        </is>
      </c>
      <c r="G2163" t="n">
        <v>2.6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56320-2022</t>
        </is>
      </c>
      <c r="B2164" s="1" t="n">
        <v>44890</v>
      </c>
      <c r="C2164" s="1" t="n">
        <v>45627</v>
      </c>
      <c r="D2164" t="inlineStr">
        <is>
          <t>HALLANDS LÄN</t>
        </is>
      </c>
      <c r="E2164" t="inlineStr">
        <is>
          <t>VARBERG</t>
        </is>
      </c>
      <c r="G2164" t="n">
        <v>5.5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56496-2022</t>
        </is>
      </c>
      <c r="B2165" s="1" t="n">
        <v>44893</v>
      </c>
      <c r="C2165" s="1" t="n">
        <v>45627</v>
      </c>
      <c r="D2165" t="inlineStr">
        <is>
          <t>HALLANDS LÄN</t>
        </is>
      </c>
      <c r="E2165" t="inlineStr">
        <is>
          <t>HYLTE</t>
        </is>
      </c>
      <c r="G2165" t="n">
        <v>0.6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56580-2022</t>
        </is>
      </c>
      <c r="B2166" s="1" t="n">
        <v>44893</v>
      </c>
      <c r="C2166" s="1" t="n">
        <v>45627</v>
      </c>
      <c r="D2166" t="inlineStr">
        <is>
          <t>HALLANDS LÄN</t>
        </is>
      </c>
      <c r="E2166" t="inlineStr">
        <is>
          <t>HYLTE</t>
        </is>
      </c>
      <c r="G2166" t="n">
        <v>1.9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56453-2022</t>
        </is>
      </c>
      <c r="B2167" s="1" t="n">
        <v>44893</v>
      </c>
      <c r="C2167" s="1" t="n">
        <v>45627</v>
      </c>
      <c r="D2167" t="inlineStr">
        <is>
          <t>HALLANDS LÄN</t>
        </is>
      </c>
      <c r="E2167" t="inlineStr">
        <is>
          <t>LAHOLM</t>
        </is>
      </c>
      <c r="G2167" t="n">
        <v>0.7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56451-2022</t>
        </is>
      </c>
      <c r="B2168" s="1" t="n">
        <v>44893</v>
      </c>
      <c r="C2168" s="1" t="n">
        <v>45627</v>
      </c>
      <c r="D2168" t="inlineStr">
        <is>
          <t>HALLANDS LÄN</t>
        </is>
      </c>
      <c r="E2168" t="inlineStr">
        <is>
          <t>FALKENBERG</t>
        </is>
      </c>
      <c r="G2168" t="n">
        <v>1.1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56845-2022</t>
        </is>
      </c>
      <c r="B2169" s="1" t="n">
        <v>44894</v>
      </c>
      <c r="C2169" s="1" t="n">
        <v>45627</v>
      </c>
      <c r="D2169" t="inlineStr">
        <is>
          <t>HALLANDS LÄN</t>
        </is>
      </c>
      <c r="E2169" t="inlineStr">
        <is>
          <t>FALKENBERG</t>
        </is>
      </c>
      <c r="G2169" t="n">
        <v>3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56967-2022</t>
        </is>
      </c>
      <c r="B2170" s="1" t="n">
        <v>44894</v>
      </c>
      <c r="C2170" s="1" t="n">
        <v>45627</v>
      </c>
      <c r="D2170" t="inlineStr">
        <is>
          <t>HALLANDS LÄN</t>
        </is>
      </c>
      <c r="E2170" t="inlineStr">
        <is>
          <t>VARBERG</t>
        </is>
      </c>
      <c r="G2170" t="n">
        <v>1.1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57056-2022</t>
        </is>
      </c>
      <c r="B2171" s="1" t="n">
        <v>44895</v>
      </c>
      <c r="C2171" s="1" t="n">
        <v>45627</v>
      </c>
      <c r="D2171" t="inlineStr">
        <is>
          <t>HALLANDS LÄN</t>
        </is>
      </c>
      <c r="E2171" t="inlineStr">
        <is>
          <t>KUNGSBACKA</t>
        </is>
      </c>
      <c r="G2171" t="n">
        <v>4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57135-2022</t>
        </is>
      </c>
      <c r="B2172" s="1" t="n">
        <v>44895</v>
      </c>
      <c r="C2172" s="1" t="n">
        <v>45627</v>
      </c>
      <c r="D2172" t="inlineStr">
        <is>
          <t>HALLANDS LÄN</t>
        </is>
      </c>
      <c r="E2172" t="inlineStr">
        <is>
          <t>LAHOLM</t>
        </is>
      </c>
      <c r="G2172" t="n">
        <v>4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57422-2022</t>
        </is>
      </c>
      <c r="B2173" s="1" t="n">
        <v>44896</v>
      </c>
      <c r="C2173" s="1" t="n">
        <v>45627</v>
      </c>
      <c r="D2173" t="inlineStr">
        <is>
          <t>HALLANDS LÄN</t>
        </is>
      </c>
      <c r="E2173" t="inlineStr">
        <is>
          <t>HYLTE</t>
        </is>
      </c>
      <c r="G2173" t="n">
        <v>0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57557-2022</t>
        </is>
      </c>
      <c r="B2174" s="1" t="n">
        <v>44896</v>
      </c>
      <c r="C2174" s="1" t="n">
        <v>45627</v>
      </c>
      <c r="D2174" t="inlineStr">
        <is>
          <t>HALLANDS LÄN</t>
        </is>
      </c>
      <c r="E2174" t="inlineStr">
        <is>
          <t>VARBERG</t>
        </is>
      </c>
      <c r="G2174" t="n">
        <v>5.6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57562-2022</t>
        </is>
      </c>
      <c r="B2175" s="1" t="n">
        <v>44896</v>
      </c>
      <c r="C2175" s="1" t="n">
        <v>45627</v>
      </c>
      <c r="D2175" t="inlineStr">
        <is>
          <t>HALLANDS LÄN</t>
        </is>
      </c>
      <c r="E2175" t="inlineStr">
        <is>
          <t>VARBERG</t>
        </is>
      </c>
      <c r="G2175" t="n">
        <v>4.5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57420-2022</t>
        </is>
      </c>
      <c r="B2176" s="1" t="n">
        <v>44896</v>
      </c>
      <c r="C2176" s="1" t="n">
        <v>45627</v>
      </c>
      <c r="D2176" t="inlineStr">
        <is>
          <t>HALLANDS LÄN</t>
        </is>
      </c>
      <c r="E2176" t="inlineStr">
        <is>
          <t>HYLTE</t>
        </is>
      </c>
      <c r="G2176" t="n">
        <v>1.5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57660-2022</t>
        </is>
      </c>
      <c r="B2177" s="1" t="n">
        <v>44897</v>
      </c>
      <c r="C2177" s="1" t="n">
        <v>45627</v>
      </c>
      <c r="D2177" t="inlineStr">
        <is>
          <t>HALLANDS LÄN</t>
        </is>
      </c>
      <c r="E2177" t="inlineStr">
        <is>
          <t>FALKENBERG</t>
        </is>
      </c>
      <c r="G2177" t="n">
        <v>5.2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57790-2022</t>
        </is>
      </c>
      <c r="B2178" s="1" t="n">
        <v>44897</v>
      </c>
      <c r="C2178" s="1" t="n">
        <v>45627</v>
      </c>
      <c r="D2178" t="inlineStr">
        <is>
          <t>HALLANDS LÄN</t>
        </is>
      </c>
      <c r="E2178" t="inlineStr">
        <is>
          <t>KUNGSBACKA</t>
        </is>
      </c>
      <c r="G2178" t="n">
        <v>18.8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59260-2022</t>
        </is>
      </c>
      <c r="B2179" s="1" t="n">
        <v>44897</v>
      </c>
      <c r="C2179" s="1" t="n">
        <v>45627</v>
      </c>
      <c r="D2179" t="inlineStr">
        <is>
          <t>HALLANDS LÄN</t>
        </is>
      </c>
      <c r="E2179" t="inlineStr">
        <is>
          <t>HALMSTAD</t>
        </is>
      </c>
      <c r="F2179" t="inlineStr">
        <is>
          <t>Bergvik skog väst AB</t>
        </is>
      </c>
      <c r="G2179" t="n">
        <v>9.800000000000001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59254-2022</t>
        </is>
      </c>
      <c r="B2180" s="1" t="n">
        <v>44897</v>
      </c>
      <c r="C2180" s="1" t="n">
        <v>45627</v>
      </c>
      <c r="D2180" t="inlineStr">
        <is>
          <t>HALLANDS LÄN</t>
        </is>
      </c>
      <c r="E2180" t="inlineStr">
        <is>
          <t>HALMSTAD</t>
        </is>
      </c>
      <c r="F2180" t="inlineStr">
        <is>
          <t>Bergvik skog väst AB</t>
        </is>
      </c>
      <c r="G2180" t="n">
        <v>1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57852-2022</t>
        </is>
      </c>
      <c r="B2181" s="1" t="n">
        <v>44898</v>
      </c>
      <c r="C2181" s="1" t="n">
        <v>45627</v>
      </c>
      <c r="D2181" t="inlineStr">
        <is>
          <t>HALLANDS LÄN</t>
        </is>
      </c>
      <c r="E2181" t="inlineStr">
        <is>
          <t>FALKENBERG</t>
        </is>
      </c>
      <c r="G2181" t="n">
        <v>1.8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57871-2022</t>
        </is>
      </c>
      <c r="B2182" s="1" t="n">
        <v>44899</v>
      </c>
      <c r="C2182" s="1" t="n">
        <v>45627</v>
      </c>
      <c r="D2182" t="inlineStr">
        <is>
          <t>HALLANDS LÄN</t>
        </is>
      </c>
      <c r="E2182" t="inlineStr">
        <is>
          <t>HYLTE</t>
        </is>
      </c>
      <c r="G2182" t="n">
        <v>1.1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57930-2022</t>
        </is>
      </c>
      <c r="B2183" s="1" t="n">
        <v>44900</v>
      </c>
      <c r="C2183" s="1" t="n">
        <v>45627</v>
      </c>
      <c r="D2183" t="inlineStr">
        <is>
          <t>HALLANDS LÄN</t>
        </is>
      </c>
      <c r="E2183" t="inlineStr">
        <is>
          <t>FALKENBERG</t>
        </is>
      </c>
      <c r="G2183" t="n">
        <v>2.1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57941-2022</t>
        </is>
      </c>
      <c r="B2184" s="1" t="n">
        <v>44900</v>
      </c>
      <c r="C2184" s="1" t="n">
        <v>45627</v>
      </c>
      <c r="D2184" t="inlineStr">
        <is>
          <t>HALLANDS LÄN</t>
        </is>
      </c>
      <c r="E2184" t="inlineStr">
        <is>
          <t>HYLTE</t>
        </is>
      </c>
      <c r="G2184" t="n">
        <v>4.1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57948-2022</t>
        </is>
      </c>
      <c r="B2185" s="1" t="n">
        <v>44900</v>
      </c>
      <c r="C2185" s="1" t="n">
        <v>45627</v>
      </c>
      <c r="D2185" t="inlineStr">
        <is>
          <t>HALLANDS LÄN</t>
        </is>
      </c>
      <c r="E2185" t="inlineStr">
        <is>
          <t>HYLTE</t>
        </is>
      </c>
      <c r="G2185" t="n">
        <v>1.4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57938-2022</t>
        </is>
      </c>
      <c r="B2186" s="1" t="n">
        <v>44900</v>
      </c>
      <c r="C2186" s="1" t="n">
        <v>45627</v>
      </c>
      <c r="D2186" t="inlineStr">
        <is>
          <t>HALLANDS LÄN</t>
        </is>
      </c>
      <c r="E2186" t="inlineStr">
        <is>
          <t>HYLTE</t>
        </is>
      </c>
      <c r="G2186" t="n">
        <v>11.6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57966-2022</t>
        </is>
      </c>
      <c r="B2187" s="1" t="n">
        <v>44900</v>
      </c>
      <c r="C2187" s="1" t="n">
        <v>45627</v>
      </c>
      <c r="D2187" t="inlineStr">
        <is>
          <t>HALLANDS LÄN</t>
        </is>
      </c>
      <c r="E2187" t="inlineStr">
        <is>
          <t>HYLTE</t>
        </is>
      </c>
      <c r="G2187" t="n">
        <v>3.5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57946-2022</t>
        </is>
      </c>
      <c r="B2188" s="1" t="n">
        <v>44900</v>
      </c>
      <c r="C2188" s="1" t="n">
        <v>45627</v>
      </c>
      <c r="D2188" t="inlineStr">
        <is>
          <t>HALLANDS LÄN</t>
        </is>
      </c>
      <c r="E2188" t="inlineStr">
        <is>
          <t>HYLTE</t>
        </is>
      </c>
      <c r="G2188" t="n">
        <v>2.1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57950-2022</t>
        </is>
      </c>
      <c r="B2189" s="1" t="n">
        <v>44900</v>
      </c>
      <c r="C2189" s="1" t="n">
        <v>45627</v>
      </c>
      <c r="D2189" t="inlineStr">
        <is>
          <t>HALLANDS LÄN</t>
        </is>
      </c>
      <c r="E2189" t="inlineStr">
        <is>
          <t>HYLTE</t>
        </is>
      </c>
      <c r="G2189" t="n">
        <v>1.9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58061-2022</t>
        </is>
      </c>
      <c r="B2190" s="1" t="n">
        <v>44900</v>
      </c>
      <c r="C2190" s="1" t="n">
        <v>45627</v>
      </c>
      <c r="D2190" t="inlineStr">
        <is>
          <t>HALLANDS LÄN</t>
        </is>
      </c>
      <c r="E2190" t="inlineStr">
        <is>
          <t>HYLTE</t>
        </is>
      </c>
      <c r="F2190" t="inlineStr">
        <is>
          <t>Bergvik skog väst AB</t>
        </is>
      </c>
      <c r="G2190" t="n">
        <v>10.7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58006-2022</t>
        </is>
      </c>
      <c r="B2191" s="1" t="n">
        <v>44900</v>
      </c>
      <c r="C2191" s="1" t="n">
        <v>45627</v>
      </c>
      <c r="D2191" t="inlineStr">
        <is>
          <t>HALLANDS LÄN</t>
        </is>
      </c>
      <c r="E2191" t="inlineStr">
        <is>
          <t>FALKENBERG</t>
        </is>
      </c>
      <c r="G2191" t="n">
        <v>0.9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58072-2022</t>
        </is>
      </c>
      <c r="B2192" s="1" t="n">
        <v>44900</v>
      </c>
      <c r="C2192" s="1" t="n">
        <v>45627</v>
      </c>
      <c r="D2192" t="inlineStr">
        <is>
          <t>HALLANDS LÄN</t>
        </is>
      </c>
      <c r="E2192" t="inlineStr">
        <is>
          <t>FALKENBERG</t>
        </is>
      </c>
      <c r="G2192" t="n">
        <v>4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59494-2022</t>
        </is>
      </c>
      <c r="B2193" s="1" t="n">
        <v>44900</v>
      </c>
      <c r="C2193" s="1" t="n">
        <v>45627</v>
      </c>
      <c r="D2193" t="inlineStr">
        <is>
          <t>HALLANDS LÄN</t>
        </is>
      </c>
      <c r="E2193" t="inlineStr">
        <is>
          <t>HYLTE</t>
        </is>
      </c>
      <c r="G2193" t="n">
        <v>0.8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58221-2022</t>
        </is>
      </c>
      <c r="B2194" s="1" t="n">
        <v>44901</v>
      </c>
      <c r="C2194" s="1" t="n">
        <v>45627</v>
      </c>
      <c r="D2194" t="inlineStr">
        <is>
          <t>HALLANDS LÄN</t>
        </is>
      </c>
      <c r="E2194" t="inlineStr">
        <is>
          <t>HYLTE</t>
        </is>
      </c>
      <c r="G2194" t="n">
        <v>0.8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58361-2022</t>
        </is>
      </c>
      <c r="B2195" s="1" t="n">
        <v>44901</v>
      </c>
      <c r="C2195" s="1" t="n">
        <v>45627</v>
      </c>
      <c r="D2195" t="inlineStr">
        <is>
          <t>HALLANDS LÄN</t>
        </is>
      </c>
      <c r="E2195" t="inlineStr">
        <is>
          <t>LAHOLM</t>
        </is>
      </c>
      <c r="G2195" t="n">
        <v>2.4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58427-2022</t>
        </is>
      </c>
      <c r="B2196" s="1" t="n">
        <v>44901</v>
      </c>
      <c r="C2196" s="1" t="n">
        <v>45627</v>
      </c>
      <c r="D2196" t="inlineStr">
        <is>
          <t>HALLANDS LÄN</t>
        </is>
      </c>
      <c r="E2196" t="inlineStr">
        <is>
          <t>LAHOLM</t>
        </is>
      </c>
      <c r="G2196" t="n">
        <v>8.1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58557-2022</t>
        </is>
      </c>
      <c r="B2197" s="1" t="n">
        <v>44902</v>
      </c>
      <c r="C2197" s="1" t="n">
        <v>45627</v>
      </c>
      <c r="D2197" t="inlineStr">
        <is>
          <t>HALLANDS LÄN</t>
        </is>
      </c>
      <c r="E2197" t="inlineStr">
        <is>
          <t>LAHOLM</t>
        </is>
      </c>
      <c r="G2197" t="n">
        <v>1.2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58558-2022</t>
        </is>
      </c>
      <c r="B2198" s="1" t="n">
        <v>44902</v>
      </c>
      <c r="C2198" s="1" t="n">
        <v>45627</v>
      </c>
      <c r="D2198" t="inlineStr">
        <is>
          <t>HALLANDS LÄN</t>
        </is>
      </c>
      <c r="E2198" t="inlineStr">
        <is>
          <t>LAHOLM</t>
        </is>
      </c>
      <c r="G2198" t="n">
        <v>1.1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58534-2022</t>
        </is>
      </c>
      <c r="B2199" s="1" t="n">
        <v>44902</v>
      </c>
      <c r="C2199" s="1" t="n">
        <v>45627</v>
      </c>
      <c r="D2199" t="inlineStr">
        <is>
          <t>HALLANDS LÄN</t>
        </is>
      </c>
      <c r="E2199" t="inlineStr">
        <is>
          <t>FALKENBERG</t>
        </is>
      </c>
      <c r="G2199" t="n">
        <v>1.4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60149-2022</t>
        </is>
      </c>
      <c r="B2200" s="1" t="n">
        <v>44902</v>
      </c>
      <c r="C2200" s="1" t="n">
        <v>45627</v>
      </c>
      <c r="D2200" t="inlineStr">
        <is>
          <t>HALLANDS LÄN</t>
        </is>
      </c>
      <c r="E2200" t="inlineStr">
        <is>
          <t>LAHOLM</t>
        </is>
      </c>
      <c r="G2200" t="n">
        <v>2.8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60152-2022</t>
        </is>
      </c>
      <c r="B2201" s="1" t="n">
        <v>44902</v>
      </c>
      <c r="C2201" s="1" t="n">
        <v>45627</v>
      </c>
      <c r="D2201" t="inlineStr">
        <is>
          <t>HALLANDS LÄN</t>
        </is>
      </c>
      <c r="E2201" t="inlineStr">
        <is>
          <t>LAHOLM</t>
        </is>
      </c>
      <c r="G2201" t="n">
        <v>7.8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58683-2022</t>
        </is>
      </c>
      <c r="B2202" s="1" t="n">
        <v>44902</v>
      </c>
      <c r="C2202" s="1" t="n">
        <v>45627</v>
      </c>
      <c r="D2202" t="inlineStr">
        <is>
          <t>HALLANDS LÄN</t>
        </is>
      </c>
      <c r="E2202" t="inlineStr">
        <is>
          <t>VARBERG</t>
        </is>
      </c>
      <c r="G2202" t="n">
        <v>2.4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58817-2022</t>
        </is>
      </c>
      <c r="B2203" s="1" t="n">
        <v>44903</v>
      </c>
      <c r="C2203" s="1" t="n">
        <v>45627</v>
      </c>
      <c r="D2203" t="inlineStr">
        <is>
          <t>HALLANDS LÄN</t>
        </is>
      </c>
      <c r="E2203" t="inlineStr">
        <is>
          <t>HYLTE</t>
        </is>
      </c>
      <c r="G2203" t="n">
        <v>2.1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58939-2022</t>
        </is>
      </c>
      <c r="B2204" s="1" t="n">
        <v>44903</v>
      </c>
      <c r="C2204" s="1" t="n">
        <v>45627</v>
      </c>
      <c r="D2204" t="inlineStr">
        <is>
          <t>HALLANDS LÄN</t>
        </is>
      </c>
      <c r="E2204" t="inlineStr">
        <is>
          <t>FALKENBERG</t>
        </is>
      </c>
      <c r="G2204" t="n">
        <v>1.6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58813-2022</t>
        </is>
      </c>
      <c r="B2205" s="1" t="n">
        <v>44903</v>
      </c>
      <c r="C2205" s="1" t="n">
        <v>45627</v>
      </c>
      <c r="D2205" t="inlineStr">
        <is>
          <t>HALLANDS LÄN</t>
        </is>
      </c>
      <c r="E2205" t="inlineStr">
        <is>
          <t>HYLTE</t>
        </is>
      </c>
      <c r="G2205" t="n">
        <v>2.8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58931-2022</t>
        </is>
      </c>
      <c r="B2206" s="1" t="n">
        <v>44903</v>
      </c>
      <c r="C2206" s="1" t="n">
        <v>45627</v>
      </c>
      <c r="D2206" t="inlineStr">
        <is>
          <t>HALLANDS LÄN</t>
        </is>
      </c>
      <c r="E2206" t="inlineStr">
        <is>
          <t>FALKENBERG</t>
        </is>
      </c>
      <c r="G2206" t="n">
        <v>4.6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59576-2022</t>
        </is>
      </c>
      <c r="B2207" s="1" t="n">
        <v>44907</v>
      </c>
      <c r="C2207" s="1" t="n">
        <v>45627</v>
      </c>
      <c r="D2207" t="inlineStr">
        <is>
          <t>HALLANDS LÄN</t>
        </is>
      </c>
      <c r="E2207" t="inlineStr">
        <is>
          <t>HYLTE</t>
        </is>
      </c>
      <c r="F2207" t="inlineStr">
        <is>
          <t>Bergvik skog väst AB</t>
        </is>
      </c>
      <c r="G2207" t="n">
        <v>2.6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59701-2022</t>
        </is>
      </c>
      <c r="B2208" s="1" t="n">
        <v>44908</v>
      </c>
      <c r="C2208" s="1" t="n">
        <v>45627</v>
      </c>
      <c r="D2208" t="inlineStr">
        <is>
          <t>HALLANDS LÄN</t>
        </is>
      </c>
      <c r="E2208" t="inlineStr">
        <is>
          <t>LAHOLM</t>
        </is>
      </c>
      <c r="G2208" t="n">
        <v>0.5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60909-2022</t>
        </is>
      </c>
      <c r="B2209" s="1" t="n">
        <v>44908</v>
      </c>
      <c r="C2209" s="1" t="n">
        <v>45627</v>
      </c>
      <c r="D2209" t="inlineStr">
        <is>
          <t>HALLANDS LÄN</t>
        </is>
      </c>
      <c r="E2209" t="inlineStr">
        <is>
          <t>FALKENBERG</t>
        </is>
      </c>
      <c r="G2209" t="n">
        <v>0.6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60035-2022</t>
        </is>
      </c>
      <c r="B2210" s="1" t="n">
        <v>44909</v>
      </c>
      <c r="C2210" s="1" t="n">
        <v>45627</v>
      </c>
      <c r="D2210" t="inlineStr">
        <is>
          <t>HALLANDS LÄN</t>
        </is>
      </c>
      <c r="E2210" t="inlineStr">
        <is>
          <t>LAHOLM</t>
        </is>
      </c>
      <c r="G2210" t="n">
        <v>3.3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59921-2022</t>
        </is>
      </c>
      <c r="B2211" s="1" t="n">
        <v>44909</v>
      </c>
      <c r="C2211" s="1" t="n">
        <v>45627</v>
      </c>
      <c r="D2211" t="inlineStr">
        <is>
          <t>HALLANDS LÄN</t>
        </is>
      </c>
      <c r="E2211" t="inlineStr">
        <is>
          <t>LAHOLM</t>
        </is>
      </c>
      <c r="G2211" t="n">
        <v>1.3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59999-2022</t>
        </is>
      </c>
      <c r="B2212" s="1" t="n">
        <v>44909</v>
      </c>
      <c r="C2212" s="1" t="n">
        <v>45627</v>
      </c>
      <c r="D2212" t="inlineStr">
        <is>
          <t>HALLANDS LÄN</t>
        </is>
      </c>
      <c r="E2212" t="inlineStr">
        <is>
          <t>LAHOLM</t>
        </is>
      </c>
      <c r="G2212" t="n">
        <v>2.6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60021-2022</t>
        </is>
      </c>
      <c r="B2213" s="1" t="n">
        <v>44909</v>
      </c>
      <c r="C2213" s="1" t="n">
        <v>45627</v>
      </c>
      <c r="D2213" t="inlineStr">
        <is>
          <t>HALLANDS LÄN</t>
        </is>
      </c>
      <c r="E2213" t="inlineStr">
        <is>
          <t>LAHOLM</t>
        </is>
      </c>
      <c r="G2213" t="n">
        <v>2.6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60025-2022</t>
        </is>
      </c>
      <c r="B2214" s="1" t="n">
        <v>44909</v>
      </c>
      <c r="C2214" s="1" t="n">
        <v>45627</v>
      </c>
      <c r="D2214" t="inlineStr">
        <is>
          <t>HALLANDS LÄN</t>
        </is>
      </c>
      <c r="E2214" t="inlineStr">
        <is>
          <t>LAHOLM</t>
        </is>
      </c>
      <c r="G2214" t="n">
        <v>2.3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60205-2022</t>
        </is>
      </c>
      <c r="B2215" s="1" t="n">
        <v>44910</v>
      </c>
      <c r="C2215" s="1" t="n">
        <v>45627</v>
      </c>
      <c r="D2215" t="inlineStr">
        <is>
          <t>HALLANDS LÄN</t>
        </is>
      </c>
      <c r="E2215" t="inlineStr">
        <is>
          <t>VARBERG</t>
        </is>
      </c>
      <c r="G2215" t="n">
        <v>1.5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60232-2022</t>
        </is>
      </c>
      <c r="B2216" s="1" t="n">
        <v>44910</v>
      </c>
      <c r="C2216" s="1" t="n">
        <v>45627</v>
      </c>
      <c r="D2216" t="inlineStr">
        <is>
          <t>HALLANDS LÄN</t>
        </is>
      </c>
      <c r="E2216" t="inlineStr">
        <is>
          <t>FALKENBERG</t>
        </is>
      </c>
      <c r="G2216" t="n">
        <v>3.5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60239-2022</t>
        </is>
      </c>
      <c r="B2217" s="1" t="n">
        <v>44910</v>
      </c>
      <c r="C2217" s="1" t="n">
        <v>45627</v>
      </c>
      <c r="D2217" t="inlineStr">
        <is>
          <t>HALLANDS LÄN</t>
        </is>
      </c>
      <c r="E2217" t="inlineStr">
        <is>
          <t>FALKENBERG</t>
        </is>
      </c>
      <c r="G2217" t="n">
        <v>0.7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60245-2022</t>
        </is>
      </c>
      <c r="B2218" s="1" t="n">
        <v>44910</v>
      </c>
      <c r="C2218" s="1" t="n">
        <v>45627</v>
      </c>
      <c r="D2218" t="inlineStr">
        <is>
          <t>HALLANDS LÄN</t>
        </is>
      </c>
      <c r="E2218" t="inlineStr">
        <is>
          <t>FALKENBERG</t>
        </is>
      </c>
      <c r="G2218" t="n">
        <v>1.8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60264-2022</t>
        </is>
      </c>
      <c r="B2219" s="1" t="n">
        <v>44910</v>
      </c>
      <c r="C2219" s="1" t="n">
        <v>45627</v>
      </c>
      <c r="D2219" t="inlineStr">
        <is>
          <t>HALLANDS LÄN</t>
        </is>
      </c>
      <c r="E2219" t="inlineStr">
        <is>
          <t>FALKENBERG</t>
        </is>
      </c>
      <c r="G2219" t="n">
        <v>1.5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60323-2022</t>
        </is>
      </c>
      <c r="B2220" s="1" t="n">
        <v>44910</v>
      </c>
      <c r="C2220" s="1" t="n">
        <v>45627</v>
      </c>
      <c r="D2220" t="inlineStr">
        <is>
          <t>HALLANDS LÄN</t>
        </is>
      </c>
      <c r="E2220" t="inlineStr">
        <is>
          <t>HALMSTAD</t>
        </is>
      </c>
      <c r="G2220" t="n">
        <v>1.3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60328-2022</t>
        </is>
      </c>
      <c r="B2221" s="1" t="n">
        <v>44910</v>
      </c>
      <c r="C2221" s="1" t="n">
        <v>45627</v>
      </c>
      <c r="D2221" t="inlineStr">
        <is>
          <t>HALLANDS LÄN</t>
        </is>
      </c>
      <c r="E2221" t="inlineStr">
        <is>
          <t>HYLTE</t>
        </is>
      </c>
      <c r="G2221" t="n">
        <v>2.5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60877-2022</t>
        </is>
      </c>
      <c r="B2222" s="1" t="n">
        <v>44914</v>
      </c>
      <c r="C2222" s="1" t="n">
        <v>45627</v>
      </c>
      <c r="D2222" t="inlineStr">
        <is>
          <t>HALLANDS LÄN</t>
        </is>
      </c>
      <c r="E2222" t="inlineStr">
        <is>
          <t>HYLTE</t>
        </is>
      </c>
      <c r="G2222" t="n">
        <v>3.4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61078-2022</t>
        </is>
      </c>
      <c r="B2223" s="1" t="n">
        <v>44915</v>
      </c>
      <c r="C2223" s="1" t="n">
        <v>45627</v>
      </c>
      <c r="D2223" t="inlineStr">
        <is>
          <t>HALLANDS LÄN</t>
        </is>
      </c>
      <c r="E2223" t="inlineStr">
        <is>
          <t>VARBERG</t>
        </is>
      </c>
      <c r="G2223" t="n">
        <v>3.4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61546-2022</t>
        </is>
      </c>
      <c r="B2224" s="1" t="n">
        <v>44916</v>
      </c>
      <c r="C2224" s="1" t="n">
        <v>45627</v>
      </c>
      <c r="D2224" t="inlineStr">
        <is>
          <t>HALLANDS LÄN</t>
        </is>
      </c>
      <c r="E2224" t="inlineStr">
        <is>
          <t>FALKENBERG</t>
        </is>
      </c>
      <c r="G2224" t="n">
        <v>3.7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61775-2022</t>
        </is>
      </c>
      <c r="B2225" s="1" t="n">
        <v>44917</v>
      </c>
      <c r="C2225" s="1" t="n">
        <v>45627</v>
      </c>
      <c r="D2225" t="inlineStr">
        <is>
          <t>HALLANDS LÄN</t>
        </is>
      </c>
      <c r="E2225" t="inlineStr">
        <is>
          <t>HALMSTAD</t>
        </is>
      </c>
      <c r="G2225" t="n">
        <v>2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61779-2022</t>
        </is>
      </c>
      <c r="B2226" s="1" t="n">
        <v>44917</v>
      </c>
      <c r="C2226" s="1" t="n">
        <v>45627</v>
      </c>
      <c r="D2226" t="inlineStr">
        <is>
          <t>HALLANDS LÄN</t>
        </is>
      </c>
      <c r="E2226" t="inlineStr">
        <is>
          <t>HALMSTAD</t>
        </is>
      </c>
      <c r="G2226" t="n">
        <v>2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61783-2022</t>
        </is>
      </c>
      <c r="B2227" s="1" t="n">
        <v>44917</v>
      </c>
      <c r="C2227" s="1" t="n">
        <v>45627</v>
      </c>
      <c r="D2227" t="inlineStr">
        <is>
          <t>HALLANDS LÄN</t>
        </is>
      </c>
      <c r="E2227" t="inlineStr">
        <is>
          <t>HALMSTAD</t>
        </is>
      </c>
      <c r="G2227" t="n">
        <v>1.3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61843-2022</t>
        </is>
      </c>
      <c r="B2228" s="1" t="n">
        <v>44917</v>
      </c>
      <c r="C2228" s="1" t="n">
        <v>45627</v>
      </c>
      <c r="D2228" t="inlineStr">
        <is>
          <t>HALLANDS LÄN</t>
        </is>
      </c>
      <c r="E2228" t="inlineStr">
        <is>
          <t>HYLTE</t>
        </is>
      </c>
      <c r="G2228" t="n">
        <v>1.6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61776-2022</t>
        </is>
      </c>
      <c r="B2229" s="1" t="n">
        <v>44917</v>
      </c>
      <c r="C2229" s="1" t="n">
        <v>45627</v>
      </c>
      <c r="D2229" t="inlineStr">
        <is>
          <t>HALLANDS LÄN</t>
        </is>
      </c>
      <c r="E2229" t="inlineStr">
        <is>
          <t>HALMSTAD</t>
        </is>
      </c>
      <c r="G2229" t="n">
        <v>2.2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61797-2022</t>
        </is>
      </c>
      <c r="B2230" s="1" t="n">
        <v>44917</v>
      </c>
      <c r="C2230" s="1" t="n">
        <v>45627</v>
      </c>
      <c r="D2230" t="inlineStr">
        <is>
          <t>HALLANDS LÄN</t>
        </is>
      </c>
      <c r="E2230" t="inlineStr">
        <is>
          <t>FALKENBERG</t>
        </is>
      </c>
      <c r="G2230" t="n">
        <v>2.9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61757-2022</t>
        </is>
      </c>
      <c r="B2231" s="1" t="n">
        <v>44917</v>
      </c>
      <c r="C2231" s="1" t="n">
        <v>45627</v>
      </c>
      <c r="D2231" t="inlineStr">
        <is>
          <t>HALLANDS LÄN</t>
        </is>
      </c>
      <c r="E2231" t="inlineStr">
        <is>
          <t>HALMSTAD</t>
        </is>
      </c>
      <c r="G2231" t="n">
        <v>0.4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61778-2022</t>
        </is>
      </c>
      <c r="B2232" s="1" t="n">
        <v>44917</v>
      </c>
      <c r="C2232" s="1" t="n">
        <v>45627</v>
      </c>
      <c r="D2232" t="inlineStr">
        <is>
          <t>HALLANDS LÄN</t>
        </is>
      </c>
      <c r="E2232" t="inlineStr">
        <is>
          <t>HALMSTAD</t>
        </is>
      </c>
      <c r="G2232" t="n">
        <v>0.6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61781-2022</t>
        </is>
      </c>
      <c r="B2233" s="1" t="n">
        <v>44917</v>
      </c>
      <c r="C2233" s="1" t="n">
        <v>45627</v>
      </c>
      <c r="D2233" t="inlineStr">
        <is>
          <t>HALLANDS LÄN</t>
        </is>
      </c>
      <c r="E2233" t="inlineStr">
        <is>
          <t>HALMSTAD</t>
        </is>
      </c>
      <c r="G2233" t="n">
        <v>1.1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61966-2022</t>
        </is>
      </c>
      <c r="B2234" s="1" t="n">
        <v>44918</v>
      </c>
      <c r="C2234" s="1" t="n">
        <v>45627</v>
      </c>
      <c r="D2234" t="inlineStr">
        <is>
          <t>HALLANDS LÄN</t>
        </is>
      </c>
      <c r="E2234" t="inlineStr">
        <is>
          <t>VARBERG</t>
        </is>
      </c>
      <c r="G2234" t="n">
        <v>0.7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62189-2022</t>
        </is>
      </c>
      <c r="B2235" s="1" t="n">
        <v>44922</v>
      </c>
      <c r="C2235" s="1" t="n">
        <v>45627</v>
      </c>
      <c r="D2235" t="inlineStr">
        <is>
          <t>HALLANDS LÄN</t>
        </is>
      </c>
      <c r="E2235" t="inlineStr">
        <is>
          <t>HALMSTAD</t>
        </is>
      </c>
      <c r="G2235" t="n">
        <v>1.2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62134-2022</t>
        </is>
      </c>
      <c r="B2236" s="1" t="n">
        <v>44922</v>
      </c>
      <c r="C2236" s="1" t="n">
        <v>45627</v>
      </c>
      <c r="D2236" t="inlineStr">
        <is>
          <t>HALLANDS LÄN</t>
        </is>
      </c>
      <c r="E2236" t="inlineStr">
        <is>
          <t>LAHOLM</t>
        </is>
      </c>
      <c r="G2236" t="n">
        <v>0.5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62190-2022</t>
        </is>
      </c>
      <c r="B2237" s="1" t="n">
        <v>44922</v>
      </c>
      <c r="C2237" s="1" t="n">
        <v>45627</v>
      </c>
      <c r="D2237" t="inlineStr">
        <is>
          <t>HALLANDS LÄN</t>
        </is>
      </c>
      <c r="E2237" t="inlineStr">
        <is>
          <t>HALMSTAD</t>
        </is>
      </c>
      <c r="G2237" t="n">
        <v>0.8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62567-2022</t>
        </is>
      </c>
      <c r="B2238" s="1" t="n">
        <v>44924</v>
      </c>
      <c r="C2238" s="1" t="n">
        <v>45627</v>
      </c>
      <c r="D2238" t="inlineStr">
        <is>
          <t>HALLANDS LÄN</t>
        </is>
      </c>
      <c r="E2238" t="inlineStr">
        <is>
          <t>VARBERG</t>
        </is>
      </c>
      <c r="G2238" t="n">
        <v>0.8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62664-2022</t>
        </is>
      </c>
      <c r="B2239" s="1" t="n">
        <v>44925</v>
      </c>
      <c r="C2239" s="1" t="n">
        <v>45627</v>
      </c>
      <c r="D2239" t="inlineStr">
        <is>
          <t>HALLANDS LÄN</t>
        </is>
      </c>
      <c r="E2239" t="inlineStr">
        <is>
          <t>KUNGSBACKA</t>
        </is>
      </c>
      <c r="G2239" t="n">
        <v>1.5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62741-2022</t>
        </is>
      </c>
      <c r="B2240" s="1" t="n">
        <v>44925</v>
      </c>
      <c r="C2240" s="1" t="n">
        <v>45627</v>
      </c>
      <c r="D2240" t="inlineStr">
        <is>
          <t>HALLANDS LÄN</t>
        </is>
      </c>
      <c r="E2240" t="inlineStr">
        <is>
          <t>KUNGSBACKA</t>
        </is>
      </c>
      <c r="G2240" t="n">
        <v>0.2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62743-2022</t>
        </is>
      </c>
      <c r="B2241" s="1" t="n">
        <v>44925</v>
      </c>
      <c r="C2241" s="1" t="n">
        <v>45627</v>
      </c>
      <c r="D2241" t="inlineStr">
        <is>
          <t>HALLANDS LÄN</t>
        </is>
      </c>
      <c r="E2241" t="inlineStr">
        <is>
          <t>KUNGSBACKA</t>
        </is>
      </c>
      <c r="G2241" t="n">
        <v>0.4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62742-2022</t>
        </is>
      </c>
      <c r="B2242" s="1" t="n">
        <v>44925</v>
      </c>
      <c r="C2242" s="1" t="n">
        <v>45627</v>
      </c>
      <c r="D2242" t="inlineStr">
        <is>
          <t>HALLANDS LÄN</t>
        </is>
      </c>
      <c r="E2242" t="inlineStr">
        <is>
          <t>KUNGSBACKA</t>
        </is>
      </c>
      <c r="G2242" t="n">
        <v>0.4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62758-2022</t>
        </is>
      </c>
      <c r="B2243" s="1" t="n">
        <v>44926</v>
      </c>
      <c r="C2243" s="1" t="n">
        <v>45627</v>
      </c>
      <c r="D2243" t="inlineStr">
        <is>
          <t>HALLANDS LÄN</t>
        </is>
      </c>
      <c r="E2243" t="inlineStr">
        <is>
          <t>HYLTE</t>
        </is>
      </c>
      <c r="F2243" t="inlineStr">
        <is>
          <t>Kyrkan</t>
        </is>
      </c>
      <c r="G2243" t="n">
        <v>1.8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62757-2022</t>
        </is>
      </c>
      <c r="B2244" s="1" t="n">
        <v>44926</v>
      </c>
      <c r="C2244" s="1" t="n">
        <v>45627</v>
      </c>
      <c r="D2244" t="inlineStr">
        <is>
          <t>HALLANDS LÄN</t>
        </is>
      </c>
      <c r="E2244" t="inlineStr">
        <is>
          <t>HYLTE</t>
        </is>
      </c>
      <c r="F2244" t="inlineStr">
        <is>
          <t>Kyrkan</t>
        </is>
      </c>
      <c r="G2244" t="n">
        <v>3.4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62755-2022</t>
        </is>
      </c>
      <c r="B2245" s="1" t="n">
        <v>44926</v>
      </c>
      <c r="C2245" s="1" t="n">
        <v>45627</v>
      </c>
      <c r="D2245" t="inlineStr">
        <is>
          <t>HALLANDS LÄN</t>
        </is>
      </c>
      <c r="E2245" t="inlineStr">
        <is>
          <t>FALKENBERG</t>
        </is>
      </c>
      <c r="F2245" t="inlineStr">
        <is>
          <t>Kyrkan</t>
        </is>
      </c>
      <c r="G2245" t="n">
        <v>9.4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62764-2022</t>
        </is>
      </c>
      <c r="B2246" s="1" t="n">
        <v>44926</v>
      </c>
      <c r="C2246" s="1" t="n">
        <v>45627</v>
      </c>
      <c r="D2246" t="inlineStr">
        <is>
          <t>HALLANDS LÄN</t>
        </is>
      </c>
      <c r="E2246" t="inlineStr">
        <is>
          <t>VARBERG</t>
        </is>
      </c>
      <c r="G2246" t="n">
        <v>4.9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91-2023</t>
        </is>
      </c>
      <c r="B2247" s="1" t="n">
        <v>44928</v>
      </c>
      <c r="C2247" s="1" t="n">
        <v>45627</v>
      </c>
      <c r="D2247" t="inlineStr">
        <is>
          <t>HALLANDS LÄN</t>
        </is>
      </c>
      <c r="E2247" t="inlineStr">
        <is>
          <t>FALKENBERG</t>
        </is>
      </c>
      <c r="G2247" t="n">
        <v>7.2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263-2023</t>
        </is>
      </c>
      <c r="B2248" s="1" t="n">
        <v>44928</v>
      </c>
      <c r="C2248" s="1" t="n">
        <v>45627</v>
      </c>
      <c r="D2248" t="inlineStr">
        <is>
          <t>HALLANDS LÄN</t>
        </is>
      </c>
      <c r="E2248" t="inlineStr">
        <is>
          <t>LAHOLM</t>
        </is>
      </c>
      <c r="F2248" t="inlineStr">
        <is>
          <t>Kommuner</t>
        </is>
      </c>
      <c r="G2248" t="n">
        <v>12.2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264-2023</t>
        </is>
      </c>
      <c r="B2249" s="1" t="n">
        <v>44928</v>
      </c>
      <c r="C2249" s="1" t="n">
        <v>45627</v>
      </c>
      <c r="D2249" t="inlineStr">
        <is>
          <t>HALLANDS LÄN</t>
        </is>
      </c>
      <c r="E2249" t="inlineStr">
        <is>
          <t>LAHOLM</t>
        </is>
      </c>
      <c r="G2249" t="n">
        <v>6.5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358-2023</t>
        </is>
      </c>
      <c r="B2250" s="1" t="n">
        <v>44929</v>
      </c>
      <c r="C2250" s="1" t="n">
        <v>45627</v>
      </c>
      <c r="D2250" t="inlineStr">
        <is>
          <t>HALLANDS LÄN</t>
        </is>
      </c>
      <c r="E2250" t="inlineStr">
        <is>
          <t>LAHOLM</t>
        </is>
      </c>
      <c r="G2250" t="n">
        <v>1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620-2023</t>
        </is>
      </c>
      <c r="B2251" s="1" t="n">
        <v>44930</v>
      </c>
      <c r="C2251" s="1" t="n">
        <v>45627</v>
      </c>
      <c r="D2251" t="inlineStr">
        <is>
          <t>HALLANDS LÄN</t>
        </is>
      </c>
      <c r="E2251" t="inlineStr">
        <is>
          <t>LAHOLM</t>
        </is>
      </c>
      <c r="G2251" t="n">
        <v>1.4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744-2023</t>
        </is>
      </c>
      <c r="B2252" s="1" t="n">
        <v>44931</v>
      </c>
      <c r="C2252" s="1" t="n">
        <v>45627</v>
      </c>
      <c r="D2252" t="inlineStr">
        <is>
          <t>HALLANDS LÄN</t>
        </is>
      </c>
      <c r="E2252" t="inlineStr">
        <is>
          <t>HYLTE</t>
        </is>
      </c>
      <c r="G2252" t="n">
        <v>3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968-2023</t>
        </is>
      </c>
      <c r="B2253" s="1" t="n">
        <v>44935</v>
      </c>
      <c r="C2253" s="1" t="n">
        <v>45627</v>
      </c>
      <c r="D2253" t="inlineStr">
        <is>
          <t>HALLANDS LÄN</t>
        </is>
      </c>
      <c r="E2253" t="inlineStr">
        <is>
          <t>VARBERG</t>
        </is>
      </c>
      <c r="G2253" t="n">
        <v>1.8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967-2023</t>
        </is>
      </c>
      <c r="B2254" s="1" t="n">
        <v>44935</v>
      </c>
      <c r="C2254" s="1" t="n">
        <v>45627</v>
      </c>
      <c r="D2254" t="inlineStr">
        <is>
          <t>HALLANDS LÄN</t>
        </is>
      </c>
      <c r="E2254" t="inlineStr">
        <is>
          <t>VARBERG</t>
        </is>
      </c>
      <c r="G2254" t="n">
        <v>0.8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1765-2023</t>
        </is>
      </c>
      <c r="B2255" s="1" t="n">
        <v>44936</v>
      </c>
      <c r="C2255" s="1" t="n">
        <v>45627</v>
      </c>
      <c r="D2255" t="inlineStr">
        <is>
          <t>HALLANDS LÄN</t>
        </is>
      </c>
      <c r="E2255" t="inlineStr">
        <is>
          <t>KUNGSBACKA</t>
        </is>
      </c>
      <c r="G2255" t="n">
        <v>7.3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1660-2023</t>
        </is>
      </c>
      <c r="B2256" s="1" t="n">
        <v>44938</v>
      </c>
      <c r="C2256" s="1" t="n">
        <v>45627</v>
      </c>
      <c r="D2256" t="inlineStr">
        <is>
          <t>HALLANDS LÄN</t>
        </is>
      </c>
      <c r="E2256" t="inlineStr">
        <is>
          <t>LAHOLM</t>
        </is>
      </c>
      <c r="G2256" t="n">
        <v>2.8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1848-2023</t>
        </is>
      </c>
      <c r="B2257" s="1" t="n">
        <v>44938</v>
      </c>
      <c r="C2257" s="1" t="n">
        <v>45627</v>
      </c>
      <c r="D2257" t="inlineStr">
        <is>
          <t>HALLANDS LÄN</t>
        </is>
      </c>
      <c r="E2257" t="inlineStr">
        <is>
          <t>FALKENBERG</t>
        </is>
      </c>
      <c r="G2257" t="n">
        <v>0.5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1755-2023</t>
        </is>
      </c>
      <c r="B2258" s="1" t="n">
        <v>44938</v>
      </c>
      <c r="C2258" s="1" t="n">
        <v>45627</v>
      </c>
      <c r="D2258" t="inlineStr">
        <is>
          <t>HALLANDS LÄN</t>
        </is>
      </c>
      <c r="E2258" t="inlineStr">
        <is>
          <t>HALMSTAD</t>
        </is>
      </c>
      <c r="G2258" t="n">
        <v>0.9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1849-2023</t>
        </is>
      </c>
      <c r="B2259" s="1" t="n">
        <v>44938</v>
      </c>
      <c r="C2259" s="1" t="n">
        <v>45627</v>
      </c>
      <c r="D2259" t="inlineStr">
        <is>
          <t>HALLANDS LÄN</t>
        </is>
      </c>
      <c r="E2259" t="inlineStr">
        <is>
          <t>FALKENBERG</t>
        </is>
      </c>
      <c r="G2259" t="n">
        <v>0.1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1850-2023</t>
        </is>
      </c>
      <c r="B2260" s="1" t="n">
        <v>44938</v>
      </c>
      <c r="C2260" s="1" t="n">
        <v>45627</v>
      </c>
      <c r="D2260" t="inlineStr">
        <is>
          <t>HALLANDS LÄN</t>
        </is>
      </c>
      <c r="E2260" t="inlineStr">
        <is>
          <t>FALKENBERG</t>
        </is>
      </c>
      <c r="G2260" t="n">
        <v>0.8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2415-2023</t>
        </is>
      </c>
      <c r="B2261" s="1" t="n">
        <v>44942</v>
      </c>
      <c r="C2261" s="1" t="n">
        <v>45627</v>
      </c>
      <c r="D2261" t="inlineStr">
        <is>
          <t>HALLANDS LÄN</t>
        </is>
      </c>
      <c r="E2261" t="inlineStr">
        <is>
          <t>KUNGSBACKA</t>
        </is>
      </c>
      <c r="G2261" t="n">
        <v>19.2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2626-2023</t>
        </is>
      </c>
      <c r="B2262" s="1" t="n">
        <v>44942</v>
      </c>
      <c r="C2262" s="1" t="n">
        <v>45627</v>
      </c>
      <c r="D2262" t="inlineStr">
        <is>
          <t>HALLANDS LÄN</t>
        </is>
      </c>
      <c r="E2262" t="inlineStr">
        <is>
          <t>LAHOLM</t>
        </is>
      </c>
      <c r="G2262" t="n">
        <v>2.1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2416-2023</t>
        </is>
      </c>
      <c r="B2263" s="1" t="n">
        <v>44943</v>
      </c>
      <c r="C2263" s="1" t="n">
        <v>45627</v>
      </c>
      <c r="D2263" t="inlineStr">
        <is>
          <t>HALLANDS LÄN</t>
        </is>
      </c>
      <c r="E2263" t="inlineStr">
        <is>
          <t>VARBERG</t>
        </is>
      </c>
      <c r="G2263" t="n">
        <v>1.5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2552-2023</t>
        </is>
      </c>
      <c r="B2264" s="1" t="n">
        <v>44943</v>
      </c>
      <c r="C2264" s="1" t="n">
        <v>45627</v>
      </c>
      <c r="D2264" t="inlineStr">
        <is>
          <t>HALLANDS LÄN</t>
        </is>
      </c>
      <c r="E2264" t="inlineStr">
        <is>
          <t>LAHOLM</t>
        </is>
      </c>
      <c r="F2264" t="inlineStr">
        <is>
          <t>Kommuner</t>
        </is>
      </c>
      <c r="G2264" t="n">
        <v>5.5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2561-2023</t>
        </is>
      </c>
      <c r="B2265" s="1" t="n">
        <v>44943</v>
      </c>
      <c r="C2265" s="1" t="n">
        <v>45627</v>
      </c>
      <c r="D2265" t="inlineStr">
        <is>
          <t>HALLANDS LÄN</t>
        </is>
      </c>
      <c r="E2265" t="inlineStr">
        <is>
          <t>FALKENBERG</t>
        </is>
      </c>
      <c r="F2265" t="inlineStr">
        <is>
          <t>Bergvik skog väst AB</t>
        </is>
      </c>
      <c r="G2265" t="n">
        <v>6.1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2566-2023</t>
        </is>
      </c>
      <c r="B2266" s="1" t="n">
        <v>44943</v>
      </c>
      <c r="C2266" s="1" t="n">
        <v>45627</v>
      </c>
      <c r="D2266" t="inlineStr">
        <is>
          <t>HALLANDS LÄN</t>
        </is>
      </c>
      <c r="E2266" t="inlineStr">
        <is>
          <t>FALKENBERG</t>
        </is>
      </c>
      <c r="F2266" t="inlineStr">
        <is>
          <t>Bergvik skog väst AB</t>
        </is>
      </c>
      <c r="G2266" t="n">
        <v>1.1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2565-2023</t>
        </is>
      </c>
      <c r="B2267" s="1" t="n">
        <v>44943</v>
      </c>
      <c r="C2267" s="1" t="n">
        <v>45627</v>
      </c>
      <c r="D2267" t="inlineStr">
        <is>
          <t>HALLANDS LÄN</t>
        </is>
      </c>
      <c r="E2267" t="inlineStr">
        <is>
          <t>FALKENBERG</t>
        </is>
      </c>
      <c r="F2267" t="inlineStr">
        <is>
          <t>Bergvik skog väst AB</t>
        </is>
      </c>
      <c r="G2267" t="n">
        <v>0.9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2550-2023</t>
        </is>
      </c>
      <c r="B2268" s="1" t="n">
        <v>44943</v>
      </c>
      <c r="C2268" s="1" t="n">
        <v>45627</v>
      </c>
      <c r="D2268" t="inlineStr">
        <is>
          <t>HALLANDS LÄN</t>
        </is>
      </c>
      <c r="E2268" t="inlineStr">
        <is>
          <t>LAHOLM</t>
        </is>
      </c>
      <c r="F2268" t="inlineStr">
        <is>
          <t>Kommuner</t>
        </is>
      </c>
      <c r="G2268" t="n">
        <v>7.6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2548-2023</t>
        </is>
      </c>
      <c r="B2269" s="1" t="n">
        <v>44943</v>
      </c>
      <c r="C2269" s="1" t="n">
        <v>45627</v>
      </c>
      <c r="D2269" t="inlineStr">
        <is>
          <t>HALLANDS LÄN</t>
        </is>
      </c>
      <c r="E2269" t="inlineStr">
        <is>
          <t>LAHOLM</t>
        </is>
      </c>
      <c r="F2269" t="inlineStr">
        <is>
          <t>Kommuner</t>
        </is>
      </c>
      <c r="G2269" t="n">
        <v>0.6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2562-2023</t>
        </is>
      </c>
      <c r="B2270" s="1" t="n">
        <v>44943</v>
      </c>
      <c r="C2270" s="1" t="n">
        <v>45627</v>
      </c>
      <c r="D2270" t="inlineStr">
        <is>
          <t>HALLANDS LÄN</t>
        </is>
      </c>
      <c r="E2270" t="inlineStr">
        <is>
          <t>FALKENBERG</t>
        </is>
      </c>
      <c r="F2270" t="inlineStr">
        <is>
          <t>Bergvik skog väst AB</t>
        </is>
      </c>
      <c r="G2270" t="n">
        <v>4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2602-2023</t>
        </is>
      </c>
      <c r="B2271" s="1" t="n">
        <v>44944</v>
      </c>
      <c r="C2271" s="1" t="n">
        <v>45627</v>
      </c>
      <c r="D2271" t="inlineStr">
        <is>
          <t>HALLANDS LÄN</t>
        </is>
      </c>
      <c r="E2271" t="inlineStr">
        <is>
          <t>FALKENBERG</t>
        </is>
      </c>
      <c r="G2271" t="n">
        <v>2.2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2881-2023</t>
        </is>
      </c>
      <c r="B2272" s="1" t="n">
        <v>44945</v>
      </c>
      <c r="C2272" s="1" t="n">
        <v>45627</v>
      </c>
      <c r="D2272" t="inlineStr">
        <is>
          <t>HALLANDS LÄN</t>
        </is>
      </c>
      <c r="E2272" t="inlineStr">
        <is>
          <t>KUNGSBACKA</t>
        </is>
      </c>
      <c r="G2272" t="n">
        <v>1.1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3052-2023</t>
        </is>
      </c>
      <c r="B2273" s="1" t="n">
        <v>44946</v>
      </c>
      <c r="C2273" s="1" t="n">
        <v>45627</v>
      </c>
      <c r="D2273" t="inlineStr">
        <is>
          <t>HALLANDS LÄN</t>
        </is>
      </c>
      <c r="E2273" t="inlineStr">
        <is>
          <t>FALKENBERG</t>
        </is>
      </c>
      <c r="G2273" t="n">
        <v>10.1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3061-2023</t>
        </is>
      </c>
      <c r="B2274" s="1" t="n">
        <v>44946</v>
      </c>
      <c r="C2274" s="1" t="n">
        <v>45627</v>
      </c>
      <c r="D2274" t="inlineStr">
        <is>
          <t>HALLANDS LÄN</t>
        </is>
      </c>
      <c r="E2274" t="inlineStr">
        <is>
          <t>FALKENBERG</t>
        </is>
      </c>
      <c r="G2274" t="n">
        <v>5.9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3163-2023</t>
        </is>
      </c>
      <c r="B2275" s="1" t="n">
        <v>44946</v>
      </c>
      <c r="C2275" s="1" t="n">
        <v>45627</v>
      </c>
      <c r="D2275" t="inlineStr">
        <is>
          <t>HALLANDS LÄN</t>
        </is>
      </c>
      <c r="E2275" t="inlineStr">
        <is>
          <t>KUNGSBACKA</t>
        </is>
      </c>
      <c r="G2275" t="n">
        <v>3.2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3170-2023</t>
        </is>
      </c>
      <c r="B2276" s="1" t="n">
        <v>44946</v>
      </c>
      <c r="C2276" s="1" t="n">
        <v>45627</v>
      </c>
      <c r="D2276" t="inlineStr">
        <is>
          <t>HALLANDS LÄN</t>
        </is>
      </c>
      <c r="E2276" t="inlineStr">
        <is>
          <t>FALKENBERG</t>
        </is>
      </c>
      <c r="G2276" t="n">
        <v>1.2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3175-2023</t>
        </is>
      </c>
      <c r="B2277" s="1" t="n">
        <v>44946</v>
      </c>
      <c r="C2277" s="1" t="n">
        <v>45627</v>
      </c>
      <c r="D2277" t="inlineStr">
        <is>
          <t>HALLANDS LÄN</t>
        </is>
      </c>
      <c r="E2277" t="inlineStr">
        <is>
          <t>FALKENBERG</t>
        </is>
      </c>
      <c r="G2277" t="n">
        <v>2.3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3167-2023</t>
        </is>
      </c>
      <c r="B2278" s="1" t="n">
        <v>44946</v>
      </c>
      <c r="C2278" s="1" t="n">
        <v>45627</v>
      </c>
      <c r="D2278" t="inlineStr">
        <is>
          <t>HALLANDS LÄN</t>
        </is>
      </c>
      <c r="E2278" t="inlineStr">
        <is>
          <t>FALKENBERG</t>
        </is>
      </c>
      <c r="G2278" t="n">
        <v>2.7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3171-2023</t>
        </is>
      </c>
      <c r="B2279" s="1" t="n">
        <v>44946</v>
      </c>
      <c r="C2279" s="1" t="n">
        <v>45627</v>
      </c>
      <c r="D2279" t="inlineStr">
        <is>
          <t>HALLANDS LÄN</t>
        </is>
      </c>
      <c r="E2279" t="inlineStr">
        <is>
          <t>FALKENBERG</t>
        </is>
      </c>
      <c r="G2279" t="n">
        <v>0.6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3177-2023</t>
        </is>
      </c>
      <c r="B2280" s="1" t="n">
        <v>44946</v>
      </c>
      <c r="C2280" s="1" t="n">
        <v>45627</v>
      </c>
      <c r="D2280" t="inlineStr">
        <is>
          <t>HALLANDS LÄN</t>
        </is>
      </c>
      <c r="E2280" t="inlineStr">
        <is>
          <t>FALKENBERG</t>
        </is>
      </c>
      <c r="G2280" t="n">
        <v>0.7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3178-2023</t>
        </is>
      </c>
      <c r="B2281" s="1" t="n">
        <v>44946</v>
      </c>
      <c r="C2281" s="1" t="n">
        <v>45627</v>
      </c>
      <c r="D2281" t="inlineStr">
        <is>
          <t>HALLANDS LÄN</t>
        </is>
      </c>
      <c r="E2281" t="inlineStr">
        <is>
          <t>FALKENBERG</t>
        </is>
      </c>
      <c r="G2281" t="n">
        <v>1.2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3357-2023</t>
        </is>
      </c>
      <c r="B2282" s="1" t="n">
        <v>44949</v>
      </c>
      <c r="C2282" s="1" t="n">
        <v>45627</v>
      </c>
      <c r="D2282" t="inlineStr">
        <is>
          <t>HALLANDS LÄN</t>
        </is>
      </c>
      <c r="E2282" t="inlineStr">
        <is>
          <t>FALKENBERG</t>
        </is>
      </c>
      <c r="G2282" t="n">
        <v>1.7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3428-2023</t>
        </is>
      </c>
      <c r="B2283" s="1" t="n">
        <v>44949</v>
      </c>
      <c r="C2283" s="1" t="n">
        <v>45627</v>
      </c>
      <c r="D2283" t="inlineStr">
        <is>
          <t>HALLANDS LÄN</t>
        </is>
      </c>
      <c r="E2283" t="inlineStr">
        <is>
          <t>LAHOLM</t>
        </is>
      </c>
      <c r="G2283" t="n">
        <v>0.8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3427-2023</t>
        </is>
      </c>
      <c r="B2284" s="1" t="n">
        <v>44949</v>
      </c>
      <c r="C2284" s="1" t="n">
        <v>45627</v>
      </c>
      <c r="D2284" t="inlineStr">
        <is>
          <t>HALLANDS LÄN</t>
        </is>
      </c>
      <c r="E2284" t="inlineStr">
        <is>
          <t>LAHOLM</t>
        </is>
      </c>
      <c r="G2284" t="n">
        <v>1.6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3439-2023</t>
        </is>
      </c>
      <c r="B2285" s="1" t="n">
        <v>44949</v>
      </c>
      <c r="C2285" s="1" t="n">
        <v>45627</v>
      </c>
      <c r="D2285" t="inlineStr">
        <is>
          <t>HALLANDS LÄN</t>
        </is>
      </c>
      <c r="E2285" t="inlineStr">
        <is>
          <t>VARBERG</t>
        </is>
      </c>
      <c r="G2285" t="n">
        <v>0.7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3437-2023</t>
        </is>
      </c>
      <c r="B2286" s="1" t="n">
        <v>44949</v>
      </c>
      <c r="C2286" s="1" t="n">
        <v>45627</v>
      </c>
      <c r="D2286" t="inlineStr">
        <is>
          <t>HALLANDS LÄN</t>
        </is>
      </c>
      <c r="E2286" t="inlineStr">
        <is>
          <t>VARBERG</t>
        </is>
      </c>
      <c r="G2286" t="n">
        <v>6.5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3446-2023</t>
        </is>
      </c>
      <c r="B2287" s="1" t="n">
        <v>44949</v>
      </c>
      <c r="C2287" s="1" t="n">
        <v>45627</v>
      </c>
      <c r="D2287" t="inlineStr">
        <is>
          <t>HALLANDS LÄN</t>
        </is>
      </c>
      <c r="E2287" t="inlineStr">
        <is>
          <t>LAHOLM</t>
        </is>
      </c>
      <c r="G2287" t="n">
        <v>1.5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3553-2023</t>
        </is>
      </c>
      <c r="B2288" s="1" t="n">
        <v>44950</v>
      </c>
      <c r="C2288" s="1" t="n">
        <v>45627</v>
      </c>
      <c r="D2288" t="inlineStr">
        <is>
          <t>HALLANDS LÄN</t>
        </is>
      </c>
      <c r="E2288" t="inlineStr">
        <is>
          <t>LAHOLM</t>
        </is>
      </c>
      <c r="G2288" t="n">
        <v>0.9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3621-2023</t>
        </is>
      </c>
      <c r="B2289" s="1" t="n">
        <v>44950</v>
      </c>
      <c r="C2289" s="1" t="n">
        <v>45627</v>
      </c>
      <c r="D2289" t="inlineStr">
        <is>
          <t>HALLANDS LÄN</t>
        </is>
      </c>
      <c r="E2289" t="inlineStr">
        <is>
          <t>HYLTE</t>
        </is>
      </c>
      <c r="G2289" t="n">
        <v>1.2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3651-2023</t>
        </is>
      </c>
      <c r="B2290" s="1" t="n">
        <v>44950</v>
      </c>
      <c r="C2290" s="1" t="n">
        <v>45627</v>
      </c>
      <c r="D2290" t="inlineStr">
        <is>
          <t>HALLANDS LÄN</t>
        </is>
      </c>
      <c r="E2290" t="inlineStr">
        <is>
          <t>VARBERG</t>
        </is>
      </c>
      <c r="G2290" t="n">
        <v>1.2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3718-2023</t>
        </is>
      </c>
      <c r="B2291" s="1" t="n">
        <v>44951</v>
      </c>
      <c r="C2291" s="1" t="n">
        <v>45627</v>
      </c>
      <c r="D2291" t="inlineStr">
        <is>
          <t>HALLANDS LÄN</t>
        </is>
      </c>
      <c r="E2291" t="inlineStr">
        <is>
          <t>FALKENBERG</t>
        </is>
      </c>
      <c r="G2291" t="n">
        <v>3.4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3813-2023</t>
        </is>
      </c>
      <c r="B2292" s="1" t="n">
        <v>44951</v>
      </c>
      <c r="C2292" s="1" t="n">
        <v>45627</v>
      </c>
      <c r="D2292" t="inlineStr">
        <is>
          <t>HALLANDS LÄN</t>
        </is>
      </c>
      <c r="E2292" t="inlineStr">
        <is>
          <t>HYLTE</t>
        </is>
      </c>
      <c r="G2292" t="n">
        <v>2.6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3821-2023</t>
        </is>
      </c>
      <c r="B2293" s="1" t="n">
        <v>44951</v>
      </c>
      <c r="C2293" s="1" t="n">
        <v>45627</v>
      </c>
      <c r="D2293" t="inlineStr">
        <is>
          <t>HALLANDS LÄN</t>
        </is>
      </c>
      <c r="E2293" t="inlineStr">
        <is>
          <t>LAHOLM</t>
        </is>
      </c>
      <c r="G2293" t="n">
        <v>4.1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3832-2023</t>
        </is>
      </c>
      <c r="B2294" s="1" t="n">
        <v>44951</v>
      </c>
      <c r="C2294" s="1" t="n">
        <v>45627</v>
      </c>
      <c r="D2294" t="inlineStr">
        <is>
          <t>HALLANDS LÄN</t>
        </is>
      </c>
      <c r="E2294" t="inlineStr">
        <is>
          <t>LAHOLM</t>
        </is>
      </c>
      <c r="G2294" t="n">
        <v>6.2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4066-2023</t>
        </is>
      </c>
      <c r="B2295" s="1" t="n">
        <v>44952</v>
      </c>
      <c r="C2295" s="1" t="n">
        <v>45627</v>
      </c>
      <c r="D2295" t="inlineStr">
        <is>
          <t>HALLANDS LÄN</t>
        </is>
      </c>
      <c r="E2295" t="inlineStr">
        <is>
          <t>FALKENBERG</t>
        </is>
      </c>
      <c r="G2295" t="n">
        <v>0.9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4072-2023</t>
        </is>
      </c>
      <c r="B2296" s="1" t="n">
        <v>44952</v>
      </c>
      <c r="C2296" s="1" t="n">
        <v>45627</v>
      </c>
      <c r="D2296" t="inlineStr">
        <is>
          <t>HALLANDS LÄN</t>
        </is>
      </c>
      <c r="E2296" t="inlineStr">
        <is>
          <t>FALKENBERG</t>
        </is>
      </c>
      <c r="G2296" t="n">
        <v>0.6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4075-2023</t>
        </is>
      </c>
      <c r="B2297" s="1" t="n">
        <v>44952</v>
      </c>
      <c r="C2297" s="1" t="n">
        <v>45627</v>
      </c>
      <c r="D2297" t="inlineStr">
        <is>
          <t>HALLANDS LÄN</t>
        </is>
      </c>
      <c r="E2297" t="inlineStr">
        <is>
          <t>FALKENBERG</t>
        </is>
      </c>
      <c r="G2297" t="n">
        <v>1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4063-2023</t>
        </is>
      </c>
      <c r="B2298" s="1" t="n">
        <v>44952</v>
      </c>
      <c r="C2298" s="1" t="n">
        <v>45627</v>
      </c>
      <c r="D2298" t="inlineStr">
        <is>
          <t>HALLANDS LÄN</t>
        </is>
      </c>
      <c r="E2298" t="inlineStr">
        <is>
          <t>FALKENBERG</t>
        </is>
      </c>
      <c r="G2298" t="n">
        <v>4.5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4070-2023</t>
        </is>
      </c>
      <c r="B2299" s="1" t="n">
        <v>44952</v>
      </c>
      <c r="C2299" s="1" t="n">
        <v>45627</v>
      </c>
      <c r="D2299" t="inlineStr">
        <is>
          <t>HALLANDS LÄN</t>
        </is>
      </c>
      <c r="E2299" t="inlineStr">
        <is>
          <t>FALKENBERG</t>
        </is>
      </c>
      <c r="G2299" t="n">
        <v>1.4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4073-2023</t>
        </is>
      </c>
      <c r="B2300" s="1" t="n">
        <v>44952</v>
      </c>
      <c r="C2300" s="1" t="n">
        <v>45627</v>
      </c>
      <c r="D2300" t="inlineStr">
        <is>
          <t>HALLANDS LÄN</t>
        </is>
      </c>
      <c r="E2300" t="inlineStr">
        <is>
          <t>FALKENBERG</t>
        </is>
      </c>
      <c r="G2300" t="n">
        <v>4.3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4815-2023</t>
        </is>
      </c>
      <c r="B2301" s="1" t="n">
        <v>44952</v>
      </c>
      <c r="C2301" s="1" t="n">
        <v>45627</v>
      </c>
      <c r="D2301" t="inlineStr">
        <is>
          <t>HALLANDS LÄN</t>
        </is>
      </c>
      <c r="E2301" t="inlineStr">
        <is>
          <t>HALMSTAD</t>
        </is>
      </c>
      <c r="G2301" t="n">
        <v>0.9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4225-2023</t>
        </is>
      </c>
      <c r="B2302" s="1" t="n">
        <v>44953</v>
      </c>
      <c r="C2302" s="1" t="n">
        <v>45627</v>
      </c>
      <c r="D2302" t="inlineStr">
        <is>
          <t>HALLANDS LÄN</t>
        </is>
      </c>
      <c r="E2302" t="inlineStr">
        <is>
          <t>HYLTE</t>
        </is>
      </c>
      <c r="G2302" t="n">
        <v>0.5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4598-2023</t>
        </is>
      </c>
      <c r="B2303" s="1" t="n">
        <v>44956</v>
      </c>
      <c r="C2303" s="1" t="n">
        <v>45627</v>
      </c>
      <c r="D2303" t="inlineStr">
        <is>
          <t>HALLANDS LÄN</t>
        </is>
      </c>
      <c r="E2303" t="inlineStr">
        <is>
          <t>VARBERG</t>
        </is>
      </c>
      <c r="G2303" t="n">
        <v>2.2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4714-2023</t>
        </is>
      </c>
      <c r="B2304" s="1" t="n">
        <v>44957</v>
      </c>
      <c r="C2304" s="1" t="n">
        <v>45627</v>
      </c>
      <c r="D2304" t="inlineStr">
        <is>
          <t>HALLANDS LÄN</t>
        </is>
      </c>
      <c r="E2304" t="inlineStr">
        <is>
          <t>FALKENBERG</t>
        </is>
      </c>
      <c r="G2304" t="n">
        <v>0.3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4752-2023</t>
        </is>
      </c>
      <c r="B2305" s="1" t="n">
        <v>44957</v>
      </c>
      <c r="C2305" s="1" t="n">
        <v>45627</v>
      </c>
      <c r="D2305" t="inlineStr">
        <is>
          <t>HALLANDS LÄN</t>
        </is>
      </c>
      <c r="E2305" t="inlineStr">
        <is>
          <t>HALMSTAD</t>
        </is>
      </c>
      <c r="G2305" t="n">
        <v>9.300000000000001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4747-2023</t>
        </is>
      </c>
      <c r="B2306" s="1" t="n">
        <v>44957</v>
      </c>
      <c r="C2306" s="1" t="n">
        <v>45627</v>
      </c>
      <c r="D2306" t="inlineStr">
        <is>
          <t>HALLANDS LÄN</t>
        </is>
      </c>
      <c r="E2306" t="inlineStr">
        <is>
          <t>LAHOLM</t>
        </is>
      </c>
      <c r="G2306" t="n">
        <v>2.3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4760-2023</t>
        </is>
      </c>
      <c r="B2307" s="1" t="n">
        <v>44957</v>
      </c>
      <c r="C2307" s="1" t="n">
        <v>45627</v>
      </c>
      <c r="D2307" t="inlineStr">
        <is>
          <t>HALLANDS LÄN</t>
        </is>
      </c>
      <c r="E2307" t="inlineStr">
        <is>
          <t>VARBERG</t>
        </is>
      </c>
      <c r="G2307" t="n">
        <v>2.7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4713-2023</t>
        </is>
      </c>
      <c r="B2308" s="1" t="n">
        <v>44957</v>
      </c>
      <c r="C2308" s="1" t="n">
        <v>45627</v>
      </c>
      <c r="D2308" t="inlineStr">
        <is>
          <t>HALLANDS LÄN</t>
        </is>
      </c>
      <c r="E2308" t="inlineStr">
        <is>
          <t>FALKENBERG</t>
        </is>
      </c>
      <c r="G2308" t="n">
        <v>2.4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4889-2023</t>
        </is>
      </c>
      <c r="B2309" s="1" t="n">
        <v>44958</v>
      </c>
      <c r="C2309" s="1" t="n">
        <v>45627</v>
      </c>
      <c r="D2309" t="inlineStr">
        <is>
          <t>HALLANDS LÄN</t>
        </is>
      </c>
      <c r="E2309" t="inlineStr">
        <is>
          <t>VARBERG</t>
        </is>
      </c>
      <c r="G2309" t="n">
        <v>1.3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4887-2023</t>
        </is>
      </c>
      <c r="B2310" s="1" t="n">
        <v>44958</v>
      </c>
      <c r="C2310" s="1" t="n">
        <v>45627</v>
      </c>
      <c r="D2310" t="inlineStr">
        <is>
          <t>HALLANDS LÄN</t>
        </is>
      </c>
      <c r="E2310" t="inlineStr">
        <is>
          <t>HYLTE</t>
        </is>
      </c>
      <c r="G2310" t="n">
        <v>1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4970-2023</t>
        </is>
      </c>
      <c r="B2311" s="1" t="n">
        <v>44958</v>
      </c>
      <c r="C2311" s="1" t="n">
        <v>45627</v>
      </c>
      <c r="D2311" t="inlineStr">
        <is>
          <t>HALLANDS LÄN</t>
        </is>
      </c>
      <c r="E2311" t="inlineStr">
        <is>
          <t>FALKENBERG</t>
        </is>
      </c>
      <c r="F2311" t="inlineStr">
        <is>
          <t>Kommuner</t>
        </is>
      </c>
      <c r="G2311" t="n">
        <v>1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4973-2023</t>
        </is>
      </c>
      <c r="B2312" s="1" t="n">
        <v>44958</v>
      </c>
      <c r="C2312" s="1" t="n">
        <v>45627</v>
      </c>
      <c r="D2312" t="inlineStr">
        <is>
          <t>HALLANDS LÄN</t>
        </is>
      </c>
      <c r="E2312" t="inlineStr">
        <is>
          <t>FALKENBERG</t>
        </is>
      </c>
      <c r="F2312" t="inlineStr">
        <is>
          <t>Kommuner</t>
        </is>
      </c>
      <c r="G2312" t="n">
        <v>2.1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5096-2023</t>
        </is>
      </c>
      <c r="B2313" s="1" t="n">
        <v>44958</v>
      </c>
      <c r="C2313" s="1" t="n">
        <v>45627</v>
      </c>
      <c r="D2313" t="inlineStr">
        <is>
          <t>HALLANDS LÄN</t>
        </is>
      </c>
      <c r="E2313" t="inlineStr">
        <is>
          <t>FALKENBERG</t>
        </is>
      </c>
      <c r="G2313" t="n">
        <v>7.3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4886-2023</t>
        </is>
      </c>
      <c r="B2314" s="1" t="n">
        <v>44958</v>
      </c>
      <c r="C2314" s="1" t="n">
        <v>45627</v>
      </c>
      <c r="D2314" t="inlineStr">
        <is>
          <t>HALLANDS LÄN</t>
        </is>
      </c>
      <c r="E2314" t="inlineStr">
        <is>
          <t>HYLTE</t>
        </is>
      </c>
      <c r="G2314" t="n">
        <v>0.9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5210-2023</t>
        </is>
      </c>
      <c r="B2315" s="1" t="n">
        <v>44959</v>
      </c>
      <c r="C2315" s="1" t="n">
        <v>45627</v>
      </c>
      <c r="D2315" t="inlineStr">
        <is>
          <t>HALLANDS LÄN</t>
        </is>
      </c>
      <c r="E2315" t="inlineStr">
        <is>
          <t>HALMSTAD</t>
        </is>
      </c>
      <c r="G2315" t="n">
        <v>2.2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5419-2023</t>
        </is>
      </c>
      <c r="B2316" s="1" t="n">
        <v>44959</v>
      </c>
      <c r="C2316" s="1" t="n">
        <v>45627</v>
      </c>
      <c r="D2316" t="inlineStr">
        <is>
          <t>HALLANDS LÄN</t>
        </is>
      </c>
      <c r="E2316" t="inlineStr">
        <is>
          <t>LAHOLM</t>
        </is>
      </c>
      <c r="G2316" t="n">
        <v>2.9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5796-2023</t>
        </is>
      </c>
      <c r="B2317" s="1" t="n">
        <v>44963</v>
      </c>
      <c r="C2317" s="1" t="n">
        <v>45627</v>
      </c>
      <c r="D2317" t="inlineStr">
        <is>
          <t>HALLANDS LÄN</t>
        </is>
      </c>
      <c r="E2317" t="inlineStr">
        <is>
          <t>FALKENBERG</t>
        </is>
      </c>
      <c r="G2317" t="n">
        <v>0.6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5795-2023</t>
        </is>
      </c>
      <c r="B2318" s="1" t="n">
        <v>44963</v>
      </c>
      <c r="C2318" s="1" t="n">
        <v>45627</v>
      </c>
      <c r="D2318" t="inlineStr">
        <is>
          <t>HALLANDS LÄN</t>
        </is>
      </c>
      <c r="E2318" t="inlineStr">
        <is>
          <t>FALKENBERG</t>
        </is>
      </c>
      <c r="G2318" t="n">
        <v>0.3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5969-2023</t>
        </is>
      </c>
      <c r="B2319" s="1" t="n">
        <v>44964</v>
      </c>
      <c r="C2319" s="1" t="n">
        <v>45627</v>
      </c>
      <c r="D2319" t="inlineStr">
        <is>
          <t>HALLANDS LÄN</t>
        </is>
      </c>
      <c r="E2319" t="inlineStr">
        <is>
          <t>VARBERG</t>
        </is>
      </c>
      <c r="G2319" t="n">
        <v>2.7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6036-2023</t>
        </is>
      </c>
      <c r="B2320" s="1" t="n">
        <v>44964</v>
      </c>
      <c r="C2320" s="1" t="n">
        <v>45627</v>
      </c>
      <c r="D2320" t="inlineStr">
        <is>
          <t>HALLANDS LÄN</t>
        </is>
      </c>
      <c r="E2320" t="inlineStr">
        <is>
          <t>FALKENBERG</t>
        </is>
      </c>
      <c r="G2320" t="n">
        <v>1.5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6097-2023</t>
        </is>
      </c>
      <c r="B2321" s="1" t="n">
        <v>44964</v>
      </c>
      <c r="C2321" s="1" t="n">
        <v>45627</v>
      </c>
      <c r="D2321" t="inlineStr">
        <is>
          <t>HALLANDS LÄN</t>
        </is>
      </c>
      <c r="E2321" t="inlineStr">
        <is>
          <t>HYLTE</t>
        </is>
      </c>
      <c r="G2321" t="n">
        <v>1.5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6191-2023</t>
        </is>
      </c>
      <c r="B2322" s="1" t="n">
        <v>44964</v>
      </c>
      <c r="C2322" s="1" t="n">
        <v>45627</v>
      </c>
      <c r="D2322" t="inlineStr">
        <is>
          <t>HALLANDS LÄN</t>
        </is>
      </c>
      <c r="E2322" t="inlineStr">
        <is>
          <t>LAHOLM</t>
        </is>
      </c>
      <c r="G2322" t="n">
        <v>0.9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6942-2023</t>
        </is>
      </c>
      <c r="B2323" s="1" t="n">
        <v>44964</v>
      </c>
      <c r="C2323" s="1" t="n">
        <v>45627</v>
      </c>
      <c r="D2323" t="inlineStr">
        <is>
          <t>HALLANDS LÄN</t>
        </is>
      </c>
      <c r="E2323" t="inlineStr">
        <is>
          <t>HALMSTAD</t>
        </is>
      </c>
      <c r="F2323" t="inlineStr">
        <is>
          <t>Bergvik skog väst AB</t>
        </is>
      </c>
      <c r="G2323" t="n">
        <v>2.2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6087-2023</t>
        </is>
      </c>
      <c r="B2324" s="1" t="n">
        <v>44964</v>
      </c>
      <c r="C2324" s="1" t="n">
        <v>45627</v>
      </c>
      <c r="D2324" t="inlineStr">
        <is>
          <t>HALLANDS LÄN</t>
        </is>
      </c>
      <c r="E2324" t="inlineStr">
        <is>
          <t>HALMSTAD</t>
        </is>
      </c>
      <c r="G2324" t="n">
        <v>1.6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6119-2023</t>
        </is>
      </c>
      <c r="B2325" s="1" t="n">
        <v>44964</v>
      </c>
      <c r="C2325" s="1" t="n">
        <v>45627</v>
      </c>
      <c r="D2325" t="inlineStr">
        <is>
          <t>HALLANDS LÄN</t>
        </is>
      </c>
      <c r="E2325" t="inlineStr">
        <is>
          <t>LAHOLM</t>
        </is>
      </c>
      <c r="G2325" t="n">
        <v>0.9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6123-2023</t>
        </is>
      </c>
      <c r="B2326" s="1" t="n">
        <v>44964</v>
      </c>
      <c r="C2326" s="1" t="n">
        <v>45627</v>
      </c>
      <c r="D2326" t="inlineStr">
        <is>
          <t>HALLANDS LÄN</t>
        </is>
      </c>
      <c r="E2326" t="inlineStr">
        <is>
          <t>LAHOLM</t>
        </is>
      </c>
      <c r="G2326" t="n">
        <v>5.7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6106-2023</t>
        </is>
      </c>
      <c r="B2327" s="1" t="n">
        <v>44964</v>
      </c>
      <c r="C2327" s="1" t="n">
        <v>45627</v>
      </c>
      <c r="D2327" t="inlineStr">
        <is>
          <t>HALLANDS LÄN</t>
        </is>
      </c>
      <c r="E2327" t="inlineStr">
        <is>
          <t>HYLTE</t>
        </is>
      </c>
      <c r="G2327" t="n">
        <v>2.7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6187-2023</t>
        </is>
      </c>
      <c r="B2328" s="1" t="n">
        <v>44964</v>
      </c>
      <c r="C2328" s="1" t="n">
        <v>45627</v>
      </c>
      <c r="D2328" t="inlineStr">
        <is>
          <t>HALLANDS LÄN</t>
        </is>
      </c>
      <c r="E2328" t="inlineStr">
        <is>
          <t>LAHOLM</t>
        </is>
      </c>
      <c r="G2328" t="n">
        <v>1.8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6947-2023</t>
        </is>
      </c>
      <c r="B2329" s="1" t="n">
        <v>44964</v>
      </c>
      <c r="C2329" s="1" t="n">
        <v>45627</v>
      </c>
      <c r="D2329" t="inlineStr">
        <is>
          <t>HALLANDS LÄN</t>
        </is>
      </c>
      <c r="E2329" t="inlineStr">
        <is>
          <t>HALMSTAD</t>
        </is>
      </c>
      <c r="F2329" t="inlineStr">
        <is>
          <t>Bergvik skog väst AB</t>
        </is>
      </c>
      <c r="G2329" t="n">
        <v>1.1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6951-2023</t>
        </is>
      </c>
      <c r="B2330" s="1" t="n">
        <v>44964</v>
      </c>
      <c r="C2330" s="1" t="n">
        <v>45627</v>
      </c>
      <c r="D2330" t="inlineStr">
        <is>
          <t>HALLANDS LÄN</t>
        </is>
      </c>
      <c r="E2330" t="inlineStr">
        <is>
          <t>HALMSTAD</t>
        </is>
      </c>
      <c r="F2330" t="inlineStr">
        <is>
          <t>Bergvik skog väst AB</t>
        </is>
      </c>
      <c r="G2330" t="n">
        <v>0.7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6272-2023</t>
        </is>
      </c>
      <c r="B2331" s="1" t="n">
        <v>44965</v>
      </c>
      <c r="C2331" s="1" t="n">
        <v>45627</v>
      </c>
      <c r="D2331" t="inlineStr">
        <is>
          <t>HALLANDS LÄN</t>
        </is>
      </c>
      <c r="E2331" t="inlineStr">
        <is>
          <t>HYLTE</t>
        </is>
      </c>
      <c r="F2331" t="inlineStr">
        <is>
          <t>Bergvik skog väst AB</t>
        </is>
      </c>
      <c r="G2331" t="n">
        <v>6.6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6508-2023</t>
        </is>
      </c>
      <c r="B2332" s="1" t="n">
        <v>44966</v>
      </c>
      <c r="C2332" s="1" t="n">
        <v>45627</v>
      </c>
      <c r="D2332" t="inlineStr">
        <is>
          <t>HALLANDS LÄN</t>
        </is>
      </c>
      <c r="E2332" t="inlineStr">
        <is>
          <t>FALKENBERG</t>
        </is>
      </c>
      <c r="G2332" t="n">
        <v>7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6486-2023</t>
        </is>
      </c>
      <c r="B2333" s="1" t="n">
        <v>44966</v>
      </c>
      <c r="C2333" s="1" t="n">
        <v>45627</v>
      </c>
      <c r="D2333" t="inlineStr">
        <is>
          <t>HALLANDS LÄN</t>
        </is>
      </c>
      <c r="E2333" t="inlineStr">
        <is>
          <t>VARBERG</t>
        </is>
      </c>
      <c r="G2333" t="n">
        <v>1.9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6689-2023</t>
        </is>
      </c>
      <c r="B2334" s="1" t="n">
        <v>44966</v>
      </c>
      <c r="C2334" s="1" t="n">
        <v>45627</v>
      </c>
      <c r="D2334" t="inlineStr">
        <is>
          <t>HALLANDS LÄN</t>
        </is>
      </c>
      <c r="E2334" t="inlineStr">
        <is>
          <t>FALKENBERG</t>
        </is>
      </c>
      <c r="G2334" t="n">
        <v>1.2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6909-2023</t>
        </is>
      </c>
      <c r="B2335" s="1" t="n">
        <v>44967</v>
      </c>
      <c r="C2335" s="1" t="n">
        <v>45627</v>
      </c>
      <c r="D2335" t="inlineStr">
        <is>
          <t>HALLANDS LÄN</t>
        </is>
      </c>
      <c r="E2335" t="inlineStr">
        <is>
          <t>HYLTE</t>
        </is>
      </c>
      <c r="G2335" t="n">
        <v>3.5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6803-2023</t>
        </is>
      </c>
      <c r="B2336" s="1" t="n">
        <v>44967</v>
      </c>
      <c r="C2336" s="1" t="n">
        <v>45627</v>
      </c>
      <c r="D2336" t="inlineStr">
        <is>
          <t>HALLANDS LÄN</t>
        </is>
      </c>
      <c r="E2336" t="inlineStr">
        <is>
          <t>VARBERG</t>
        </is>
      </c>
      <c r="G2336" t="n">
        <v>2.4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6978-2023</t>
        </is>
      </c>
      <c r="B2337" s="1" t="n">
        <v>44967</v>
      </c>
      <c r="C2337" s="1" t="n">
        <v>45627</v>
      </c>
      <c r="D2337" t="inlineStr">
        <is>
          <t>HALLANDS LÄN</t>
        </is>
      </c>
      <c r="E2337" t="inlineStr">
        <is>
          <t>KUNGSBACKA</t>
        </is>
      </c>
      <c r="G2337" t="n">
        <v>0.8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7103-2023</t>
        </is>
      </c>
      <c r="B2338" s="1" t="n">
        <v>44970</v>
      </c>
      <c r="C2338" s="1" t="n">
        <v>45627</v>
      </c>
      <c r="D2338" t="inlineStr">
        <is>
          <t>HALLANDS LÄN</t>
        </is>
      </c>
      <c r="E2338" t="inlineStr">
        <is>
          <t>VARBERG</t>
        </is>
      </c>
      <c r="G2338" t="n">
        <v>1.8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7109-2023</t>
        </is>
      </c>
      <c r="B2339" s="1" t="n">
        <v>44970</v>
      </c>
      <c r="C2339" s="1" t="n">
        <v>45627</v>
      </c>
      <c r="D2339" t="inlineStr">
        <is>
          <t>HALLANDS LÄN</t>
        </is>
      </c>
      <c r="E2339" t="inlineStr">
        <is>
          <t>VARBERG</t>
        </is>
      </c>
      <c r="G2339" t="n">
        <v>2.1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7226-2023</t>
        </is>
      </c>
      <c r="B2340" s="1" t="n">
        <v>44970</v>
      </c>
      <c r="C2340" s="1" t="n">
        <v>45627</v>
      </c>
      <c r="D2340" t="inlineStr">
        <is>
          <t>HALLANDS LÄN</t>
        </is>
      </c>
      <c r="E2340" t="inlineStr">
        <is>
          <t>HYLTE</t>
        </is>
      </c>
      <c r="G2340" t="n">
        <v>1.8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7291-2023</t>
        </is>
      </c>
      <c r="B2341" s="1" t="n">
        <v>44970</v>
      </c>
      <c r="C2341" s="1" t="n">
        <v>45627</v>
      </c>
      <c r="D2341" t="inlineStr">
        <is>
          <t>HALLANDS LÄN</t>
        </is>
      </c>
      <c r="E2341" t="inlineStr">
        <is>
          <t>FALKENBERG</t>
        </is>
      </c>
      <c r="G2341" t="n">
        <v>0.1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7304-2023</t>
        </is>
      </c>
      <c r="B2342" s="1" t="n">
        <v>44970</v>
      </c>
      <c r="C2342" s="1" t="n">
        <v>45627</v>
      </c>
      <c r="D2342" t="inlineStr">
        <is>
          <t>HALLANDS LÄN</t>
        </is>
      </c>
      <c r="E2342" t="inlineStr">
        <is>
          <t>KUNGSBACKA</t>
        </is>
      </c>
      <c r="G2342" t="n">
        <v>2.4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7302-2023</t>
        </is>
      </c>
      <c r="B2343" s="1" t="n">
        <v>44970</v>
      </c>
      <c r="C2343" s="1" t="n">
        <v>45627</v>
      </c>
      <c r="D2343" t="inlineStr">
        <is>
          <t>HALLANDS LÄN</t>
        </is>
      </c>
      <c r="E2343" t="inlineStr">
        <is>
          <t>HYLTE</t>
        </is>
      </c>
      <c r="G2343" t="n">
        <v>0.5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7076-2023</t>
        </is>
      </c>
      <c r="B2344" s="1" t="n">
        <v>44970</v>
      </c>
      <c r="C2344" s="1" t="n">
        <v>45627</v>
      </c>
      <c r="D2344" t="inlineStr">
        <is>
          <t>HALLANDS LÄN</t>
        </is>
      </c>
      <c r="E2344" t="inlineStr">
        <is>
          <t>FALKENBERG</t>
        </is>
      </c>
      <c r="F2344" t="inlineStr">
        <is>
          <t>Bergvik skog väst AB</t>
        </is>
      </c>
      <c r="G2344" t="n">
        <v>1.4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7217-2023</t>
        </is>
      </c>
      <c r="B2345" s="1" t="n">
        <v>44970</v>
      </c>
      <c r="C2345" s="1" t="n">
        <v>45627</v>
      </c>
      <c r="D2345" t="inlineStr">
        <is>
          <t>HALLANDS LÄN</t>
        </is>
      </c>
      <c r="E2345" t="inlineStr">
        <is>
          <t>KUNGSBACKA</t>
        </is>
      </c>
      <c r="G2345" t="n">
        <v>1.5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7301-2023</t>
        </is>
      </c>
      <c r="B2346" s="1" t="n">
        <v>44970</v>
      </c>
      <c r="C2346" s="1" t="n">
        <v>45627</v>
      </c>
      <c r="D2346" t="inlineStr">
        <is>
          <t>HALLANDS LÄN</t>
        </is>
      </c>
      <c r="E2346" t="inlineStr">
        <is>
          <t>HYLTE</t>
        </is>
      </c>
      <c r="G2346" t="n">
        <v>2.7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7335-2023</t>
        </is>
      </c>
      <c r="B2347" s="1" t="n">
        <v>44971</v>
      </c>
      <c r="C2347" s="1" t="n">
        <v>45627</v>
      </c>
      <c r="D2347" t="inlineStr">
        <is>
          <t>HALLANDS LÄN</t>
        </is>
      </c>
      <c r="E2347" t="inlineStr">
        <is>
          <t>KUNGSBACKA</t>
        </is>
      </c>
      <c r="G2347" t="n">
        <v>0.5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7696-2023</t>
        </is>
      </c>
      <c r="B2348" s="1" t="n">
        <v>44972</v>
      </c>
      <c r="C2348" s="1" t="n">
        <v>45627</v>
      </c>
      <c r="D2348" t="inlineStr">
        <is>
          <t>HALLANDS LÄN</t>
        </is>
      </c>
      <c r="E2348" t="inlineStr">
        <is>
          <t>FALKENBERG</t>
        </is>
      </c>
      <c r="G2348" t="n">
        <v>6.3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7786-2023</t>
        </is>
      </c>
      <c r="B2349" s="1" t="n">
        <v>44973</v>
      </c>
      <c r="C2349" s="1" t="n">
        <v>45627</v>
      </c>
      <c r="D2349" t="inlineStr">
        <is>
          <t>HALLANDS LÄN</t>
        </is>
      </c>
      <c r="E2349" t="inlineStr">
        <is>
          <t>FALKENBERG</t>
        </is>
      </c>
      <c r="G2349" t="n">
        <v>1.8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7724-2023</t>
        </is>
      </c>
      <c r="B2350" s="1" t="n">
        <v>44973</v>
      </c>
      <c r="C2350" s="1" t="n">
        <v>45627</v>
      </c>
      <c r="D2350" t="inlineStr">
        <is>
          <t>HALLANDS LÄN</t>
        </is>
      </c>
      <c r="E2350" t="inlineStr">
        <is>
          <t>LAHOLM</t>
        </is>
      </c>
      <c r="G2350" t="n">
        <v>4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8008-2023</t>
        </is>
      </c>
      <c r="B2351" s="1" t="n">
        <v>44973</v>
      </c>
      <c r="C2351" s="1" t="n">
        <v>45627</v>
      </c>
      <c r="D2351" t="inlineStr">
        <is>
          <t>HALLANDS LÄN</t>
        </is>
      </c>
      <c r="E2351" t="inlineStr">
        <is>
          <t>LAHOLM</t>
        </is>
      </c>
      <c r="F2351" t="inlineStr">
        <is>
          <t>Kommuner</t>
        </is>
      </c>
      <c r="G2351" t="n">
        <v>3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7995-2023</t>
        </is>
      </c>
      <c r="B2352" s="1" t="n">
        <v>44973</v>
      </c>
      <c r="C2352" s="1" t="n">
        <v>45627</v>
      </c>
      <c r="D2352" t="inlineStr">
        <is>
          <t>HALLANDS LÄN</t>
        </is>
      </c>
      <c r="E2352" t="inlineStr">
        <is>
          <t>KUNGSBACKA</t>
        </is>
      </c>
      <c r="G2352" t="n">
        <v>3.6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8011-2023</t>
        </is>
      </c>
      <c r="B2353" s="1" t="n">
        <v>44973</v>
      </c>
      <c r="C2353" s="1" t="n">
        <v>45627</v>
      </c>
      <c r="D2353" t="inlineStr">
        <is>
          <t>HALLANDS LÄN</t>
        </is>
      </c>
      <c r="E2353" t="inlineStr">
        <is>
          <t>LAHOLM</t>
        </is>
      </c>
      <c r="F2353" t="inlineStr">
        <is>
          <t>Kommuner</t>
        </is>
      </c>
      <c r="G2353" t="n">
        <v>5.8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8017-2023</t>
        </is>
      </c>
      <c r="B2354" s="1" t="n">
        <v>44973</v>
      </c>
      <c r="C2354" s="1" t="n">
        <v>45627</v>
      </c>
      <c r="D2354" t="inlineStr">
        <is>
          <t>HALLANDS LÄN</t>
        </is>
      </c>
      <c r="E2354" t="inlineStr">
        <is>
          <t>LAHOLM</t>
        </is>
      </c>
      <c r="G2354" t="n">
        <v>4.6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8040-2023</t>
        </is>
      </c>
      <c r="B2355" s="1" t="n">
        <v>44974</v>
      </c>
      <c r="C2355" s="1" t="n">
        <v>45627</v>
      </c>
      <c r="D2355" t="inlineStr">
        <is>
          <t>HALLANDS LÄN</t>
        </is>
      </c>
      <c r="E2355" t="inlineStr">
        <is>
          <t>FALKENBERG</t>
        </is>
      </c>
      <c r="G2355" t="n">
        <v>1.6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8062-2023</t>
        </is>
      </c>
      <c r="B2356" s="1" t="n">
        <v>44974</v>
      </c>
      <c r="C2356" s="1" t="n">
        <v>45627</v>
      </c>
      <c r="D2356" t="inlineStr">
        <is>
          <t>HALLANDS LÄN</t>
        </is>
      </c>
      <c r="E2356" t="inlineStr">
        <is>
          <t>HALMSTAD</t>
        </is>
      </c>
      <c r="G2356" t="n">
        <v>1.3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8123-2023</t>
        </is>
      </c>
      <c r="B2357" s="1" t="n">
        <v>44974</v>
      </c>
      <c r="C2357" s="1" t="n">
        <v>45627</v>
      </c>
      <c r="D2357" t="inlineStr">
        <is>
          <t>HALLANDS LÄN</t>
        </is>
      </c>
      <c r="E2357" t="inlineStr">
        <is>
          <t>HALMSTAD</t>
        </is>
      </c>
      <c r="G2357" t="n">
        <v>1.5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8142-2023</t>
        </is>
      </c>
      <c r="B2358" s="1" t="n">
        <v>44974</v>
      </c>
      <c r="C2358" s="1" t="n">
        <v>45627</v>
      </c>
      <c r="D2358" t="inlineStr">
        <is>
          <t>HALLANDS LÄN</t>
        </is>
      </c>
      <c r="E2358" t="inlineStr">
        <is>
          <t>HALMSTAD</t>
        </is>
      </c>
      <c r="G2358" t="n">
        <v>1.9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8210-2023</t>
        </is>
      </c>
      <c r="B2359" s="1" t="n">
        <v>44974</v>
      </c>
      <c r="C2359" s="1" t="n">
        <v>45627</v>
      </c>
      <c r="D2359" t="inlineStr">
        <is>
          <t>HALLANDS LÄN</t>
        </is>
      </c>
      <c r="E2359" t="inlineStr">
        <is>
          <t>HALMSTAD</t>
        </is>
      </c>
      <c r="G2359" t="n">
        <v>2.3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8114-2023</t>
        </is>
      </c>
      <c r="B2360" s="1" t="n">
        <v>44974</v>
      </c>
      <c r="C2360" s="1" t="n">
        <v>45627</v>
      </c>
      <c r="D2360" t="inlineStr">
        <is>
          <t>HALLANDS LÄN</t>
        </is>
      </c>
      <c r="E2360" t="inlineStr">
        <is>
          <t>HALMSTAD</t>
        </is>
      </c>
      <c r="G2360" t="n">
        <v>3.4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8203-2023</t>
        </is>
      </c>
      <c r="B2361" s="1" t="n">
        <v>44974</v>
      </c>
      <c r="C2361" s="1" t="n">
        <v>45627</v>
      </c>
      <c r="D2361" t="inlineStr">
        <is>
          <t>HALLANDS LÄN</t>
        </is>
      </c>
      <c r="E2361" t="inlineStr">
        <is>
          <t>HYLTE</t>
        </is>
      </c>
      <c r="G2361" t="n">
        <v>2.2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8248-2023</t>
        </is>
      </c>
      <c r="B2362" s="1" t="n">
        <v>44974</v>
      </c>
      <c r="C2362" s="1" t="n">
        <v>45627</v>
      </c>
      <c r="D2362" t="inlineStr">
        <is>
          <t>HALLANDS LÄN</t>
        </is>
      </c>
      <c r="E2362" t="inlineStr">
        <is>
          <t>HYLTE</t>
        </is>
      </c>
      <c r="G2362" t="n">
        <v>3.3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8252-2023</t>
        </is>
      </c>
      <c r="B2363" s="1" t="n">
        <v>44974</v>
      </c>
      <c r="C2363" s="1" t="n">
        <v>45627</v>
      </c>
      <c r="D2363" t="inlineStr">
        <is>
          <t>HALLANDS LÄN</t>
        </is>
      </c>
      <c r="E2363" t="inlineStr">
        <is>
          <t>FALKENBERG</t>
        </is>
      </c>
      <c r="G2363" t="n">
        <v>1.3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8091-2023</t>
        </is>
      </c>
      <c r="B2364" s="1" t="n">
        <v>44974</v>
      </c>
      <c r="C2364" s="1" t="n">
        <v>45627</v>
      </c>
      <c r="D2364" t="inlineStr">
        <is>
          <t>HALLANDS LÄN</t>
        </is>
      </c>
      <c r="E2364" t="inlineStr">
        <is>
          <t>HYLTE</t>
        </is>
      </c>
      <c r="G2364" t="n">
        <v>0.6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8222-2023</t>
        </is>
      </c>
      <c r="B2365" s="1" t="n">
        <v>44974</v>
      </c>
      <c r="C2365" s="1" t="n">
        <v>45627</v>
      </c>
      <c r="D2365" t="inlineStr">
        <is>
          <t>HALLANDS LÄN</t>
        </is>
      </c>
      <c r="E2365" t="inlineStr">
        <is>
          <t>HYLTE</t>
        </is>
      </c>
      <c r="G2365" t="n">
        <v>1.6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8230-2023</t>
        </is>
      </c>
      <c r="B2366" s="1" t="n">
        <v>44974</v>
      </c>
      <c r="C2366" s="1" t="n">
        <v>45627</v>
      </c>
      <c r="D2366" t="inlineStr">
        <is>
          <t>HALLANDS LÄN</t>
        </is>
      </c>
      <c r="E2366" t="inlineStr">
        <is>
          <t>HALMSTAD</t>
        </is>
      </c>
      <c r="G2366" t="n">
        <v>0.6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8263-2023</t>
        </is>
      </c>
      <c r="B2367" s="1" t="n">
        <v>44974</v>
      </c>
      <c r="C2367" s="1" t="n">
        <v>45627</v>
      </c>
      <c r="D2367" t="inlineStr">
        <is>
          <t>HALLANDS LÄN</t>
        </is>
      </c>
      <c r="E2367" t="inlineStr">
        <is>
          <t>VARBERG</t>
        </is>
      </c>
      <c r="G2367" t="n">
        <v>0.7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8303-2023</t>
        </is>
      </c>
      <c r="B2368" s="1" t="n">
        <v>44974</v>
      </c>
      <c r="C2368" s="1" t="n">
        <v>45627</v>
      </c>
      <c r="D2368" t="inlineStr">
        <is>
          <t>HALLANDS LÄN</t>
        </is>
      </c>
      <c r="E2368" t="inlineStr">
        <is>
          <t>FALKENBERG</t>
        </is>
      </c>
      <c r="G2368" t="n">
        <v>1.5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8262-2023</t>
        </is>
      </c>
      <c r="B2369" s="1" t="n">
        <v>44974</v>
      </c>
      <c r="C2369" s="1" t="n">
        <v>45627</v>
      </c>
      <c r="D2369" t="inlineStr">
        <is>
          <t>HALLANDS LÄN</t>
        </is>
      </c>
      <c r="E2369" t="inlineStr">
        <is>
          <t>FALKENBERG</t>
        </is>
      </c>
      <c r="G2369" t="n">
        <v>2.4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8266-2023</t>
        </is>
      </c>
      <c r="B2370" s="1" t="n">
        <v>44974</v>
      </c>
      <c r="C2370" s="1" t="n">
        <v>45627</v>
      </c>
      <c r="D2370" t="inlineStr">
        <is>
          <t>HALLANDS LÄN</t>
        </is>
      </c>
      <c r="E2370" t="inlineStr">
        <is>
          <t>FALKENBERG</t>
        </is>
      </c>
      <c r="G2370" t="n">
        <v>1.4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8350-2023</t>
        </is>
      </c>
      <c r="B2371" s="1" t="n">
        <v>44977</v>
      </c>
      <c r="C2371" s="1" t="n">
        <v>45627</v>
      </c>
      <c r="D2371" t="inlineStr">
        <is>
          <t>HALLANDS LÄN</t>
        </is>
      </c>
      <c r="E2371" t="inlineStr">
        <is>
          <t>FALKENBERG</t>
        </is>
      </c>
      <c r="F2371" t="inlineStr">
        <is>
          <t>Bergvik skog väst AB</t>
        </is>
      </c>
      <c r="G2371" t="n">
        <v>6.3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8574-2023</t>
        </is>
      </c>
      <c r="B2372" s="1" t="n">
        <v>44977</v>
      </c>
      <c r="C2372" s="1" t="n">
        <v>45627</v>
      </c>
      <c r="D2372" t="inlineStr">
        <is>
          <t>HALLANDS LÄN</t>
        </is>
      </c>
      <c r="E2372" t="inlineStr">
        <is>
          <t>LAHOLM</t>
        </is>
      </c>
      <c r="G2372" t="n">
        <v>3.2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8575-2023</t>
        </is>
      </c>
      <c r="B2373" s="1" t="n">
        <v>44977</v>
      </c>
      <c r="C2373" s="1" t="n">
        <v>45627</v>
      </c>
      <c r="D2373" t="inlineStr">
        <is>
          <t>HALLANDS LÄN</t>
        </is>
      </c>
      <c r="E2373" t="inlineStr">
        <is>
          <t>LAHOLM</t>
        </is>
      </c>
      <c r="G2373" t="n">
        <v>6.1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9205-2023</t>
        </is>
      </c>
      <c r="B2374" s="1" t="n">
        <v>44977</v>
      </c>
      <c r="C2374" s="1" t="n">
        <v>45627</v>
      </c>
      <c r="D2374" t="inlineStr">
        <is>
          <t>HALLANDS LÄN</t>
        </is>
      </c>
      <c r="E2374" t="inlineStr">
        <is>
          <t>FALKENBERG</t>
        </is>
      </c>
      <c r="G2374" t="n">
        <v>3.2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8724-2023</t>
        </is>
      </c>
      <c r="B2375" s="1" t="n">
        <v>44978</v>
      </c>
      <c r="C2375" s="1" t="n">
        <v>45627</v>
      </c>
      <c r="D2375" t="inlineStr">
        <is>
          <t>HALLANDS LÄN</t>
        </is>
      </c>
      <c r="E2375" t="inlineStr">
        <is>
          <t>LAHOLM</t>
        </is>
      </c>
      <c r="G2375" t="n">
        <v>2.6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8738-2023</t>
        </is>
      </c>
      <c r="B2376" s="1" t="n">
        <v>44978</v>
      </c>
      <c r="C2376" s="1" t="n">
        <v>45627</v>
      </c>
      <c r="D2376" t="inlineStr">
        <is>
          <t>HALLANDS LÄN</t>
        </is>
      </c>
      <c r="E2376" t="inlineStr">
        <is>
          <t>LAHOLM</t>
        </is>
      </c>
      <c r="G2376" t="n">
        <v>0.5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8849-2023</t>
        </is>
      </c>
      <c r="B2377" s="1" t="n">
        <v>44978</v>
      </c>
      <c r="C2377" s="1" t="n">
        <v>45627</v>
      </c>
      <c r="D2377" t="inlineStr">
        <is>
          <t>HALLANDS LÄN</t>
        </is>
      </c>
      <c r="E2377" t="inlineStr">
        <is>
          <t>FALKENBERG</t>
        </is>
      </c>
      <c r="G2377" t="n">
        <v>1.3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9007-2023</t>
        </is>
      </c>
      <c r="B2378" s="1" t="n">
        <v>44979</v>
      </c>
      <c r="C2378" s="1" t="n">
        <v>45627</v>
      </c>
      <c r="D2378" t="inlineStr">
        <is>
          <t>HALLANDS LÄN</t>
        </is>
      </c>
      <c r="E2378" t="inlineStr">
        <is>
          <t>KUNGSBACKA</t>
        </is>
      </c>
      <c r="G2378" t="n">
        <v>1.9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9235-2023</t>
        </is>
      </c>
      <c r="B2379" s="1" t="n">
        <v>44980</v>
      </c>
      <c r="C2379" s="1" t="n">
        <v>45627</v>
      </c>
      <c r="D2379" t="inlineStr">
        <is>
          <t>HALLANDS LÄN</t>
        </is>
      </c>
      <c r="E2379" t="inlineStr">
        <is>
          <t>VARBERG</t>
        </is>
      </c>
      <c r="G2379" t="n">
        <v>0.7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10229-2023</t>
        </is>
      </c>
      <c r="B2380" s="1" t="n">
        <v>44980</v>
      </c>
      <c r="C2380" s="1" t="n">
        <v>45627</v>
      </c>
      <c r="D2380" t="inlineStr">
        <is>
          <t>HALLANDS LÄN</t>
        </is>
      </c>
      <c r="E2380" t="inlineStr">
        <is>
          <t>VARBERG</t>
        </is>
      </c>
      <c r="F2380" t="inlineStr">
        <is>
          <t>Övriga statliga verk och myndigheter</t>
        </is>
      </c>
      <c r="G2380" t="n">
        <v>0.2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10364-2023</t>
        </is>
      </c>
      <c r="B2381" s="1" t="n">
        <v>44980</v>
      </c>
      <c r="C2381" s="1" t="n">
        <v>45627</v>
      </c>
      <c r="D2381" t="inlineStr">
        <is>
          <t>HALLANDS LÄN</t>
        </is>
      </c>
      <c r="E2381" t="inlineStr">
        <is>
          <t>HYLTE</t>
        </is>
      </c>
      <c r="G2381" t="n">
        <v>0.5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9415-2023</t>
        </is>
      </c>
      <c r="B2382" s="1" t="n">
        <v>44981</v>
      </c>
      <c r="C2382" s="1" t="n">
        <v>45627</v>
      </c>
      <c r="D2382" t="inlineStr">
        <is>
          <t>HALLANDS LÄN</t>
        </is>
      </c>
      <c r="E2382" t="inlineStr">
        <is>
          <t>KUNGSBACKA</t>
        </is>
      </c>
      <c r="G2382" t="n">
        <v>0.9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9419-2023</t>
        </is>
      </c>
      <c r="B2383" s="1" t="n">
        <v>44981</v>
      </c>
      <c r="C2383" s="1" t="n">
        <v>45627</v>
      </c>
      <c r="D2383" t="inlineStr">
        <is>
          <t>HALLANDS LÄN</t>
        </is>
      </c>
      <c r="E2383" t="inlineStr">
        <is>
          <t>KUNGSBACKA</t>
        </is>
      </c>
      <c r="G2383" t="n">
        <v>0.8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9445-2023</t>
        </is>
      </c>
      <c r="B2384" s="1" t="n">
        <v>44981</v>
      </c>
      <c r="C2384" s="1" t="n">
        <v>45627</v>
      </c>
      <c r="D2384" t="inlineStr">
        <is>
          <t>HALLANDS LÄN</t>
        </is>
      </c>
      <c r="E2384" t="inlineStr">
        <is>
          <t>FALKENBERG</t>
        </is>
      </c>
      <c r="G2384" t="n">
        <v>0.8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9404-2023</t>
        </is>
      </c>
      <c r="B2385" s="1" t="n">
        <v>44981</v>
      </c>
      <c r="C2385" s="1" t="n">
        <v>45627</v>
      </c>
      <c r="D2385" t="inlineStr">
        <is>
          <t>HALLANDS LÄN</t>
        </is>
      </c>
      <c r="E2385" t="inlineStr">
        <is>
          <t>KUNGSBACKA</t>
        </is>
      </c>
      <c r="G2385" t="n">
        <v>2.5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9421-2023</t>
        </is>
      </c>
      <c r="B2386" s="1" t="n">
        <v>44981</v>
      </c>
      <c r="C2386" s="1" t="n">
        <v>45627</v>
      </c>
      <c r="D2386" t="inlineStr">
        <is>
          <t>HALLANDS LÄN</t>
        </is>
      </c>
      <c r="E2386" t="inlineStr">
        <is>
          <t>HYLTE</t>
        </is>
      </c>
      <c r="G2386" t="n">
        <v>0.9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9417-2023</t>
        </is>
      </c>
      <c r="B2387" s="1" t="n">
        <v>44981</v>
      </c>
      <c r="C2387" s="1" t="n">
        <v>45627</v>
      </c>
      <c r="D2387" t="inlineStr">
        <is>
          <t>HALLANDS LÄN</t>
        </is>
      </c>
      <c r="E2387" t="inlineStr">
        <is>
          <t>KUNGSBACKA</t>
        </is>
      </c>
      <c r="G2387" t="n">
        <v>0.5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9465-2023</t>
        </is>
      </c>
      <c r="B2388" s="1" t="n">
        <v>44981</v>
      </c>
      <c r="C2388" s="1" t="n">
        <v>45627</v>
      </c>
      <c r="D2388" t="inlineStr">
        <is>
          <t>HALLANDS LÄN</t>
        </is>
      </c>
      <c r="E2388" t="inlineStr">
        <is>
          <t>VARBERG</t>
        </is>
      </c>
      <c r="G2388" t="n">
        <v>9.9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9479-2023</t>
        </is>
      </c>
      <c r="B2389" s="1" t="n">
        <v>44981</v>
      </c>
      <c r="C2389" s="1" t="n">
        <v>45627</v>
      </c>
      <c r="D2389" t="inlineStr">
        <is>
          <t>HALLANDS LÄN</t>
        </is>
      </c>
      <c r="E2389" t="inlineStr">
        <is>
          <t>LAHOLM</t>
        </is>
      </c>
      <c r="G2389" t="n">
        <v>3.7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9514-2023</t>
        </is>
      </c>
      <c r="B2390" s="1" t="n">
        <v>44981</v>
      </c>
      <c r="C2390" s="1" t="n">
        <v>45627</v>
      </c>
      <c r="D2390" t="inlineStr">
        <is>
          <t>HALLANDS LÄN</t>
        </is>
      </c>
      <c r="E2390" t="inlineStr">
        <is>
          <t>VARBERG</t>
        </is>
      </c>
      <c r="G2390" t="n">
        <v>9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9519-2023</t>
        </is>
      </c>
      <c r="B2391" s="1" t="n">
        <v>44981</v>
      </c>
      <c r="C2391" s="1" t="n">
        <v>45627</v>
      </c>
      <c r="D2391" t="inlineStr">
        <is>
          <t>HALLANDS LÄN</t>
        </is>
      </c>
      <c r="E2391" t="inlineStr">
        <is>
          <t>VARBERG</t>
        </is>
      </c>
      <c r="G2391" t="n">
        <v>1.4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9572-2023</t>
        </is>
      </c>
      <c r="B2392" s="1" t="n">
        <v>44982</v>
      </c>
      <c r="C2392" s="1" t="n">
        <v>45627</v>
      </c>
      <c r="D2392" t="inlineStr">
        <is>
          <t>HALLANDS LÄN</t>
        </is>
      </c>
      <c r="E2392" t="inlineStr">
        <is>
          <t>VARBERG</t>
        </is>
      </c>
      <c r="G2392" t="n">
        <v>1.9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9608-2023</t>
        </is>
      </c>
      <c r="B2393" s="1" t="n">
        <v>44983</v>
      </c>
      <c r="C2393" s="1" t="n">
        <v>45627</v>
      </c>
      <c r="D2393" t="inlineStr">
        <is>
          <t>HALLANDS LÄN</t>
        </is>
      </c>
      <c r="E2393" t="inlineStr">
        <is>
          <t>VARBERG</t>
        </is>
      </c>
      <c r="G2393" t="n">
        <v>3.4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9666-2023</t>
        </is>
      </c>
      <c r="B2394" s="1" t="n">
        <v>44984</v>
      </c>
      <c r="C2394" s="1" t="n">
        <v>45627</v>
      </c>
      <c r="D2394" t="inlineStr">
        <is>
          <t>HALLANDS LÄN</t>
        </is>
      </c>
      <c r="E2394" t="inlineStr">
        <is>
          <t>LAHOLM</t>
        </is>
      </c>
      <c r="G2394" t="n">
        <v>0.6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9807-2023</t>
        </is>
      </c>
      <c r="B2395" s="1" t="n">
        <v>44984</v>
      </c>
      <c r="C2395" s="1" t="n">
        <v>45627</v>
      </c>
      <c r="D2395" t="inlineStr">
        <is>
          <t>HALLANDS LÄN</t>
        </is>
      </c>
      <c r="E2395" t="inlineStr">
        <is>
          <t>FALKENBERG</t>
        </is>
      </c>
      <c r="G2395" t="n">
        <v>2.5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9798-2023</t>
        </is>
      </c>
      <c r="B2396" s="1" t="n">
        <v>44984</v>
      </c>
      <c r="C2396" s="1" t="n">
        <v>45627</v>
      </c>
      <c r="D2396" t="inlineStr">
        <is>
          <t>HALLANDS LÄN</t>
        </is>
      </c>
      <c r="E2396" t="inlineStr">
        <is>
          <t>FALKENBERG</t>
        </is>
      </c>
      <c r="G2396" t="n">
        <v>1.4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9885-2023</t>
        </is>
      </c>
      <c r="B2397" s="1" t="n">
        <v>44985</v>
      </c>
      <c r="C2397" s="1" t="n">
        <v>45627</v>
      </c>
      <c r="D2397" t="inlineStr">
        <is>
          <t>HALLANDS LÄN</t>
        </is>
      </c>
      <c r="E2397" t="inlineStr">
        <is>
          <t>VARBERG</t>
        </is>
      </c>
      <c r="G2397" t="n">
        <v>6.6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9887-2023</t>
        </is>
      </c>
      <c r="B2398" s="1" t="n">
        <v>44985</v>
      </c>
      <c r="C2398" s="1" t="n">
        <v>45627</v>
      </c>
      <c r="D2398" t="inlineStr">
        <is>
          <t>HALLANDS LÄN</t>
        </is>
      </c>
      <c r="E2398" t="inlineStr">
        <is>
          <t>VARBERG</t>
        </is>
      </c>
      <c r="G2398" t="n">
        <v>1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9917-2023</t>
        </is>
      </c>
      <c r="B2399" s="1" t="n">
        <v>44985</v>
      </c>
      <c r="C2399" s="1" t="n">
        <v>45627</v>
      </c>
      <c r="D2399" t="inlineStr">
        <is>
          <t>HALLANDS LÄN</t>
        </is>
      </c>
      <c r="E2399" t="inlineStr">
        <is>
          <t>FALKENBERG</t>
        </is>
      </c>
      <c r="G2399" t="n">
        <v>1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10238-2023</t>
        </is>
      </c>
      <c r="B2400" s="1" t="n">
        <v>44986</v>
      </c>
      <c r="C2400" s="1" t="n">
        <v>45627</v>
      </c>
      <c r="D2400" t="inlineStr">
        <is>
          <t>HALLANDS LÄN</t>
        </is>
      </c>
      <c r="E2400" t="inlineStr">
        <is>
          <t>FALKENBERG</t>
        </is>
      </c>
      <c r="G2400" t="n">
        <v>1.4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10245-2023</t>
        </is>
      </c>
      <c r="B2401" s="1" t="n">
        <v>44986</v>
      </c>
      <c r="C2401" s="1" t="n">
        <v>45627</v>
      </c>
      <c r="D2401" t="inlineStr">
        <is>
          <t>HALLANDS LÄN</t>
        </is>
      </c>
      <c r="E2401" t="inlineStr">
        <is>
          <t>FALKENBERG</t>
        </is>
      </c>
      <c r="G2401" t="n">
        <v>0.8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10252-2023</t>
        </is>
      </c>
      <c r="B2402" s="1" t="n">
        <v>44986</v>
      </c>
      <c r="C2402" s="1" t="n">
        <v>45627</v>
      </c>
      <c r="D2402" t="inlineStr">
        <is>
          <t>HALLANDS LÄN</t>
        </is>
      </c>
      <c r="E2402" t="inlineStr">
        <is>
          <t>FALKENBERG</t>
        </is>
      </c>
      <c r="G2402" t="n">
        <v>4.1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10269-2023</t>
        </is>
      </c>
      <c r="B2403" s="1" t="n">
        <v>44986</v>
      </c>
      <c r="C2403" s="1" t="n">
        <v>45627</v>
      </c>
      <c r="D2403" t="inlineStr">
        <is>
          <t>HALLANDS LÄN</t>
        </is>
      </c>
      <c r="E2403" t="inlineStr">
        <is>
          <t>KUNGSBACKA</t>
        </is>
      </c>
      <c r="G2403" t="n">
        <v>1.3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10237-2023</t>
        </is>
      </c>
      <c r="B2404" s="1" t="n">
        <v>44986</v>
      </c>
      <c r="C2404" s="1" t="n">
        <v>45627</v>
      </c>
      <c r="D2404" t="inlineStr">
        <is>
          <t>HALLANDS LÄN</t>
        </is>
      </c>
      <c r="E2404" t="inlineStr">
        <is>
          <t>FALKENBERG</t>
        </is>
      </c>
      <c r="G2404" t="n">
        <v>3.1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10244-2023</t>
        </is>
      </c>
      <c r="B2405" s="1" t="n">
        <v>44986</v>
      </c>
      <c r="C2405" s="1" t="n">
        <v>45627</v>
      </c>
      <c r="D2405" t="inlineStr">
        <is>
          <t>HALLANDS LÄN</t>
        </is>
      </c>
      <c r="E2405" t="inlineStr">
        <is>
          <t>FALKENBERG</t>
        </is>
      </c>
      <c r="G2405" t="n">
        <v>2.8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10249-2023</t>
        </is>
      </c>
      <c r="B2406" s="1" t="n">
        <v>44986</v>
      </c>
      <c r="C2406" s="1" t="n">
        <v>45627</v>
      </c>
      <c r="D2406" t="inlineStr">
        <is>
          <t>HALLANDS LÄN</t>
        </is>
      </c>
      <c r="E2406" t="inlineStr">
        <is>
          <t>FALKENBERG</t>
        </is>
      </c>
      <c r="G2406" t="n">
        <v>0.9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10400-2023</t>
        </is>
      </c>
      <c r="B2407" s="1" t="n">
        <v>44987</v>
      </c>
      <c r="C2407" s="1" t="n">
        <v>45627</v>
      </c>
      <c r="D2407" t="inlineStr">
        <is>
          <t>HALLANDS LÄN</t>
        </is>
      </c>
      <c r="E2407" t="inlineStr">
        <is>
          <t>HALMSTAD</t>
        </is>
      </c>
      <c r="G2407" t="n">
        <v>3.6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10377-2023</t>
        </is>
      </c>
      <c r="B2408" s="1" t="n">
        <v>44987</v>
      </c>
      <c r="C2408" s="1" t="n">
        <v>45627</v>
      </c>
      <c r="D2408" t="inlineStr">
        <is>
          <t>HALLANDS LÄN</t>
        </is>
      </c>
      <c r="E2408" t="inlineStr">
        <is>
          <t>VARBERG</t>
        </is>
      </c>
      <c r="G2408" t="n">
        <v>1.4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10626-2023</t>
        </is>
      </c>
      <c r="B2409" s="1" t="n">
        <v>44988</v>
      </c>
      <c r="C2409" s="1" t="n">
        <v>45627</v>
      </c>
      <c r="D2409" t="inlineStr">
        <is>
          <t>HALLANDS LÄN</t>
        </is>
      </c>
      <c r="E2409" t="inlineStr">
        <is>
          <t>LAHOLM</t>
        </is>
      </c>
      <c r="G2409" t="n">
        <v>0.8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10798-2023</t>
        </is>
      </c>
      <c r="B2410" s="1" t="n">
        <v>44989</v>
      </c>
      <c r="C2410" s="1" t="n">
        <v>45627</v>
      </c>
      <c r="D2410" t="inlineStr">
        <is>
          <t>HALLANDS LÄN</t>
        </is>
      </c>
      <c r="E2410" t="inlineStr">
        <is>
          <t>LAHOLM</t>
        </is>
      </c>
      <c r="G2410" t="n">
        <v>4.2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10817-2023</t>
        </is>
      </c>
      <c r="B2411" s="1" t="n">
        <v>44990</v>
      </c>
      <c r="C2411" s="1" t="n">
        <v>45627</v>
      </c>
      <c r="D2411" t="inlineStr">
        <is>
          <t>HALLANDS LÄN</t>
        </is>
      </c>
      <c r="E2411" t="inlineStr">
        <is>
          <t>HYLTE</t>
        </is>
      </c>
      <c r="G2411" t="n">
        <v>0.8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10931-2023</t>
        </is>
      </c>
      <c r="B2412" s="1" t="n">
        <v>44991</v>
      </c>
      <c r="C2412" s="1" t="n">
        <v>45627</v>
      </c>
      <c r="D2412" t="inlineStr">
        <is>
          <t>HALLANDS LÄN</t>
        </is>
      </c>
      <c r="E2412" t="inlineStr">
        <is>
          <t>VARBERG</t>
        </is>
      </c>
      <c r="G2412" t="n">
        <v>1.7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11068-2023</t>
        </is>
      </c>
      <c r="B2413" s="1" t="n">
        <v>44992</v>
      </c>
      <c r="C2413" s="1" t="n">
        <v>45627</v>
      </c>
      <c r="D2413" t="inlineStr">
        <is>
          <t>HALLANDS LÄN</t>
        </is>
      </c>
      <c r="E2413" t="inlineStr">
        <is>
          <t>KUNGSBACKA</t>
        </is>
      </c>
      <c r="G2413" t="n">
        <v>6.3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11072-2023</t>
        </is>
      </c>
      <c r="B2414" s="1" t="n">
        <v>44992</v>
      </c>
      <c r="C2414" s="1" t="n">
        <v>45627</v>
      </c>
      <c r="D2414" t="inlineStr">
        <is>
          <t>HALLANDS LÄN</t>
        </is>
      </c>
      <c r="E2414" t="inlineStr">
        <is>
          <t>HALMSTAD</t>
        </is>
      </c>
      <c r="G2414" t="n">
        <v>0.7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11069-2023</t>
        </is>
      </c>
      <c r="B2415" s="1" t="n">
        <v>44992</v>
      </c>
      <c r="C2415" s="1" t="n">
        <v>45627</v>
      </c>
      <c r="D2415" t="inlineStr">
        <is>
          <t>HALLANDS LÄN</t>
        </is>
      </c>
      <c r="E2415" t="inlineStr">
        <is>
          <t>KUNGSBACKA</t>
        </is>
      </c>
      <c r="G2415" t="n">
        <v>0.9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11086-2023</t>
        </is>
      </c>
      <c r="B2416" s="1" t="n">
        <v>44992</v>
      </c>
      <c r="C2416" s="1" t="n">
        <v>45627</v>
      </c>
      <c r="D2416" t="inlineStr">
        <is>
          <t>HALLANDS LÄN</t>
        </is>
      </c>
      <c r="E2416" t="inlineStr">
        <is>
          <t>KUNGSBACKA</t>
        </is>
      </c>
      <c r="G2416" t="n">
        <v>3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11097-2023</t>
        </is>
      </c>
      <c r="B2417" s="1" t="n">
        <v>44992</v>
      </c>
      <c r="C2417" s="1" t="n">
        <v>45627</v>
      </c>
      <c r="D2417" t="inlineStr">
        <is>
          <t>HALLANDS LÄN</t>
        </is>
      </c>
      <c r="E2417" t="inlineStr">
        <is>
          <t>KUNGSBACKA</t>
        </is>
      </c>
      <c r="G2417" t="n">
        <v>2.2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11488-2023</t>
        </is>
      </c>
      <c r="B2418" s="1" t="n">
        <v>44993</v>
      </c>
      <c r="C2418" s="1" t="n">
        <v>45627</v>
      </c>
      <c r="D2418" t="inlineStr">
        <is>
          <t>HALLANDS LÄN</t>
        </is>
      </c>
      <c r="E2418" t="inlineStr">
        <is>
          <t>FALKENBERG</t>
        </is>
      </c>
      <c r="G2418" t="n">
        <v>1.6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11961-2023</t>
        </is>
      </c>
      <c r="B2419" s="1" t="n">
        <v>44994</v>
      </c>
      <c r="C2419" s="1" t="n">
        <v>45627</v>
      </c>
      <c r="D2419" t="inlineStr">
        <is>
          <t>HALLANDS LÄN</t>
        </is>
      </c>
      <c r="E2419" t="inlineStr">
        <is>
          <t>KUNGSBACKA</t>
        </is>
      </c>
      <c r="G2419" t="n">
        <v>1.7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11958-2023</t>
        </is>
      </c>
      <c r="B2420" s="1" t="n">
        <v>44994</v>
      </c>
      <c r="C2420" s="1" t="n">
        <v>45627</v>
      </c>
      <c r="D2420" t="inlineStr">
        <is>
          <t>HALLANDS LÄN</t>
        </is>
      </c>
      <c r="E2420" t="inlineStr">
        <is>
          <t>KUNGSBACKA</t>
        </is>
      </c>
      <c r="G2420" t="n">
        <v>3.2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11862-2023</t>
        </is>
      </c>
      <c r="B2421" s="1" t="n">
        <v>44995</v>
      </c>
      <c r="C2421" s="1" t="n">
        <v>45627</v>
      </c>
      <c r="D2421" t="inlineStr">
        <is>
          <t>HALLANDS LÄN</t>
        </is>
      </c>
      <c r="E2421" t="inlineStr">
        <is>
          <t>HYLTE</t>
        </is>
      </c>
      <c r="G2421" t="n">
        <v>1.9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11865-2023</t>
        </is>
      </c>
      <c r="B2422" s="1" t="n">
        <v>44995</v>
      </c>
      <c r="C2422" s="1" t="n">
        <v>45627</v>
      </c>
      <c r="D2422" t="inlineStr">
        <is>
          <t>HALLANDS LÄN</t>
        </is>
      </c>
      <c r="E2422" t="inlineStr">
        <is>
          <t>HYLTE</t>
        </is>
      </c>
      <c r="G2422" t="n">
        <v>1.1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11959-2023</t>
        </is>
      </c>
      <c r="B2423" s="1" t="n">
        <v>44995</v>
      </c>
      <c r="C2423" s="1" t="n">
        <v>45627</v>
      </c>
      <c r="D2423" t="inlineStr">
        <is>
          <t>HALLANDS LÄN</t>
        </is>
      </c>
      <c r="E2423" t="inlineStr">
        <is>
          <t>FALKENBERG</t>
        </is>
      </c>
      <c r="G2423" t="n">
        <v>1.2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12064-2023</t>
        </is>
      </c>
      <c r="B2424" s="1" t="n">
        <v>44997</v>
      </c>
      <c r="C2424" s="1" t="n">
        <v>45627</v>
      </c>
      <c r="D2424" t="inlineStr">
        <is>
          <t>HALLANDS LÄN</t>
        </is>
      </c>
      <c r="E2424" t="inlineStr">
        <is>
          <t>KUNGSBACKA</t>
        </is>
      </c>
      <c r="G2424" t="n">
        <v>10.5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12089-2023</t>
        </is>
      </c>
      <c r="B2425" s="1" t="n">
        <v>44998</v>
      </c>
      <c r="C2425" s="1" t="n">
        <v>45627</v>
      </c>
      <c r="D2425" t="inlineStr">
        <is>
          <t>HALLANDS LÄN</t>
        </is>
      </c>
      <c r="E2425" t="inlineStr">
        <is>
          <t>LAHOLM</t>
        </is>
      </c>
      <c r="G2425" t="n">
        <v>0.9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12244-2023</t>
        </is>
      </c>
      <c r="B2426" s="1" t="n">
        <v>44998</v>
      </c>
      <c r="C2426" s="1" t="n">
        <v>45627</v>
      </c>
      <c r="D2426" t="inlineStr">
        <is>
          <t>HALLANDS LÄN</t>
        </is>
      </c>
      <c r="E2426" t="inlineStr">
        <is>
          <t>HALMSTAD</t>
        </is>
      </c>
      <c r="G2426" t="n">
        <v>3.9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12315-2023</t>
        </is>
      </c>
      <c r="B2427" s="1" t="n">
        <v>44999</v>
      </c>
      <c r="C2427" s="1" t="n">
        <v>45627</v>
      </c>
      <c r="D2427" t="inlineStr">
        <is>
          <t>HALLANDS LÄN</t>
        </is>
      </c>
      <c r="E2427" t="inlineStr">
        <is>
          <t>HYLTE</t>
        </is>
      </c>
      <c r="G2427" t="n">
        <v>0.5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12400-2023</t>
        </is>
      </c>
      <c r="B2428" s="1" t="n">
        <v>44999</v>
      </c>
      <c r="C2428" s="1" t="n">
        <v>45627</v>
      </c>
      <c r="D2428" t="inlineStr">
        <is>
          <t>HALLANDS LÄN</t>
        </is>
      </c>
      <c r="E2428" t="inlineStr">
        <is>
          <t>KUNGSBACKA</t>
        </is>
      </c>
      <c r="G2428" t="n">
        <v>0.9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12320-2023</t>
        </is>
      </c>
      <c r="B2429" s="1" t="n">
        <v>44999</v>
      </c>
      <c r="C2429" s="1" t="n">
        <v>45627</v>
      </c>
      <c r="D2429" t="inlineStr">
        <is>
          <t>HALLANDS LÄN</t>
        </is>
      </c>
      <c r="E2429" t="inlineStr">
        <is>
          <t>KUNGSBACKA</t>
        </is>
      </c>
      <c r="G2429" t="n">
        <v>1.8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12404-2023</t>
        </is>
      </c>
      <c r="B2430" s="1" t="n">
        <v>44999</v>
      </c>
      <c r="C2430" s="1" t="n">
        <v>45627</v>
      </c>
      <c r="D2430" t="inlineStr">
        <is>
          <t>HALLANDS LÄN</t>
        </is>
      </c>
      <c r="E2430" t="inlineStr">
        <is>
          <t>KUNGSBACKA</t>
        </is>
      </c>
      <c r="G2430" t="n">
        <v>0.5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12470-2023</t>
        </is>
      </c>
      <c r="B2431" s="1" t="n">
        <v>44999</v>
      </c>
      <c r="C2431" s="1" t="n">
        <v>45627</v>
      </c>
      <c r="D2431" t="inlineStr">
        <is>
          <t>HALLANDS LÄN</t>
        </is>
      </c>
      <c r="E2431" t="inlineStr">
        <is>
          <t>FALKENBERG</t>
        </is>
      </c>
      <c r="G2431" t="n">
        <v>0.7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12690-2023</t>
        </is>
      </c>
      <c r="B2432" s="1" t="n">
        <v>44999</v>
      </c>
      <c r="C2432" s="1" t="n">
        <v>45627</v>
      </c>
      <c r="D2432" t="inlineStr">
        <is>
          <t>HALLANDS LÄN</t>
        </is>
      </c>
      <c r="E2432" t="inlineStr">
        <is>
          <t>HYLTE</t>
        </is>
      </c>
      <c r="G2432" t="n">
        <v>2.6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12642-2023</t>
        </is>
      </c>
      <c r="B2433" s="1" t="n">
        <v>45000</v>
      </c>
      <c r="C2433" s="1" t="n">
        <v>45627</v>
      </c>
      <c r="D2433" t="inlineStr">
        <is>
          <t>HALLANDS LÄN</t>
        </is>
      </c>
      <c r="E2433" t="inlineStr">
        <is>
          <t>HALMSTAD</t>
        </is>
      </c>
      <c r="G2433" t="n">
        <v>1.4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12717-2023</t>
        </is>
      </c>
      <c r="B2434" s="1" t="n">
        <v>45000</v>
      </c>
      <c r="C2434" s="1" t="n">
        <v>45627</v>
      </c>
      <c r="D2434" t="inlineStr">
        <is>
          <t>HALLANDS LÄN</t>
        </is>
      </c>
      <c r="E2434" t="inlineStr">
        <is>
          <t>HALMSTAD</t>
        </is>
      </c>
      <c r="G2434" t="n">
        <v>1.9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12661-2023</t>
        </is>
      </c>
      <c r="B2435" s="1" t="n">
        <v>45000</v>
      </c>
      <c r="C2435" s="1" t="n">
        <v>45627</v>
      </c>
      <c r="D2435" t="inlineStr">
        <is>
          <t>HALLANDS LÄN</t>
        </is>
      </c>
      <c r="E2435" t="inlineStr">
        <is>
          <t>LAHOLM</t>
        </is>
      </c>
      <c r="G2435" t="n">
        <v>1.3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12632-2023</t>
        </is>
      </c>
      <c r="B2436" s="1" t="n">
        <v>45000</v>
      </c>
      <c r="C2436" s="1" t="n">
        <v>45627</v>
      </c>
      <c r="D2436" t="inlineStr">
        <is>
          <t>HALLANDS LÄN</t>
        </is>
      </c>
      <c r="E2436" t="inlineStr">
        <is>
          <t>HALMSTAD</t>
        </is>
      </c>
      <c r="G2436" t="n">
        <v>3.4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12659-2023</t>
        </is>
      </c>
      <c r="B2437" s="1" t="n">
        <v>45000</v>
      </c>
      <c r="C2437" s="1" t="n">
        <v>45627</v>
      </c>
      <c r="D2437" t="inlineStr">
        <is>
          <t>HALLANDS LÄN</t>
        </is>
      </c>
      <c r="E2437" t="inlineStr">
        <is>
          <t>LAHOLM</t>
        </is>
      </c>
      <c r="G2437" t="n">
        <v>2.7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12762-2023</t>
        </is>
      </c>
      <c r="B2438" s="1" t="n">
        <v>45001</v>
      </c>
      <c r="C2438" s="1" t="n">
        <v>45627</v>
      </c>
      <c r="D2438" t="inlineStr">
        <is>
          <t>HALLANDS LÄN</t>
        </is>
      </c>
      <c r="E2438" t="inlineStr">
        <is>
          <t>HALMSTAD</t>
        </is>
      </c>
      <c r="G2438" t="n">
        <v>1.2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12928-2023</t>
        </is>
      </c>
      <c r="B2439" s="1" t="n">
        <v>45001</v>
      </c>
      <c r="C2439" s="1" t="n">
        <v>45627</v>
      </c>
      <c r="D2439" t="inlineStr">
        <is>
          <t>HALLANDS LÄN</t>
        </is>
      </c>
      <c r="E2439" t="inlineStr">
        <is>
          <t>FALKENBERG</t>
        </is>
      </c>
      <c r="G2439" t="n">
        <v>3.8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12931-2023</t>
        </is>
      </c>
      <c r="B2440" s="1" t="n">
        <v>45001</v>
      </c>
      <c r="C2440" s="1" t="n">
        <v>45627</v>
      </c>
      <c r="D2440" t="inlineStr">
        <is>
          <t>HALLANDS LÄN</t>
        </is>
      </c>
      <c r="E2440" t="inlineStr">
        <is>
          <t>FALKENBERG</t>
        </is>
      </c>
      <c r="G2440" t="n">
        <v>1.7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12939-2023</t>
        </is>
      </c>
      <c r="B2441" s="1" t="n">
        <v>45001</v>
      </c>
      <c r="C2441" s="1" t="n">
        <v>45627</v>
      </c>
      <c r="D2441" t="inlineStr">
        <is>
          <t>HALLANDS LÄN</t>
        </is>
      </c>
      <c r="E2441" t="inlineStr">
        <is>
          <t>FALKENBERG</t>
        </is>
      </c>
      <c r="G2441" t="n">
        <v>3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12924-2023</t>
        </is>
      </c>
      <c r="B2442" s="1" t="n">
        <v>45001</v>
      </c>
      <c r="C2442" s="1" t="n">
        <v>45627</v>
      </c>
      <c r="D2442" t="inlineStr">
        <is>
          <t>HALLANDS LÄN</t>
        </is>
      </c>
      <c r="E2442" t="inlineStr">
        <is>
          <t>FALKENBERG</t>
        </is>
      </c>
      <c r="G2442" t="n">
        <v>5.3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13052-2023</t>
        </is>
      </c>
      <c r="B2443" s="1" t="n">
        <v>45002</v>
      </c>
      <c r="C2443" s="1" t="n">
        <v>45627</v>
      </c>
      <c r="D2443" t="inlineStr">
        <is>
          <t>HALLANDS LÄN</t>
        </is>
      </c>
      <c r="E2443" t="inlineStr">
        <is>
          <t>LAHOLM</t>
        </is>
      </c>
      <c r="G2443" t="n">
        <v>1.7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13092-2023</t>
        </is>
      </c>
      <c r="B2444" s="1" t="n">
        <v>45002</v>
      </c>
      <c r="C2444" s="1" t="n">
        <v>45627</v>
      </c>
      <c r="D2444" t="inlineStr">
        <is>
          <t>HALLANDS LÄN</t>
        </is>
      </c>
      <c r="E2444" t="inlineStr">
        <is>
          <t>LAHOLM</t>
        </is>
      </c>
      <c r="F2444" t="inlineStr">
        <is>
          <t>Sveaskog</t>
        </is>
      </c>
      <c r="G2444" t="n">
        <v>4.7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13096-2023</t>
        </is>
      </c>
      <c r="B2445" s="1" t="n">
        <v>45002</v>
      </c>
      <c r="C2445" s="1" t="n">
        <v>45627</v>
      </c>
      <c r="D2445" t="inlineStr">
        <is>
          <t>HALLANDS LÄN</t>
        </is>
      </c>
      <c r="E2445" t="inlineStr">
        <is>
          <t>HYLTE</t>
        </is>
      </c>
      <c r="G2445" t="n">
        <v>2.1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13205-2023</t>
        </is>
      </c>
      <c r="B2446" s="1" t="n">
        <v>45002</v>
      </c>
      <c r="C2446" s="1" t="n">
        <v>45627</v>
      </c>
      <c r="D2446" t="inlineStr">
        <is>
          <t>HALLANDS LÄN</t>
        </is>
      </c>
      <c r="E2446" t="inlineStr">
        <is>
          <t>FALKENBERG</t>
        </is>
      </c>
      <c r="G2446" t="n">
        <v>1.4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13214-2023</t>
        </is>
      </c>
      <c r="B2447" s="1" t="n">
        <v>45002</v>
      </c>
      <c r="C2447" s="1" t="n">
        <v>45627</v>
      </c>
      <c r="D2447" t="inlineStr">
        <is>
          <t>HALLANDS LÄN</t>
        </is>
      </c>
      <c r="E2447" t="inlineStr">
        <is>
          <t>HYLTE</t>
        </is>
      </c>
      <c r="G2447" t="n">
        <v>3.9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13218-2023</t>
        </is>
      </c>
      <c r="B2448" s="1" t="n">
        <v>45002</v>
      </c>
      <c r="C2448" s="1" t="n">
        <v>45627</v>
      </c>
      <c r="D2448" t="inlineStr">
        <is>
          <t>HALLANDS LÄN</t>
        </is>
      </c>
      <c r="E2448" t="inlineStr">
        <is>
          <t>HALMSTAD</t>
        </is>
      </c>
      <c r="G2448" t="n">
        <v>2.6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13222-2023</t>
        </is>
      </c>
      <c r="B2449" s="1" t="n">
        <v>45002</v>
      </c>
      <c r="C2449" s="1" t="n">
        <v>45627</v>
      </c>
      <c r="D2449" t="inlineStr">
        <is>
          <t>HALLANDS LÄN</t>
        </is>
      </c>
      <c r="E2449" t="inlineStr">
        <is>
          <t>HALMSTAD</t>
        </is>
      </c>
      <c r="G2449" t="n">
        <v>1.4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13505-2023</t>
        </is>
      </c>
      <c r="B2450" s="1" t="n">
        <v>45006</v>
      </c>
      <c r="C2450" s="1" t="n">
        <v>45627</v>
      </c>
      <c r="D2450" t="inlineStr">
        <is>
          <t>HALLANDS LÄN</t>
        </is>
      </c>
      <c r="E2450" t="inlineStr">
        <is>
          <t>LAHOLM</t>
        </is>
      </c>
      <c r="G2450" t="n">
        <v>1.4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13532-2023</t>
        </is>
      </c>
      <c r="B2451" s="1" t="n">
        <v>45006</v>
      </c>
      <c r="C2451" s="1" t="n">
        <v>45627</v>
      </c>
      <c r="D2451" t="inlineStr">
        <is>
          <t>HALLANDS LÄN</t>
        </is>
      </c>
      <c r="E2451" t="inlineStr">
        <is>
          <t>HALMSTAD</t>
        </is>
      </c>
      <c r="G2451" t="n">
        <v>2.1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13504-2023</t>
        </is>
      </c>
      <c r="B2452" s="1" t="n">
        <v>45006</v>
      </c>
      <c r="C2452" s="1" t="n">
        <v>45627</v>
      </c>
      <c r="D2452" t="inlineStr">
        <is>
          <t>HALLANDS LÄN</t>
        </is>
      </c>
      <c r="E2452" t="inlineStr">
        <is>
          <t>LAHOLM</t>
        </is>
      </c>
      <c r="G2452" t="n">
        <v>1.2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13528-2023</t>
        </is>
      </c>
      <c r="B2453" s="1" t="n">
        <v>45006</v>
      </c>
      <c r="C2453" s="1" t="n">
        <v>45627</v>
      </c>
      <c r="D2453" t="inlineStr">
        <is>
          <t>HALLANDS LÄN</t>
        </is>
      </c>
      <c r="E2453" t="inlineStr">
        <is>
          <t>LAHOLM</t>
        </is>
      </c>
      <c r="G2453" t="n">
        <v>3.7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13594-2023</t>
        </is>
      </c>
      <c r="B2454" s="1" t="n">
        <v>45006</v>
      </c>
      <c r="C2454" s="1" t="n">
        <v>45627</v>
      </c>
      <c r="D2454" t="inlineStr">
        <is>
          <t>HALLANDS LÄN</t>
        </is>
      </c>
      <c r="E2454" t="inlineStr">
        <is>
          <t>HALMSTAD</t>
        </is>
      </c>
      <c r="F2454" t="inlineStr">
        <is>
          <t>Bergvik skog väst AB</t>
        </is>
      </c>
      <c r="G2454" t="n">
        <v>8.6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13713-2023</t>
        </is>
      </c>
      <c r="B2455" s="1" t="n">
        <v>45007</v>
      </c>
      <c r="C2455" s="1" t="n">
        <v>45627</v>
      </c>
      <c r="D2455" t="inlineStr">
        <is>
          <t>HALLANDS LÄN</t>
        </is>
      </c>
      <c r="E2455" t="inlineStr">
        <is>
          <t>VARBERG</t>
        </is>
      </c>
      <c r="G2455" t="n">
        <v>0.9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13712-2023</t>
        </is>
      </c>
      <c r="B2456" s="1" t="n">
        <v>45007</v>
      </c>
      <c r="C2456" s="1" t="n">
        <v>45627</v>
      </c>
      <c r="D2456" t="inlineStr">
        <is>
          <t>HALLANDS LÄN</t>
        </is>
      </c>
      <c r="E2456" t="inlineStr">
        <is>
          <t>VARBERG</t>
        </is>
      </c>
      <c r="G2456" t="n">
        <v>3.4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13825-2023</t>
        </is>
      </c>
      <c r="B2457" s="1" t="n">
        <v>45007</v>
      </c>
      <c r="C2457" s="1" t="n">
        <v>45627</v>
      </c>
      <c r="D2457" t="inlineStr">
        <is>
          <t>HALLANDS LÄN</t>
        </is>
      </c>
      <c r="E2457" t="inlineStr">
        <is>
          <t>VARBERG</t>
        </is>
      </c>
      <c r="G2457" t="n">
        <v>1.1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13822-2023</t>
        </is>
      </c>
      <c r="B2458" s="1" t="n">
        <v>45007</v>
      </c>
      <c r="C2458" s="1" t="n">
        <v>45627</v>
      </c>
      <c r="D2458" t="inlineStr">
        <is>
          <t>HALLANDS LÄN</t>
        </is>
      </c>
      <c r="E2458" t="inlineStr">
        <is>
          <t>VARBERG</t>
        </is>
      </c>
      <c r="G2458" t="n">
        <v>2.4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13842-2023</t>
        </is>
      </c>
      <c r="B2459" s="1" t="n">
        <v>45007</v>
      </c>
      <c r="C2459" s="1" t="n">
        <v>45627</v>
      </c>
      <c r="D2459" t="inlineStr">
        <is>
          <t>HALLANDS LÄN</t>
        </is>
      </c>
      <c r="E2459" t="inlineStr">
        <is>
          <t>VARBERG</t>
        </is>
      </c>
      <c r="G2459" t="n">
        <v>1.7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13922-2023</t>
        </is>
      </c>
      <c r="B2460" s="1" t="n">
        <v>45008</v>
      </c>
      <c r="C2460" s="1" t="n">
        <v>45627</v>
      </c>
      <c r="D2460" t="inlineStr">
        <is>
          <t>HALLANDS LÄN</t>
        </is>
      </c>
      <c r="E2460" t="inlineStr">
        <is>
          <t>VARBERG</t>
        </is>
      </c>
      <c r="G2460" t="n">
        <v>1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14009-2023</t>
        </is>
      </c>
      <c r="B2461" s="1" t="n">
        <v>45008</v>
      </c>
      <c r="C2461" s="1" t="n">
        <v>45627</v>
      </c>
      <c r="D2461" t="inlineStr">
        <is>
          <t>HALLANDS LÄN</t>
        </is>
      </c>
      <c r="E2461" t="inlineStr">
        <is>
          <t>VARBERG</t>
        </is>
      </c>
      <c r="G2461" t="n">
        <v>3.5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14052-2023</t>
        </is>
      </c>
      <c r="B2462" s="1" t="n">
        <v>45008</v>
      </c>
      <c r="C2462" s="1" t="n">
        <v>45627</v>
      </c>
      <c r="D2462" t="inlineStr">
        <is>
          <t>HALLANDS LÄN</t>
        </is>
      </c>
      <c r="E2462" t="inlineStr">
        <is>
          <t>KUNGSBACKA</t>
        </is>
      </c>
      <c r="G2462" t="n">
        <v>2.2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14141-2023</t>
        </is>
      </c>
      <c r="B2463" s="1" t="n">
        <v>45009</v>
      </c>
      <c r="C2463" s="1" t="n">
        <v>45627</v>
      </c>
      <c r="D2463" t="inlineStr">
        <is>
          <t>HALLANDS LÄN</t>
        </is>
      </c>
      <c r="E2463" t="inlineStr">
        <is>
          <t>LAHOLM</t>
        </is>
      </c>
      <c r="G2463" t="n">
        <v>2.4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14536-2023</t>
        </is>
      </c>
      <c r="B2464" s="1" t="n">
        <v>45013</v>
      </c>
      <c r="C2464" s="1" t="n">
        <v>45627</v>
      </c>
      <c r="D2464" t="inlineStr">
        <is>
          <t>HALLANDS LÄN</t>
        </is>
      </c>
      <c r="E2464" t="inlineStr">
        <is>
          <t>VARBERG</t>
        </is>
      </c>
      <c r="G2464" t="n">
        <v>0.5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14546-2023</t>
        </is>
      </c>
      <c r="B2465" s="1" t="n">
        <v>45013</v>
      </c>
      <c r="C2465" s="1" t="n">
        <v>45627</v>
      </c>
      <c r="D2465" t="inlineStr">
        <is>
          <t>HALLANDS LÄN</t>
        </is>
      </c>
      <c r="E2465" t="inlineStr">
        <is>
          <t>VARBERG</t>
        </is>
      </c>
      <c r="G2465" t="n">
        <v>6.2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14606-2023</t>
        </is>
      </c>
      <c r="B2466" s="1" t="n">
        <v>45013</v>
      </c>
      <c r="C2466" s="1" t="n">
        <v>45627</v>
      </c>
      <c r="D2466" t="inlineStr">
        <is>
          <t>HALLANDS LÄN</t>
        </is>
      </c>
      <c r="E2466" t="inlineStr">
        <is>
          <t>FALKENBERG</t>
        </is>
      </c>
      <c r="G2466" t="n">
        <v>2.3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14602-2023</t>
        </is>
      </c>
      <c r="B2467" s="1" t="n">
        <v>45013</v>
      </c>
      <c r="C2467" s="1" t="n">
        <v>45627</v>
      </c>
      <c r="D2467" t="inlineStr">
        <is>
          <t>HALLANDS LÄN</t>
        </is>
      </c>
      <c r="E2467" t="inlineStr">
        <is>
          <t>FALKENBERG</t>
        </is>
      </c>
      <c r="G2467" t="n">
        <v>2.2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14535-2023</t>
        </is>
      </c>
      <c r="B2468" s="1" t="n">
        <v>45013</v>
      </c>
      <c r="C2468" s="1" t="n">
        <v>45627</v>
      </c>
      <c r="D2468" t="inlineStr">
        <is>
          <t>HALLANDS LÄN</t>
        </is>
      </c>
      <c r="E2468" t="inlineStr">
        <is>
          <t>VARBERG</t>
        </is>
      </c>
      <c r="G2468" t="n">
        <v>4.3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14653-2023</t>
        </is>
      </c>
      <c r="B2469" s="1" t="n">
        <v>45013</v>
      </c>
      <c r="C2469" s="1" t="n">
        <v>45627</v>
      </c>
      <c r="D2469" t="inlineStr">
        <is>
          <t>HALLANDS LÄN</t>
        </is>
      </c>
      <c r="E2469" t="inlineStr">
        <is>
          <t>HYLTE</t>
        </is>
      </c>
      <c r="G2469" t="n">
        <v>1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14752-2023</t>
        </is>
      </c>
      <c r="B2470" s="1" t="n">
        <v>45014</v>
      </c>
      <c r="C2470" s="1" t="n">
        <v>45627</v>
      </c>
      <c r="D2470" t="inlineStr">
        <is>
          <t>HALLANDS LÄN</t>
        </is>
      </c>
      <c r="E2470" t="inlineStr">
        <is>
          <t>HYLTE</t>
        </is>
      </c>
      <c r="G2470" t="n">
        <v>2.5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14710-2023</t>
        </is>
      </c>
      <c r="B2471" s="1" t="n">
        <v>45014</v>
      </c>
      <c r="C2471" s="1" t="n">
        <v>45627</v>
      </c>
      <c r="D2471" t="inlineStr">
        <is>
          <t>HALLANDS LÄN</t>
        </is>
      </c>
      <c r="E2471" t="inlineStr">
        <is>
          <t>VARBERG</t>
        </is>
      </c>
      <c r="G2471" t="n">
        <v>0.7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14732-2023</t>
        </is>
      </c>
      <c r="B2472" s="1" t="n">
        <v>45014</v>
      </c>
      <c r="C2472" s="1" t="n">
        <v>45627</v>
      </c>
      <c r="D2472" t="inlineStr">
        <is>
          <t>HALLANDS LÄN</t>
        </is>
      </c>
      <c r="E2472" t="inlineStr">
        <is>
          <t>VARBERG</t>
        </is>
      </c>
      <c r="G2472" t="n">
        <v>0.6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14898-2023</t>
        </is>
      </c>
      <c r="B2473" s="1" t="n">
        <v>45014</v>
      </c>
      <c r="C2473" s="1" t="n">
        <v>45627</v>
      </c>
      <c r="D2473" t="inlineStr">
        <is>
          <t>HALLANDS LÄN</t>
        </is>
      </c>
      <c r="E2473" t="inlineStr">
        <is>
          <t>KUNGSBACKA</t>
        </is>
      </c>
      <c r="G2473" t="n">
        <v>0.1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14895-2023</t>
        </is>
      </c>
      <c r="B2474" s="1" t="n">
        <v>45015</v>
      </c>
      <c r="C2474" s="1" t="n">
        <v>45627</v>
      </c>
      <c r="D2474" t="inlineStr">
        <is>
          <t>HALLANDS LÄN</t>
        </is>
      </c>
      <c r="E2474" t="inlineStr">
        <is>
          <t>FALKENBERG</t>
        </is>
      </c>
      <c r="G2474" t="n">
        <v>0.7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14987-2023</t>
        </is>
      </c>
      <c r="B2475" s="1" t="n">
        <v>45015</v>
      </c>
      <c r="C2475" s="1" t="n">
        <v>45627</v>
      </c>
      <c r="D2475" t="inlineStr">
        <is>
          <t>HALLANDS LÄN</t>
        </is>
      </c>
      <c r="E2475" t="inlineStr">
        <is>
          <t>HALMSTAD</t>
        </is>
      </c>
      <c r="G2475" t="n">
        <v>5.5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14986-2023</t>
        </is>
      </c>
      <c r="B2476" s="1" t="n">
        <v>45015</v>
      </c>
      <c r="C2476" s="1" t="n">
        <v>45627</v>
      </c>
      <c r="D2476" t="inlineStr">
        <is>
          <t>HALLANDS LÄN</t>
        </is>
      </c>
      <c r="E2476" t="inlineStr">
        <is>
          <t>HALMSTAD</t>
        </is>
      </c>
      <c r="G2476" t="n">
        <v>3.5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15028-2023</t>
        </is>
      </c>
      <c r="B2477" s="1" t="n">
        <v>45015</v>
      </c>
      <c r="C2477" s="1" t="n">
        <v>45627</v>
      </c>
      <c r="D2477" t="inlineStr">
        <is>
          <t>HALLANDS LÄN</t>
        </is>
      </c>
      <c r="E2477" t="inlineStr">
        <is>
          <t>HALMSTAD</t>
        </is>
      </c>
      <c r="G2477" t="n">
        <v>1.1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15013-2023</t>
        </is>
      </c>
      <c r="B2478" s="1" t="n">
        <v>45015</v>
      </c>
      <c r="C2478" s="1" t="n">
        <v>45627</v>
      </c>
      <c r="D2478" t="inlineStr">
        <is>
          <t>HALLANDS LÄN</t>
        </is>
      </c>
      <c r="E2478" t="inlineStr">
        <is>
          <t>FALKENBERG</t>
        </is>
      </c>
      <c r="F2478" t="inlineStr">
        <is>
          <t>Kyrkan</t>
        </is>
      </c>
      <c r="G2478" t="n">
        <v>8.6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15029-2023</t>
        </is>
      </c>
      <c r="B2479" s="1" t="n">
        <v>45015</v>
      </c>
      <c r="C2479" s="1" t="n">
        <v>45627</v>
      </c>
      <c r="D2479" t="inlineStr">
        <is>
          <t>HALLANDS LÄN</t>
        </is>
      </c>
      <c r="E2479" t="inlineStr">
        <is>
          <t>HALMSTAD</t>
        </is>
      </c>
      <c r="G2479" t="n">
        <v>1.5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15170-2023</t>
        </is>
      </c>
      <c r="B2480" s="1" t="n">
        <v>45016</v>
      </c>
      <c r="C2480" s="1" t="n">
        <v>45627</v>
      </c>
      <c r="D2480" t="inlineStr">
        <is>
          <t>HALLANDS LÄN</t>
        </is>
      </c>
      <c r="E2480" t="inlineStr">
        <is>
          <t>FALKENBERG</t>
        </is>
      </c>
      <c r="G2480" t="n">
        <v>1.7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15313-2023</t>
        </is>
      </c>
      <c r="B2481" s="1" t="n">
        <v>45019</v>
      </c>
      <c r="C2481" s="1" t="n">
        <v>45627</v>
      </c>
      <c r="D2481" t="inlineStr">
        <is>
          <t>HALLANDS LÄN</t>
        </is>
      </c>
      <c r="E2481" t="inlineStr">
        <is>
          <t>HYLTE</t>
        </is>
      </c>
      <c r="G2481" t="n">
        <v>5.9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15288-2023</t>
        </is>
      </c>
      <c r="B2482" s="1" t="n">
        <v>45019</v>
      </c>
      <c r="C2482" s="1" t="n">
        <v>45627</v>
      </c>
      <c r="D2482" t="inlineStr">
        <is>
          <t>HALLANDS LÄN</t>
        </is>
      </c>
      <c r="E2482" t="inlineStr">
        <is>
          <t>HYLTE</t>
        </is>
      </c>
      <c r="G2482" t="n">
        <v>5.8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15317-2023</t>
        </is>
      </c>
      <c r="B2483" s="1" t="n">
        <v>45019</v>
      </c>
      <c r="C2483" s="1" t="n">
        <v>45627</v>
      </c>
      <c r="D2483" t="inlineStr">
        <is>
          <t>HALLANDS LÄN</t>
        </is>
      </c>
      <c r="E2483" t="inlineStr">
        <is>
          <t>HYLTE</t>
        </is>
      </c>
      <c r="G2483" t="n">
        <v>4.8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15420-2023</t>
        </is>
      </c>
      <c r="B2484" s="1" t="n">
        <v>45019</v>
      </c>
      <c r="C2484" s="1" t="n">
        <v>45627</v>
      </c>
      <c r="D2484" t="inlineStr">
        <is>
          <t>HALLANDS LÄN</t>
        </is>
      </c>
      <c r="E2484" t="inlineStr">
        <is>
          <t>FALKENBERG</t>
        </is>
      </c>
      <c r="G2484" t="n">
        <v>0.8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15283-2023</t>
        </is>
      </c>
      <c r="B2485" s="1" t="n">
        <v>45019</v>
      </c>
      <c r="C2485" s="1" t="n">
        <v>45627</v>
      </c>
      <c r="D2485" t="inlineStr">
        <is>
          <t>HALLANDS LÄN</t>
        </is>
      </c>
      <c r="E2485" t="inlineStr">
        <is>
          <t>HYLTE</t>
        </is>
      </c>
      <c r="G2485" t="n">
        <v>1.1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15394-2023</t>
        </is>
      </c>
      <c r="B2486" s="1" t="n">
        <v>45019</v>
      </c>
      <c r="C2486" s="1" t="n">
        <v>45627</v>
      </c>
      <c r="D2486" t="inlineStr">
        <is>
          <t>HALLANDS LÄN</t>
        </is>
      </c>
      <c r="E2486" t="inlineStr">
        <is>
          <t>HYLTE</t>
        </is>
      </c>
      <c r="G2486" t="n">
        <v>1.8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15421-2023</t>
        </is>
      </c>
      <c r="B2487" s="1" t="n">
        <v>45019</v>
      </c>
      <c r="C2487" s="1" t="n">
        <v>45627</v>
      </c>
      <c r="D2487" t="inlineStr">
        <is>
          <t>HALLANDS LÄN</t>
        </is>
      </c>
      <c r="E2487" t="inlineStr">
        <is>
          <t>FALKENBERG</t>
        </is>
      </c>
      <c r="G2487" t="n">
        <v>1.3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15587-2023</t>
        </is>
      </c>
      <c r="B2488" s="1" t="n">
        <v>45019</v>
      </c>
      <c r="C2488" s="1" t="n">
        <v>45627</v>
      </c>
      <c r="D2488" t="inlineStr">
        <is>
          <t>HALLANDS LÄN</t>
        </is>
      </c>
      <c r="E2488" t="inlineStr">
        <is>
          <t>LAHOLM</t>
        </is>
      </c>
      <c r="G2488" t="n">
        <v>1.6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15428-2023</t>
        </is>
      </c>
      <c r="B2489" s="1" t="n">
        <v>45020</v>
      </c>
      <c r="C2489" s="1" t="n">
        <v>45627</v>
      </c>
      <c r="D2489" t="inlineStr">
        <is>
          <t>HALLANDS LÄN</t>
        </is>
      </c>
      <c r="E2489" t="inlineStr">
        <is>
          <t>LAHOLM</t>
        </is>
      </c>
      <c r="G2489" t="n">
        <v>1.7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15640-2023</t>
        </is>
      </c>
      <c r="B2490" s="1" t="n">
        <v>45020</v>
      </c>
      <c r="C2490" s="1" t="n">
        <v>45627</v>
      </c>
      <c r="D2490" t="inlineStr">
        <is>
          <t>HALLANDS LÄN</t>
        </is>
      </c>
      <c r="E2490" t="inlineStr">
        <is>
          <t>LAHOLM</t>
        </is>
      </c>
      <c r="G2490" t="n">
        <v>2.9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15618-2023</t>
        </is>
      </c>
      <c r="B2491" s="1" t="n">
        <v>45020</v>
      </c>
      <c r="C2491" s="1" t="n">
        <v>45627</v>
      </c>
      <c r="D2491" t="inlineStr">
        <is>
          <t>HALLANDS LÄN</t>
        </is>
      </c>
      <c r="E2491" t="inlineStr">
        <is>
          <t>HYLTE</t>
        </is>
      </c>
      <c r="G2491" t="n">
        <v>0.7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15642-2023</t>
        </is>
      </c>
      <c r="B2492" s="1" t="n">
        <v>45020</v>
      </c>
      <c r="C2492" s="1" t="n">
        <v>45627</v>
      </c>
      <c r="D2492" t="inlineStr">
        <is>
          <t>HALLANDS LÄN</t>
        </is>
      </c>
      <c r="E2492" t="inlineStr">
        <is>
          <t>LAHOLM</t>
        </is>
      </c>
      <c r="G2492" t="n">
        <v>0.6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15715-2023</t>
        </is>
      </c>
      <c r="B2493" s="1" t="n">
        <v>45021</v>
      </c>
      <c r="C2493" s="1" t="n">
        <v>45627</v>
      </c>
      <c r="D2493" t="inlineStr">
        <is>
          <t>HALLANDS LÄN</t>
        </is>
      </c>
      <c r="E2493" t="inlineStr">
        <is>
          <t>KUNGSBACKA</t>
        </is>
      </c>
      <c r="G2493" t="n">
        <v>1.9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15837-2023</t>
        </is>
      </c>
      <c r="B2494" s="1" t="n">
        <v>45022</v>
      </c>
      <c r="C2494" s="1" t="n">
        <v>45627</v>
      </c>
      <c r="D2494" t="inlineStr">
        <is>
          <t>HALLANDS LÄN</t>
        </is>
      </c>
      <c r="E2494" t="inlineStr">
        <is>
          <t>LAHOLM</t>
        </is>
      </c>
      <c r="F2494" t="inlineStr">
        <is>
          <t>Sveaskog</t>
        </is>
      </c>
      <c r="G2494" t="n">
        <v>0.8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16098-2023</t>
        </is>
      </c>
      <c r="B2495" s="1" t="n">
        <v>45027</v>
      </c>
      <c r="C2495" s="1" t="n">
        <v>45627</v>
      </c>
      <c r="D2495" t="inlineStr">
        <is>
          <t>HALLANDS LÄN</t>
        </is>
      </c>
      <c r="E2495" t="inlineStr">
        <is>
          <t>HYLTE</t>
        </is>
      </c>
      <c r="G2495" t="n">
        <v>1.1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16109-2023</t>
        </is>
      </c>
      <c r="B2496" s="1" t="n">
        <v>45027</v>
      </c>
      <c r="C2496" s="1" t="n">
        <v>45627</v>
      </c>
      <c r="D2496" t="inlineStr">
        <is>
          <t>HALLANDS LÄN</t>
        </is>
      </c>
      <c r="E2496" t="inlineStr">
        <is>
          <t>KUNGSBACKA</t>
        </is>
      </c>
      <c r="G2496" t="n">
        <v>1.9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16148-2023</t>
        </is>
      </c>
      <c r="B2497" s="1" t="n">
        <v>45027</v>
      </c>
      <c r="C2497" s="1" t="n">
        <v>45627</v>
      </c>
      <c r="D2497" t="inlineStr">
        <is>
          <t>HALLANDS LÄN</t>
        </is>
      </c>
      <c r="E2497" t="inlineStr">
        <is>
          <t>HYLTE</t>
        </is>
      </c>
      <c r="G2497" t="n">
        <v>0.8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16175-2023</t>
        </is>
      </c>
      <c r="B2498" s="1" t="n">
        <v>45027</v>
      </c>
      <c r="C2498" s="1" t="n">
        <v>45627</v>
      </c>
      <c r="D2498" t="inlineStr">
        <is>
          <t>HALLANDS LÄN</t>
        </is>
      </c>
      <c r="E2498" t="inlineStr">
        <is>
          <t>LAHOLM</t>
        </is>
      </c>
      <c r="G2498" t="n">
        <v>3.6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16161-2023</t>
        </is>
      </c>
      <c r="B2499" s="1" t="n">
        <v>45027</v>
      </c>
      <c r="C2499" s="1" t="n">
        <v>45627</v>
      </c>
      <c r="D2499" t="inlineStr">
        <is>
          <t>HALLANDS LÄN</t>
        </is>
      </c>
      <c r="E2499" t="inlineStr">
        <is>
          <t>HYLTE</t>
        </is>
      </c>
      <c r="G2499" t="n">
        <v>1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16271-2023</t>
        </is>
      </c>
      <c r="B2500" s="1" t="n">
        <v>45028</v>
      </c>
      <c r="C2500" s="1" t="n">
        <v>45627</v>
      </c>
      <c r="D2500" t="inlineStr">
        <is>
          <t>HALLANDS LÄN</t>
        </is>
      </c>
      <c r="E2500" t="inlineStr">
        <is>
          <t>KUNGSBACKA</t>
        </is>
      </c>
      <c r="G2500" t="n">
        <v>2.5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16230-2023</t>
        </is>
      </c>
      <c r="B2501" s="1" t="n">
        <v>45028</v>
      </c>
      <c r="C2501" s="1" t="n">
        <v>45627</v>
      </c>
      <c r="D2501" t="inlineStr">
        <is>
          <t>HALLANDS LÄN</t>
        </is>
      </c>
      <c r="E2501" t="inlineStr">
        <is>
          <t>KUNGSBACKA</t>
        </is>
      </c>
      <c r="G2501" t="n">
        <v>2.5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16307-2023</t>
        </is>
      </c>
      <c r="B2502" s="1" t="n">
        <v>45028</v>
      </c>
      <c r="C2502" s="1" t="n">
        <v>45627</v>
      </c>
      <c r="D2502" t="inlineStr">
        <is>
          <t>HALLANDS LÄN</t>
        </is>
      </c>
      <c r="E2502" t="inlineStr">
        <is>
          <t>HYLTE</t>
        </is>
      </c>
      <c r="G2502" t="n">
        <v>1.2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16909-2023</t>
        </is>
      </c>
      <c r="B2503" s="1" t="n">
        <v>45028</v>
      </c>
      <c r="C2503" s="1" t="n">
        <v>45627</v>
      </c>
      <c r="D2503" t="inlineStr">
        <is>
          <t>HALLANDS LÄN</t>
        </is>
      </c>
      <c r="E2503" t="inlineStr">
        <is>
          <t>LAHOLM</t>
        </is>
      </c>
      <c r="G2503" t="n">
        <v>1.3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16906-2023</t>
        </is>
      </c>
      <c r="B2504" s="1" t="n">
        <v>45028</v>
      </c>
      <c r="C2504" s="1" t="n">
        <v>45627</v>
      </c>
      <c r="D2504" t="inlineStr">
        <is>
          <t>HALLANDS LÄN</t>
        </is>
      </c>
      <c r="E2504" t="inlineStr">
        <is>
          <t>LAHOLM</t>
        </is>
      </c>
      <c r="G2504" t="n">
        <v>1.9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16915-2023</t>
        </is>
      </c>
      <c r="B2505" s="1" t="n">
        <v>45028</v>
      </c>
      <c r="C2505" s="1" t="n">
        <v>45627</v>
      </c>
      <c r="D2505" t="inlineStr">
        <is>
          <t>HALLANDS LÄN</t>
        </is>
      </c>
      <c r="E2505" t="inlineStr">
        <is>
          <t>LAHOLM</t>
        </is>
      </c>
      <c r="G2505" t="n">
        <v>1.1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16387-2023</t>
        </is>
      </c>
      <c r="B2506" s="1" t="n">
        <v>45029</v>
      </c>
      <c r="C2506" s="1" t="n">
        <v>45627</v>
      </c>
      <c r="D2506" t="inlineStr">
        <is>
          <t>HALLANDS LÄN</t>
        </is>
      </c>
      <c r="E2506" t="inlineStr">
        <is>
          <t>HALMSTAD</t>
        </is>
      </c>
      <c r="G2506" t="n">
        <v>1.2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16426-2023</t>
        </is>
      </c>
      <c r="B2507" s="1" t="n">
        <v>45029</v>
      </c>
      <c r="C2507" s="1" t="n">
        <v>45627</v>
      </c>
      <c r="D2507" t="inlineStr">
        <is>
          <t>HALLANDS LÄN</t>
        </is>
      </c>
      <c r="E2507" t="inlineStr">
        <is>
          <t>KUNGSBACKA</t>
        </is>
      </c>
      <c r="G2507" t="n">
        <v>2.9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16470-2023</t>
        </is>
      </c>
      <c r="B2508" s="1" t="n">
        <v>45029</v>
      </c>
      <c r="C2508" s="1" t="n">
        <v>45627</v>
      </c>
      <c r="D2508" t="inlineStr">
        <is>
          <t>HALLANDS LÄN</t>
        </is>
      </c>
      <c r="E2508" t="inlineStr">
        <is>
          <t>VARBERG</t>
        </is>
      </c>
      <c r="G2508" t="n">
        <v>9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16430-2023</t>
        </is>
      </c>
      <c r="B2509" s="1" t="n">
        <v>45029</v>
      </c>
      <c r="C2509" s="1" t="n">
        <v>45627</v>
      </c>
      <c r="D2509" t="inlineStr">
        <is>
          <t>HALLANDS LÄN</t>
        </is>
      </c>
      <c r="E2509" t="inlineStr">
        <is>
          <t>FALKENBERG</t>
        </is>
      </c>
      <c r="G2509" t="n">
        <v>1.5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16669-2023</t>
        </is>
      </c>
      <c r="B2510" s="1" t="n">
        <v>45030</v>
      </c>
      <c r="C2510" s="1" t="n">
        <v>45627</v>
      </c>
      <c r="D2510" t="inlineStr">
        <is>
          <t>HALLANDS LÄN</t>
        </is>
      </c>
      <c r="E2510" t="inlineStr">
        <is>
          <t>HYLTE</t>
        </is>
      </c>
      <c r="F2510" t="inlineStr">
        <is>
          <t>Bergvik skog väst AB</t>
        </is>
      </c>
      <c r="G2510" t="n">
        <v>6.2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16672-2023</t>
        </is>
      </c>
      <c r="B2511" s="1" t="n">
        <v>45030</v>
      </c>
      <c r="C2511" s="1" t="n">
        <v>45627</v>
      </c>
      <c r="D2511" t="inlineStr">
        <is>
          <t>HALLANDS LÄN</t>
        </is>
      </c>
      <c r="E2511" t="inlineStr">
        <is>
          <t>HYLTE</t>
        </is>
      </c>
      <c r="F2511" t="inlineStr">
        <is>
          <t>Bergvik skog väst AB</t>
        </is>
      </c>
      <c r="G2511" t="n">
        <v>1.1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17266-2023</t>
        </is>
      </c>
      <c r="B2512" s="1" t="n">
        <v>45035</v>
      </c>
      <c r="C2512" s="1" t="n">
        <v>45627</v>
      </c>
      <c r="D2512" t="inlineStr">
        <is>
          <t>HALLANDS LÄN</t>
        </is>
      </c>
      <c r="E2512" t="inlineStr">
        <is>
          <t>HALMSTAD</t>
        </is>
      </c>
      <c r="G2512" t="n">
        <v>1.1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17324-2023</t>
        </is>
      </c>
      <c r="B2513" s="1" t="n">
        <v>45035</v>
      </c>
      <c r="C2513" s="1" t="n">
        <v>45627</v>
      </c>
      <c r="D2513" t="inlineStr">
        <is>
          <t>HALLANDS LÄN</t>
        </is>
      </c>
      <c r="E2513" t="inlineStr">
        <is>
          <t>FALKENBERG</t>
        </is>
      </c>
      <c r="G2513" t="n">
        <v>2.7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17336-2023</t>
        </is>
      </c>
      <c r="B2514" s="1" t="n">
        <v>45035</v>
      </c>
      <c r="C2514" s="1" t="n">
        <v>45627</v>
      </c>
      <c r="D2514" t="inlineStr">
        <is>
          <t>HALLANDS LÄN</t>
        </is>
      </c>
      <c r="E2514" t="inlineStr">
        <is>
          <t>FALKENBERG</t>
        </is>
      </c>
      <c r="G2514" t="n">
        <v>1.8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17379-2023</t>
        </is>
      </c>
      <c r="B2515" s="1" t="n">
        <v>45035</v>
      </c>
      <c r="C2515" s="1" t="n">
        <v>45627</v>
      </c>
      <c r="D2515" t="inlineStr">
        <is>
          <t>HALLANDS LÄN</t>
        </is>
      </c>
      <c r="E2515" t="inlineStr">
        <is>
          <t>HYLTE</t>
        </is>
      </c>
      <c r="G2515" t="n">
        <v>1.3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17227-2023</t>
        </is>
      </c>
      <c r="B2516" s="1" t="n">
        <v>45035</v>
      </c>
      <c r="C2516" s="1" t="n">
        <v>45627</v>
      </c>
      <c r="D2516" t="inlineStr">
        <is>
          <t>HALLANDS LÄN</t>
        </is>
      </c>
      <c r="E2516" t="inlineStr">
        <is>
          <t>LAHOLM</t>
        </is>
      </c>
      <c r="G2516" t="n">
        <v>3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17376-2023</t>
        </is>
      </c>
      <c r="B2517" s="1" t="n">
        <v>45035</v>
      </c>
      <c r="C2517" s="1" t="n">
        <v>45627</v>
      </c>
      <c r="D2517" t="inlineStr">
        <is>
          <t>HALLANDS LÄN</t>
        </is>
      </c>
      <c r="E2517" t="inlineStr">
        <is>
          <t>FALKENBERG</t>
        </is>
      </c>
      <c r="G2517" t="n">
        <v>0.7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17381-2023</t>
        </is>
      </c>
      <c r="B2518" s="1" t="n">
        <v>45035</v>
      </c>
      <c r="C2518" s="1" t="n">
        <v>45627</v>
      </c>
      <c r="D2518" t="inlineStr">
        <is>
          <t>HALLANDS LÄN</t>
        </is>
      </c>
      <c r="E2518" t="inlineStr">
        <is>
          <t>HYLTE</t>
        </is>
      </c>
      <c r="G2518" t="n">
        <v>1.8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17226-2023</t>
        </is>
      </c>
      <c r="B2519" s="1" t="n">
        <v>45035</v>
      </c>
      <c r="C2519" s="1" t="n">
        <v>45627</v>
      </c>
      <c r="D2519" t="inlineStr">
        <is>
          <t>HALLANDS LÄN</t>
        </is>
      </c>
      <c r="E2519" t="inlineStr">
        <is>
          <t>LAHOLM</t>
        </is>
      </c>
      <c r="G2519" t="n">
        <v>2.1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17259-2023</t>
        </is>
      </c>
      <c r="B2520" s="1" t="n">
        <v>45035</v>
      </c>
      <c r="C2520" s="1" t="n">
        <v>45627</v>
      </c>
      <c r="D2520" t="inlineStr">
        <is>
          <t>HALLANDS LÄN</t>
        </is>
      </c>
      <c r="E2520" t="inlineStr">
        <is>
          <t>LAHOLM</t>
        </is>
      </c>
      <c r="G2520" t="n">
        <v>2.4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17326-2023</t>
        </is>
      </c>
      <c r="B2521" s="1" t="n">
        <v>45035</v>
      </c>
      <c r="C2521" s="1" t="n">
        <v>45627</v>
      </c>
      <c r="D2521" t="inlineStr">
        <is>
          <t>HALLANDS LÄN</t>
        </is>
      </c>
      <c r="E2521" t="inlineStr">
        <is>
          <t>FALKENBERG</t>
        </is>
      </c>
      <c r="G2521" t="n">
        <v>2.3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17375-2023</t>
        </is>
      </c>
      <c r="B2522" s="1" t="n">
        <v>45035</v>
      </c>
      <c r="C2522" s="1" t="n">
        <v>45627</v>
      </c>
      <c r="D2522" t="inlineStr">
        <is>
          <t>HALLANDS LÄN</t>
        </is>
      </c>
      <c r="E2522" t="inlineStr">
        <is>
          <t>FALKENBERG</t>
        </is>
      </c>
      <c r="G2522" t="n">
        <v>1.2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17261-2023</t>
        </is>
      </c>
      <c r="B2523" s="1" t="n">
        <v>45035</v>
      </c>
      <c r="C2523" s="1" t="n">
        <v>45627</v>
      </c>
      <c r="D2523" t="inlineStr">
        <is>
          <t>HALLANDS LÄN</t>
        </is>
      </c>
      <c r="E2523" t="inlineStr">
        <is>
          <t>HALMSTAD</t>
        </is>
      </c>
      <c r="G2523" t="n">
        <v>1.2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17401-2023</t>
        </is>
      </c>
      <c r="B2524" s="1" t="n">
        <v>45035</v>
      </c>
      <c r="C2524" s="1" t="n">
        <v>45627</v>
      </c>
      <c r="D2524" t="inlineStr">
        <is>
          <t>HALLANDS LÄN</t>
        </is>
      </c>
      <c r="E2524" t="inlineStr">
        <is>
          <t>KUNGSBACKA</t>
        </is>
      </c>
      <c r="G2524" t="n">
        <v>0.5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17382-2023</t>
        </is>
      </c>
      <c r="B2525" s="1" t="n">
        <v>45035</v>
      </c>
      <c r="C2525" s="1" t="n">
        <v>45627</v>
      </c>
      <c r="D2525" t="inlineStr">
        <is>
          <t>HALLANDS LÄN</t>
        </is>
      </c>
      <c r="E2525" t="inlineStr">
        <is>
          <t>FALKENBERG</t>
        </is>
      </c>
      <c r="G2525" t="n">
        <v>0.7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17450-2023</t>
        </is>
      </c>
      <c r="B2526" s="1" t="n">
        <v>45036</v>
      </c>
      <c r="C2526" s="1" t="n">
        <v>45627</v>
      </c>
      <c r="D2526" t="inlineStr">
        <is>
          <t>HALLANDS LÄN</t>
        </is>
      </c>
      <c r="E2526" t="inlineStr">
        <is>
          <t>FALKENBERG</t>
        </is>
      </c>
      <c r="G2526" t="n">
        <v>1.7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17510-2023</t>
        </is>
      </c>
      <c r="B2527" s="1" t="n">
        <v>45036</v>
      </c>
      <c r="C2527" s="1" t="n">
        <v>45627</v>
      </c>
      <c r="D2527" t="inlineStr">
        <is>
          <t>HALLANDS LÄN</t>
        </is>
      </c>
      <c r="E2527" t="inlineStr">
        <is>
          <t>LAHOLM</t>
        </is>
      </c>
      <c r="F2527" t="inlineStr">
        <is>
          <t>Sveaskog</t>
        </is>
      </c>
      <c r="G2527" t="n">
        <v>2.7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17621-2023</t>
        </is>
      </c>
      <c r="B2528" s="1" t="n">
        <v>45036</v>
      </c>
      <c r="C2528" s="1" t="n">
        <v>45627</v>
      </c>
      <c r="D2528" t="inlineStr">
        <is>
          <t>HALLANDS LÄN</t>
        </is>
      </c>
      <c r="E2528" t="inlineStr">
        <is>
          <t>KUNGSBACKA</t>
        </is>
      </c>
      <c r="G2528" t="n">
        <v>1.1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17744-2023</t>
        </is>
      </c>
      <c r="B2529" s="1" t="n">
        <v>45037</v>
      </c>
      <c r="C2529" s="1" t="n">
        <v>45627</v>
      </c>
      <c r="D2529" t="inlineStr">
        <is>
          <t>HALLANDS LÄN</t>
        </is>
      </c>
      <c r="E2529" t="inlineStr">
        <is>
          <t>FALKENBERG</t>
        </is>
      </c>
      <c r="G2529" t="n">
        <v>0.5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17745-2023</t>
        </is>
      </c>
      <c r="B2530" s="1" t="n">
        <v>45037</v>
      </c>
      <c r="C2530" s="1" t="n">
        <v>45627</v>
      </c>
      <c r="D2530" t="inlineStr">
        <is>
          <t>HALLANDS LÄN</t>
        </is>
      </c>
      <c r="E2530" t="inlineStr">
        <is>
          <t>FALKENBERG</t>
        </is>
      </c>
      <c r="G2530" t="n">
        <v>1.3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17832-2023</t>
        </is>
      </c>
      <c r="B2531" s="1" t="n">
        <v>45037</v>
      </c>
      <c r="C2531" s="1" t="n">
        <v>45627</v>
      </c>
      <c r="D2531" t="inlineStr">
        <is>
          <t>HALLANDS LÄN</t>
        </is>
      </c>
      <c r="E2531" t="inlineStr">
        <is>
          <t>HYLTE</t>
        </is>
      </c>
      <c r="G2531" t="n">
        <v>2.1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17852-2023</t>
        </is>
      </c>
      <c r="B2532" s="1" t="n">
        <v>45037</v>
      </c>
      <c r="C2532" s="1" t="n">
        <v>45627</v>
      </c>
      <c r="D2532" t="inlineStr">
        <is>
          <t>HALLANDS LÄN</t>
        </is>
      </c>
      <c r="E2532" t="inlineStr">
        <is>
          <t>LAHOLM</t>
        </is>
      </c>
      <c r="G2532" t="n">
        <v>4.2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17891-2023</t>
        </is>
      </c>
      <c r="B2533" s="1" t="n">
        <v>45039</v>
      </c>
      <c r="C2533" s="1" t="n">
        <v>45627</v>
      </c>
      <c r="D2533" t="inlineStr">
        <is>
          <t>HALLANDS LÄN</t>
        </is>
      </c>
      <c r="E2533" t="inlineStr">
        <is>
          <t>VARBERG</t>
        </is>
      </c>
      <c r="G2533" t="n">
        <v>0.5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17906-2023</t>
        </is>
      </c>
      <c r="B2534" s="1" t="n">
        <v>45040</v>
      </c>
      <c r="C2534" s="1" t="n">
        <v>45627</v>
      </c>
      <c r="D2534" t="inlineStr">
        <is>
          <t>HALLANDS LÄN</t>
        </is>
      </c>
      <c r="E2534" t="inlineStr">
        <is>
          <t>LAHOLM</t>
        </is>
      </c>
      <c r="G2534" t="n">
        <v>2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17918-2023</t>
        </is>
      </c>
      <c r="B2535" s="1" t="n">
        <v>45040</v>
      </c>
      <c r="C2535" s="1" t="n">
        <v>45627</v>
      </c>
      <c r="D2535" t="inlineStr">
        <is>
          <t>HALLANDS LÄN</t>
        </is>
      </c>
      <c r="E2535" t="inlineStr">
        <is>
          <t>FALKENBERG</t>
        </is>
      </c>
      <c r="G2535" t="n">
        <v>3.5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17962-2023</t>
        </is>
      </c>
      <c r="B2536" s="1" t="n">
        <v>45040</v>
      </c>
      <c r="C2536" s="1" t="n">
        <v>45627</v>
      </c>
      <c r="D2536" t="inlineStr">
        <is>
          <t>HALLANDS LÄN</t>
        </is>
      </c>
      <c r="E2536" t="inlineStr">
        <is>
          <t>FALKENBERG</t>
        </is>
      </c>
      <c r="G2536" t="n">
        <v>0.6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17985-2023</t>
        </is>
      </c>
      <c r="B2537" s="1" t="n">
        <v>45040</v>
      </c>
      <c r="C2537" s="1" t="n">
        <v>45627</v>
      </c>
      <c r="D2537" t="inlineStr">
        <is>
          <t>HALLANDS LÄN</t>
        </is>
      </c>
      <c r="E2537" t="inlineStr">
        <is>
          <t>HYLTE</t>
        </is>
      </c>
      <c r="G2537" t="n">
        <v>5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17987-2023</t>
        </is>
      </c>
      <c r="B2538" s="1" t="n">
        <v>45040</v>
      </c>
      <c r="C2538" s="1" t="n">
        <v>45627</v>
      </c>
      <c r="D2538" t="inlineStr">
        <is>
          <t>HALLANDS LÄN</t>
        </is>
      </c>
      <c r="E2538" t="inlineStr">
        <is>
          <t>FALKENBERG</t>
        </is>
      </c>
      <c r="G2538" t="n">
        <v>0.7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18427-2023</t>
        </is>
      </c>
      <c r="B2539" s="1" t="n">
        <v>45042</v>
      </c>
      <c r="C2539" s="1" t="n">
        <v>45627</v>
      </c>
      <c r="D2539" t="inlineStr">
        <is>
          <t>HALLANDS LÄN</t>
        </is>
      </c>
      <c r="E2539" t="inlineStr">
        <is>
          <t>HALMSTAD</t>
        </is>
      </c>
      <c r="G2539" t="n">
        <v>18.2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18489-2023</t>
        </is>
      </c>
      <c r="B2540" s="1" t="n">
        <v>45042</v>
      </c>
      <c r="C2540" s="1" t="n">
        <v>45627</v>
      </c>
      <c r="D2540" t="inlineStr">
        <is>
          <t>HALLANDS LÄN</t>
        </is>
      </c>
      <c r="E2540" t="inlineStr">
        <is>
          <t>HYLTE</t>
        </is>
      </c>
      <c r="G2540" t="n">
        <v>0.6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18545-2023</t>
        </is>
      </c>
      <c r="B2541" s="1" t="n">
        <v>45042</v>
      </c>
      <c r="C2541" s="1" t="n">
        <v>45627</v>
      </c>
      <c r="D2541" t="inlineStr">
        <is>
          <t>HALLANDS LÄN</t>
        </is>
      </c>
      <c r="E2541" t="inlineStr">
        <is>
          <t>KUNGSBACKA</t>
        </is>
      </c>
      <c r="G2541" t="n">
        <v>3.7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18547-2023</t>
        </is>
      </c>
      <c r="B2542" s="1" t="n">
        <v>45042</v>
      </c>
      <c r="C2542" s="1" t="n">
        <v>45627</v>
      </c>
      <c r="D2542" t="inlineStr">
        <is>
          <t>HALLANDS LÄN</t>
        </is>
      </c>
      <c r="E2542" t="inlineStr">
        <is>
          <t>KUNGSBACKA</t>
        </is>
      </c>
      <c r="G2542" t="n">
        <v>0.5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18546-2023</t>
        </is>
      </c>
      <c r="B2543" s="1" t="n">
        <v>45042</v>
      </c>
      <c r="C2543" s="1" t="n">
        <v>45627</v>
      </c>
      <c r="D2543" t="inlineStr">
        <is>
          <t>HALLANDS LÄN</t>
        </is>
      </c>
      <c r="E2543" t="inlineStr">
        <is>
          <t>KUNGSBACKA</t>
        </is>
      </c>
      <c r="G2543" t="n">
        <v>2.4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18579-2023</t>
        </is>
      </c>
      <c r="B2544" s="1" t="n">
        <v>45043</v>
      </c>
      <c r="C2544" s="1" t="n">
        <v>45627</v>
      </c>
      <c r="D2544" t="inlineStr">
        <is>
          <t>HALLANDS LÄN</t>
        </is>
      </c>
      <c r="E2544" t="inlineStr">
        <is>
          <t>KUNGSBACKA</t>
        </is>
      </c>
      <c r="G2544" t="n">
        <v>1.6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18578-2023</t>
        </is>
      </c>
      <c r="B2545" s="1" t="n">
        <v>45043</v>
      </c>
      <c r="C2545" s="1" t="n">
        <v>45627</v>
      </c>
      <c r="D2545" t="inlineStr">
        <is>
          <t>HALLANDS LÄN</t>
        </is>
      </c>
      <c r="E2545" t="inlineStr">
        <is>
          <t>KUNGSBACKA</t>
        </is>
      </c>
      <c r="G2545" t="n">
        <v>2.4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18789-2023</t>
        </is>
      </c>
      <c r="B2546" s="1" t="n">
        <v>45043</v>
      </c>
      <c r="C2546" s="1" t="n">
        <v>45627</v>
      </c>
      <c r="D2546" t="inlineStr">
        <is>
          <t>HALLANDS LÄN</t>
        </is>
      </c>
      <c r="E2546" t="inlineStr">
        <is>
          <t>HALMSTAD</t>
        </is>
      </c>
      <c r="G2546" t="n">
        <v>1.8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18803-2023</t>
        </is>
      </c>
      <c r="B2547" s="1" t="n">
        <v>45044</v>
      </c>
      <c r="C2547" s="1" t="n">
        <v>45627</v>
      </c>
      <c r="D2547" t="inlineStr">
        <is>
          <t>HALLANDS LÄN</t>
        </is>
      </c>
      <c r="E2547" t="inlineStr">
        <is>
          <t>FALKENBERG</t>
        </is>
      </c>
      <c r="G2547" t="n">
        <v>1.9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18809-2023</t>
        </is>
      </c>
      <c r="B2548" s="1" t="n">
        <v>45044</v>
      </c>
      <c r="C2548" s="1" t="n">
        <v>45627</v>
      </c>
      <c r="D2548" t="inlineStr">
        <is>
          <t>HALLANDS LÄN</t>
        </is>
      </c>
      <c r="E2548" t="inlineStr">
        <is>
          <t>FALKENBERG</t>
        </is>
      </c>
      <c r="G2548" t="n">
        <v>0.7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18813-2023</t>
        </is>
      </c>
      <c r="B2549" s="1" t="n">
        <v>45044</v>
      </c>
      <c r="C2549" s="1" t="n">
        <v>45627</v>
      </c>
      <c r="D2549" t="inlineStr">
        <is>
          <t>HALLANDS LÄN</t>
        </is>
      </c>
      <c r="E2549" t="inlineStr">
        <is>
          <t>FALKENBERG</t>
        </is>
      </c>
      <c r="G2549" t="n">
        <v>2.3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18804-2023</t>
        </is>
      </c>
      <c r="B2550" s="1" t="n">
        <v>45044</v>
      </c>
      <c r="C2550" s="1" t="n">
        <v>45627</v>
      </c>
      <c r="D2550" t="inlineStr">
        <is>
          <t>HALLANDS LÄN</t>
        </is>
      </c>
      <c r="E2550" t="inlineStr">
        <is>
          <t>FALKENBERG</t>
        </is>
      </c>
      <c r="G2550" t="n">
        <v>0.9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18810-2023</t>
        </is>
      </c>
      <c r="B2551" s="1" t="n">
        <v>45044</v>
      </c>
      <c r="C2551" s="1" t="n">
        <v>45627</v>
      </c>
      <c r="D2551" t="inlineStr">
        <is>
          <t>HALLANDS LÄN</t>
        </is>
      </c>
      <c r="E2551" t="inlineStr">
        <is>
          <t>FALKENBERG</t>
        </is>
      </c>
      <c r="G2551" t="n">
        <v>0.9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18811-2023</t>
        </is>
      </c>
      <c r="B2552" s="1" t="n">
        <v>45044</v>
      </c>
      <c r="C2552" s="1" t="n">
        <v>45627</v>
      </c>
      <c r="D2552" t="inlineStr">
        <is>
          <t>HALLANDS LÄN</t>
        </is>
      </c>
      <c r="E2552" t="inlineStr">
        <is>
          <t>FALKENBERG</t>
        </is>
      </c>
      <c r="G2552" t="n">
        <v>1.7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18972-2023</t>
        </is>
      </c>
      <c r="B2553" s="1" t="n">
        <v>45044</v>
      </c>
      <c r="C2553" s="1" t="n">
        <v>45627</v>
      </c>
      <c r="D2553" t="inlineStr">
        <is>
          <t>HALLANDS LÄN</t>
        </is>
      </c>
      <c r="E2553" t="inlineStr">
        <is>
          <t>HYLTE</t>
        </is>
      </c>
      <c r="G2553" t="n">
        <v>1.2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18808-2023</t>
        </is>
      </c>
      <c r="B2554" s="1" t="n">
        <v>45044</v>
      </c>
      <c r="C2554" s="1" t="n">
        <v>45627</v>
      </c>
      <c r="D2554" t="inlineStr">
        <is>
          <t>HALLANDS LÄN</t>
        </is>
      </c>
      <c r="E2554" t="inlineStr">
        <is>
          <t>FALKENBERG</t>
        </is>
      </c>
      <c r="G2554" t="n">
        <v>2.6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18812-2023</t>
        </is>
      </c>
      <c r="B2555" s="1" t="n">
        <v>45044</v>
      </c>
      <c r="C2555" s="1" t="n">
        <v>45627</v>
      </c>
      <c r="D2555" t="inlineStr">
        <is>
          <t>HALLANDS LÄN</t>
        </is>
      </c>
      <c r="E2555" t="inlineStr">
        <is>
          <t>FALKENBERG</t>
        </is>
      </c>
      <c r="G2555" t="n">
        <v>1.8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19115-2023</t>
        </is>
      </c>
      <c r="B2556" s="1" t="n">
        <v>45048</v>
      </c>
      <c r="C2556" s="1" t="n">
        <v>45627</v>
      </c>
      <c r="D2556" t="inlineStr">
        <is>
          <t>HALLANDS LÄN</t>
        </is>
      </c>
      <c r="E2556" t="inlineStr">
        <is>
          <t>VARBERG</t>
        </is>
      </c>
      <c r="G2556" t="n">
        <v>0.7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19112-2023</t>
        </is>
      </c>
      <c r="B2557" s="1" t="n">
        <v>45048</v>
      </c>
      <c r="C2557" s="1" t="n">
        <v>45627</v>
      </c>
      <c r="D2557" t="inlineStr">
        <is>
          <t>HALLANDS LÄN</t>
        </is>
      </c>
      <c r="E2557" t="inlineStr">
        <is>
          <t>VARBERG</t>
        </is>
      </c>
      <c r="G2557" t="n">
        <v>1.3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19118-2023</t>
        </is>
      </c>
      <c r="B2558" s="1" t="n">
        <v>45048</v>
      </c>
      <c r="C2558" s="1" t="n">
        <v>45627</v>
      </c>
      <c r="D2558" t="inlineStr">
        <is>
          <t>HALLANDS LÄN</t>
        </is>
      </c>
      <c r="E2558" t="inlineStr">
        <is>
          <t>FALKENBERG</t>
        </is>
      </c>
      <c r="G2558" t="n">
        <v>5.7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19252-2023</t>
        </is>
      </c>
      <c r="B2559" s="1" t="n">
        <v>45049</v>
      </c>
      <c r="C2559" s="1" t="n">
        <v>45627</v>
      </c>
      <c r="D2559" t="inlineStr">
        <is>
          <t>HALLANDS LÄN</t>
        </is>
      </c>
      <c r="E2559" t="inlineStr">
        <is>
          <t>FALKENBERG</t>
        </is>
      </c>
      <c r="G2559" t="n">
        <v>2.2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19251-2023</t>
        </is>
      </c>
      <c r="B2560" s="1" t="n">
        <v>45049</v>
      </c>
      <c r="C2560" s="1" t="n">
        <v>45627</v>
      </c>
      <c r="D2560" t="inlineStr">
        <is>
          <t>HALLANDS LÄN</t>
        </is>
      </c>
      <c r="E2560" t="inlineStr">
        <is>
          <t>FALKENBERG</t>
        </is>
      </c>
      <c r="G2560" t="n">
        <v>1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19304-2023</t>
        </is>
      </c>
      <c r="B2561" s="1" t="n">
        <v>45049</v>
      </c>
      <c r="C2561" s="1" t="n">
        <v>45627</v>
      </c>
      <c r="D2561" t="inlineStr">
        <is>
          <t>HALLANDS LÄN</t>
        </is>
      </c>
      <c r="E2561" t="inlineStr">
        <is>
          <t>HALMSTAD</t>
        </is>
      </c>
      <c r="G2561" t="n">
        <v>2.7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19588-2023</t>
        </is>
      </c>
      <c r="B2562" s="1" t="n">
        <v>45050</v>
      </c>
      <c r="C2562" s="1" t="n">
        <v>45627</v>
      </c>
      <c r="D2562" t="inlineStr">
        <is>
          <t>HALLANDS LÄN</t>
        </is>
      </c>
      <c r="E2562" t="inlineStr">
        <is>
          <t>HALMSTAD</t>
        </is>
      </c>
      <c r="G2562" t="n">
        <v>4.5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19578-2023</t>
        </is>
      </c>
      <c r="B2563" s="1" t="n">
        <v>45050</v>
      </c>
      <c r="C2563" s="1" t="n">
        <v>45627</v>
      </c>
      <c r="D2563" t="inlineStr">
        <is>
          <t>HALLANDS LÄN</t>
        </is>
      </c>
      <c r="E2563" t="inlineStr">
        <is>
          <t>HALMSTAD</t>
        </is>
      </c>
      <c r="G2563" t="n">
        <v>0.7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19591-2023</t>
        </is>
      </c>
      <c r="B2564" s="1" t="n">
        <v>45050</v>
      </c>
      <c r="C2564" s="1" t="n">
        <v>45627</v>
      </c>
      <c r="D2564" t="inlineStr">
        <is>
          <t>HALLANDS LÄN</t>
        </is>
      </c>
      <c r="E2564" t="inlineStr">
        <is>
          <t>HALMSTAD</t>
        </is>
      </c>
      <c r="G2564" t="n">
        <v>1.4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19570-2023</t>
        </is>
      </c>
      <c r="B2565" s="1" t="n">
        <v>45050</v>
      </c>
      <c r="C2565" s="1" t="n">
        <v>45627</v>
      </c>
      <c r="D2565" t="inlineStr">
        <is>
          <t>HALLANDS LÄN</t>
        </is>
      </c>
      <c r="E2565" t="inlineStr">
        <is>
          <t>HALMSTAD</t>
        </is>
      </c>
      <c r="G2565" t="n">
        <v>1.2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19581-2023</t>
        </is>
      </c>
      <c r="B2566" s="1" t="n">
        <v>45050</v>
      </c>
      <c r="C2566" s="1" t="n">
        <v>45627</v>
      </c>
      <c r="D2566" t="inlineStr">
        <is>
          <t>HALLANDS LÄN</t>
        </is>
      </c>
      <c r="E2566" t="inlineStr">
        <is>
          <t>HALMSTAD</t>
        </is>
      </c>
      <c r="G2566" t="n">
        <v>0.6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19567-2023</t>
        </is>
      </c>
      <c r="B2567" s="1" t="n">
        <v>45050</v>
      </c>
      <c r="C2567" s="1" t="n">
        <v>45627</v>
      </c>
      <c r="D2567" t="inlineStr">
        <is>
          <t>HALLANDS LÄN</t>
        </is>
      </c>
      <c r="E2567" t="inlineStr">
        <is>
          <t>HALMSTAD</t>
        </is>
      </c>
      <c r="G2567" t="n">
        <v>1.7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19572-2023</t>
        </is>
      </c>
      <c r="B2568" s="1" t="n">
        <v>45050</v>
      </c>
      <c r="C2568" s="1" t="n">
        <v>45627</v>
      </c>
      <c r="D2568" t="inlineStr">
        <is>
          <t>HALLANDS LÄN</t>
        </is>
      </c>
      <c r="E2568" t="inlineStr">
        <is>
          <t>HALMSTAD</t>
        </is>
      </c>
      <c r="G2568" t="n">
        <v>1.8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19589-2023</t>
        </is>
      </c>
      <c r="B2569" s="1" t="n">
        <v>45050</v>
      </c>
      <c r="C2569" s="1" t="n">
        <v>45627</v>
      </c>
      <c r="D2569" t="inlineStr">
        <is>
          <t>HALLANDS LÄN</t>
        </is>
      </c>
      <c r="E2569" t="inlineStr">
        <is>
          <t>HALMSTAD</t>
        </is>
      </c>
      <c r="G2569" t="n">
        <v>1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19628-2023</t>
        </is>
      </c>
      <c r="B2570" s="1" t="n">
        <v>45051</v>
      </c>
      <c r="C2570" s="1" t="n">
        <v>45627</v>
      </c>
      <c r="D2570" t="inlineStr">
        <is>
          <t>HALLANDS LÄN</t>
        </is>
      </c>
      <c r="E2570" t="inlineStr">
        <is>
          <t>HYLTE</t>
        </is>
      </c>
      <c r="G2570" t="n">
        <v>1.6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19629-2023</t>
        </is>
      </c>
      <c r="B2571" s="1" t="n">
        <v>45051</v>
      </c>
      <c r="C2571" s="1" t="n">
        <v>45627</v>
      </c>
      <c r="D2571" t="inlineStr">
        <is>
          <t>HALLANDS LÄN</t>
        </is>
      </c>
      <c r="E2571" t="inlineStr">
        <is>
          <t>HYLTE</t>
        </is>
      </c>
      <c r="G2571" t="n">
        <v>2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19668-2023</t>
        </is>
      </c>
      <c r="B2572" s="1" t="n">
        <v>45051</v>
      </c>
      <c r="C2572" s="1" t="n">
        <v>45627</v>
      </c>
      <c r="D2572" t="inlineStr">
        <is>
          <t>HALLANDS LÄN</t>
        </is>
      </c>
      <c r="E2572" t="inlineStr">
        <is>
          <t>LAHOLM</t>
        </is>
      </c>
      <c r="G2572" t="n">
        <v>2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19969-2023</t>
        </is>
      </c>
      <c r="B2573" s="1" t="n">
        <v>45054</v>
      </c>
      <c r="C2573" s="1" t="n">
        <v>45627</v>
      </c>
      <c r="D2573" t="inlineStr">
        <is>
          <t>HALLANDS LÄN</t>
        </is>
      </c>
      <c r="E2573" t="inlineStr">
        <is>
          <t>LAHOLM</t>
        </is>
      </c>
      <c r="G2573" t="n">
        <v>1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20011-2023</t>
        </is>
      </c>
      <c r="B2574" s="1" t="n">
        <v>45054</v>
      </c>
      <c r="C2574" s="1" t="n">
        <v>45627</v>
      </c>
      <c r="D2574" t="inlineStr">
        <is>
          <t>HALLANDS LÄN</t>
        </is>
      </c>
      <c r="E2574" t="inlineStr">
        <is>
          <t>VARBERG</t>
        </is>
      </c>
      <c r="G2574" t="n">
        <v>10.1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19918-2023</t>
        </is>
      </c>
      <c r="B2575" s="1" t="n">
        <v>45054</v>
      </c>
      <c r="C2575" s="1" t="n">
        <v>45627</v>
      </c>
      <c r="D2575" t="inlineStr">
        <is>
          <t>HALLANDS LÄN</t>
        </is>
      </c>
      <c r="E2575" t="inlineStr">
        <is>
          <t>FALKENBERG</t>
        </is>
      </c>
      <c r="G2575" t="n">
        <v>4.8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20106-2023</t>
        </is>
      </c>
      <c r="B2576" s="1" t="n">
        <v>45055</v>
      </c>
      <c r="C2576" s="1" t="n">
        <v>45627</v>
      </c>
      <c r="D2576" t="inlineStr">
        <is>
          <t>HALLANDS LÄN</t>
        </is>
      </c>
      <c r="E2576" t="inlineStr">
        <is>
          <t>VARBERG</t>
        </is>
      </c>
      <c r="G2576" t="n">
        <v>3.6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20111-2023</t>
        </is>
      </c>
      <c r="B2577" s="1" t="n">
        <v>45055</v>
      </c>
      <c r="C2577" s="1" t="n">
        <v>45627</v>
      </c>
      <c r="D2577" t="inlineStr">
        <is>
          <t>HALLANDS LÄN</t>
        </is>
      </c>
      <c r="E2577" t="inlineStr">
        <is>
          <t>VARBERG</t>
        </is>
      </c>
      <c r="G2577" t="n">
        <v>5.7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20109-2023</t>
        </is>
      </c>
      <c r="B2578" s="1" t="n">
        <v>45055</v>
      </c>
      <c r="C2578" s="1" t="n">
        <v>45627</v>
      </c>
      <c r="D2578" t="inlineStr">
        <is>
          <t>HALLANDS LÄN</t>
        </is>
      </c>
      <c r="E2578" t="inlineStr">
        <is>
          <t>VARBERG</t>
        </is>
      </c>
      <c r="G2578" t="n">
        <v>0.6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20108-2023</t>
        </is>
      </c>
      <c r="B2579" s="1" t="n">
        <v>45055</v>
      </c>
      <c r="C2579" s="1" t="n">
        <v>45627</v>
      </c>
      <c r="D2579" t="inlineStr">
        <is>
          <t>HALLANDS LÄN</t>
        </is>
      </c>
      <c r="E2579" t="inlineStr">
        <is>
          <t>VARBERG</t>
        </is>
      </c>
      <c r="G2579" t="n">
        <v>1.6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20178-2023</t>
        </is>
      </c>
      <c r="B2580" s="1" t="n">
        <v>45055</v>
      </c>
      <c r="C2580" s="1" t="n">
        <v>45627</v>
      </c>
      <c r="D2580" t="inlineStr">
        <is>
          <t>HALLANDS LÄN</t>
        </is>
      </c>
      <c r="E2580" t="inlineStr">
        <is>
          <t>LAHOLM</t>
        </is>
      </c>
      <c r="G2580" t="n">
        <v>1.4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20543-2023</t>
        </is>
      </c>
      <c r="B2581" s="1" t="n">
        <v>45055</v>
      </c>
      <c r="C2581" s="1" t="n">
        <v>45627</v>
      </c>
      <c r="D2581" t="inlineStr">
        <is>
          <t>HALLANDS LÄN</t>
        </is>
      </c>
      <c r="E2581" t="inlineStr">
        <is>
          <t>FALKENBERG</t>
        </is>
      </c>
      <c r="G2581" t="n">
        <v>0.8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20546-2023</t>
        </is>
      </c>
      <c r="B2582" s="1" t="n">
        <v>45055</v>
      </c>
      <c r="C2582" s="1" t="n">
        <v>45627</v>
      </c>
      <c r="D2582" t="inlineStr">
        <is>
          <t>HALLANDS LÄN</t>
        </is>
      </c>
      <c r="E2582" t="inlineStr">
        <is>
          <t>FALKENBERG</t>
        </is>
      </c>
      <c r="G2582" t="n">
        <v>0.1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20404-2023</t>
        </is>
      </c>
      <c r="B2583" s="1" t="n">
        <v>45056</v>
      </c>
      <c r="C2583" s="1" t="n">
        <v>45627</v>
      </c>
      <c r="D2583" t="inlineStr">
        <is>
          <t>HALLANDS LÄN</t>
        </is>
      </c>
      <c r="E2583" t="inlineStr">
        <is>
          <t>HALMSTAD</t>
        </is>
      </c>
      <c r="G2583" t="n">
        <v>0.9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20562-2023</t>
        </is>
      </c>
      <c r="B2584" s="1" t="n">
        <v>45057</v>
      </c>
      <c r="C2584" s="1" t="n">
        <v>45627</v>
      </c>
      <c r="D2584" t="inlineStr">
        <is>
          <t>HALLANDS LÄN</t>
        </is>
      </c>
      <c r="E2584" t="inlineStr">
        <is>
          <t>LAHOLM</t>
        </is>
      </c>
      <c r="G2584" t="n">
        <v>2.5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20647-2023</t>
        </is>
      </c>
      <c r="B2585" s="1" t="n">
        <v>45058</v>
      </c>
      <c r="C2585" s="1" t="n">
        <v>45627</v>
      </c>
      <c r="D2585" t="inlineStr">
        <is>
          <t>HALLANDS LÄN</t>
        </is>
      </c>
      <c r="E2585" t="inlineStr">
        <is>
          <t>VARBERG</t>
        </is>
      </c>
      <c r="G2585" t="n">
        <v>5.3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20694-2023</t>
        </is>
      </c>
      <c r="B2586" s="1" t="n">
        <v>45058</v>
      </c>
      <c r="C2586" s="1" t="n">
        <v>45627</v>
      </c>
      <c r="D2586" t="inlineStr">
        <is>
          <t>HALLANDS LÄN</t>
        </is>
      </c>
      <c r="E2586" t="inlineStr">
        <is>
          <t>FALKENBERG</t>
        </is>
      </c>
      <c r="G2586" t="n">
        <v>1.6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20704-2023</t>
        </is>
      </c>
      <c r="B2587" s="1" t="n">
        <v>45058</v>
      </c>
      <c r="C2587" s="1" t="n">
        <v>45627</v>
      </c>
      <c r="D2587" t="inlineStr">
        <is>
          <t>HALLANDS LÄN</t>
        </is>
      </c>
      <c r="E2587" t="inlineStr">
        <is>
          <t>VARBERG</t>
        </is>
      </c>
      <c r="G2587" t="n">
        <v>0.7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20643-2023</t>
        </is>
      </c>
      <c r="B2588" s="1" t="n">
        <v>45058</v>
      </c>
      <c r="C2588" s="1" t="n">
        <v>45627</v>
      </c>
      <c r="D2588" t="inlineStr">
        <is>
          <t>HALLANDS LÄN</t>
        </is>
      </c>
      <c r="E2588" t="inlineStr">
        <is>
          <t>VARBERG</t>
        </is>
      </c>
      <c r="G2588" t="n">
        <v>0.9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20644-2023</t>
        </is>
      </c>
      <c r="B2589" s="1" t="n">
        <v>45058</v>
      </c>
      <c r="C2589" s="1" t="n">
        <v>45627</v>
      </c>
      <c r="D2589" t="inlineStr">
        <is>
          <t>HALLANDS LÄN</t>
        </is>
      </c>
      <c r="E2589" t="inlineStr">
        <is>
          <t>VARBERG</t>
        </is>
      </c>
      <c r="G2589" t="n">
        <v>0.8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20645-2023</t>
        </is>
      </c>
      <c r="B2590" s="1" t="n">
        <v>45058</v>
      </c>
      <c r="C2590" s="1" t="n">
        <v>45627</v>
      </c>
      <c r="D2590" t="inlineStr">
        <is>
          <t>HALLANDS LÄN</t>
        </is>
      </c>
      <c r="E2590" t="inlineStr">
        <is>
          <t>VARBERG</t>
        </is>
      </c>
      <c r="G2590" t="n">
        <v>0.6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20693-2023</t>
        </is>
      </c>
      <c r="B2591" s="1" t="n">
        <v>45058</v>
      </c>
      <c r="C2591" s="1" t="n">
        <v>45627</v>
      </c>
      <c r="D2591" t="inlineStr">
        <is>
          <t>HALLANDS LÄN</t>
        </is>
      </c>
      <c r="E2591" t="inlineStr">
        <is>
          <t>HYLTE</t>
        </is>
      </c>
      <c r="G2591" t="n">
        <v>0.7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20689-2023</t>
        </is>
      </c>
      <c r="B2592" s="1" t="n">
        <v>45058</v>
      </c>
      <c r="C2592" s="1" t="n">
        <v>45627</v>
      </c>
      <c r="D2592" t="inlineStr">
        <is>
          <t>HALLANDS LÄN</t>
        </is>
      </c>
      <c r="E2592" t="inlineStr">
        <is>
          <t>FALKENBERG</t>
        </is>
      </c>
      <c r="G2592" t="n">
        <v>1.1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20695-2023</t>
        </is>
      </c>
      <c r="B2593" s="1" t="n">
        <v>45058</v>
      </c>
      <c r="C2593" s="1" t="n">
        <v>45627</v>
      </c>
      <c r="D2593" t="inlineStr">
        <is>
          <t>HALLANDS LÄN</t>
        </is>
      </c>
      <c r="E2593" t="inlineStr">
        <is>
          <t>HYLTE</t>
        </is>
      </c>
      <c r="G2593" t="n">
        <v>1.6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21262-2023</t>
        </is>
      </c>
      <c r="B2594" s="1" t="n">
        <v>45058</v>
      </c>
      <c r="C2594" s="1" t="n">
        <v>45627</v>
      </c>
      <c r="D2594" t="inlineStr">
        <is>
          <t>HALLANDS LÄN</t>
        </is>
      </c>
      <c r="E2594" t="inlineStr">
        <is>
          <t>FALKENBERG</t>
        </is>
      </c>
      <c r="G2594" t="n">
        <v>3.1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20893-2023</t>
        </is>
      </c>
      <c r="B2595" s="1" t="n">
        <v>45059</v>
      </c>
      <c r="C2595" s="1" t="n">
        <v>45627</v>
      </c>
      <c r="D2595" t="inlineStr">
        <is>
          <t>HALLANDS LÄN</t>
        </is>
      </c>
      <c r="E2595" t="inlineStr">
        <is>
          <t>FALKENBERG</t>
        </is>
      </c>
      <c r="G2595" t="n">
        <v>8.699999999999999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21087-2023</t>
        </is>
      </c>
      <c r="B2596" s="1" t="n">
        <v>45061</v>
      </c>
      <c r="C2596" s="1" t="n">
        <v>45627</v>
      </c>
      <c r="D2596" t="inlineStr">
        <is>
          <t>HALLANDS LÄN</t>
        </is>
      </c>
      <c r="E2596" t="inlineStr">
        <is>
          <t>HYLTE</t>
        </is>
      </c>
      <c r="G2596" t="n">
        <v>4.4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21088-2023</t>
        </is>
      </c>
      <c r="B2597" s="1" t="n">
        <v>45061</v>
      </c>
      <c r="C2597" s="1" t="n">
        <v>45627</v>
      </c>
      <c r="D2597" t="inlineStr">
        <is>
          <t>HALLANDS LÄN</t>
        </is>
      </c>
      <c r="E2597" t="inlineStr">
        <is>
          <t>HYLTE</t>
        </is>
      </c>
      <c r="G2597" t="n">
        <v>1.4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21011-2023</t>
        </is>
      </c>
      <c r="B2598" s="1" t="n">
        <v>45061</v>
      </c>
      <c r="C2598" s="1" t="n">
        <v>45627</v>
      </c>
      <c r="D2598" t="inlineStr">
        <is>
          <t>HALLANDS LÄN</t>
        </is>
      </c>
      <c r="E2598" t="inlineStr">
        <is>
          <t>FALKENBERG</t>
        </is>
      </c>
      <c r="G2598" t="n">
        <v>0.8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21163-2023</t>
        </is>
      </c>
      <c r="B2599" s="1" t="n">
        <v>45062</v>
      </c>
      <c r="C2599" s="1" t="n">
        <v>45627</v>
      </c>
      <c r="D2599" t="inlineStr">
        <is>
          <t>HALLANDS LÄN</t>
        </is>
      </c>
      <c r="E2599" t="inlineStr">
        <is>
          <t>KUNGSBACKA</t>
        </is>
      </c>
      <c r="G2599" t="n">
        <v>3.3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21169-2023</t>
        </is>
      </c>
      <c r="B2600" s="1" t="n">
        <v>45062</v>
      </c>
      <c r="C2600" s="1" t="n">
        <v>45627</v>
      </c>
      <c r="D2600" t="inlineStr">
        <is>
          <t>HALLANDS LÄN</t>
        </is>
      </c>
      <c r="E2600" t="inlineStr">
        <is>
          <t>KUNGSBACKA</t>
        </is>
      </c>
      <c r="G2600" t="n">
        <v>4.1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21124-2023</t>
        </is>
      </c>
      <c r="B2601" s="1" t="n">
        <v>45062</v>
      </c>
      <c r="C2601" s="1" t="n">
        <v>45627</v>
      </c>
      <c r="D2601" t="inlineStr">
        <is>
          <t>HALLANDS LÄN</t>
        </is>
      </c>
      <c r="E2601" t="inlineStr">
        <is>
          <t>VARBERG</t>
        </is>
      </c>
      <c r="G2601" t="n">
        <v>1.5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21165-2023</t>
        </is>
      </c>
      <c r="B2602" s="1" t="n">
        <v>45062</v>
      </c>
      <c r="C2602" s="1" t="n">
        <v>45627</v>
      </c>
      <c r="D2602" t="inlineStr">
        <is>
          <t>HALLANDS LÄN</t>
        </is>
      </c>
      <c r="E2602" t="inlineStr">
        <is>
          <t>KUNGSBACKA</t>
        </is>
      </c>
      <c r="G2602" t="n">
        <v>3.6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21171-2023</t>
        </is>
      </c>
      <c r="B2603" s="1" t="n">
        <v>45062</v>
      </c>
      <c r="C2603" s="1" t="n">
        <v>45627</v>
      </c>
      <c r="D2603" t="inlineStr">
        <is>
          <t>HALLANDS LÄN</t>
        </is>
      </c>
      <c r="E2603" t="inlineStr">
        <is>
          <t>KUNGSBACKA</t>
        </is>
      </c>
      <c r="G2603" t="n">
        <v>3.3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21284-2023</t>
        </is>
      </c>
      <c r="B2604" s="1" t="n">
        <v>45062</v>
      </c>
      <c r="C2604" s="1" t="n">
        <v>45627</v>
      </c>
      <c r="D2604" t="inlineStr">
        <is>
          <t>HALLANDS LÄN</t>
        </is>
      </c>
      <c r="E2604" t="inlineStr">
        <is>
          <t>HYLTE</t>
        </is>
      </c>
      <c r="G2604" t="n">
        <v>0.5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21306-2023</t>
        </is>
      </c>
      <c r="B2605" s="1" t="n">
        <v>45062</v>
      </c>
      <c r="C2605" s="1" t="n">
        <v>45627</v>
      </c>
      <c r="D2605" t="inlineStr">
        <is>
          <t>HALLANDS LÄN</t>
        </is>
      </c>
      <c r="E2605" t="inlineStr">
        <is>
          <t>KUNGSBACKA</t>
        </is>
      </c>
      <c r="G2605" t="n">
        <v>3.9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21280-2023</t>
        </is>
      </c>
      <c r="B2606" s="1" t="n">
        <v>45062</v>
      </c>
      <c r="C2606" s="1" t="n">
        <v>45627</v>
      </c>
      <c r="D2606" t="inlineStr">
        <is>
          <t>HALLANDS LÄN</t>
        </is>
      </c>
      <c r="E2606" t="inlineStr">
        <is>
          <t>HYLTE</t>
        </is>
      </c>
      <c r="G2606" t="n">
        <v>0.9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21289-2023</t>
        </is>
      </c>
      <c r="B2607" s="1" t="n">
        <v>45062</v>
      </c>
      <c r="C2607" s="1" t="n">
        <v>45627</v>
      </c>
      <c r="D2607" t="inlineStr">
        <is>
          <t>HALLANDS LÄN</t>
        </is>
      </c>
      <c r="E2607" t="inlineStr">
        <is>
          <t>HYLTE</t>
        </is>
      </c>
      <c r="G2607" t="n">
        <v>0.8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21277-2023</t>
        </is>
      </c>
      <c r="B2608" s="1" t="n">
        <v>45062</v>
      </c>
      <c r="C2608" s="1" t="n">
        <v>45627</v>
      </c>
      <c r="D2608" t="inlineStr">
        <is>
          <t>HALLANDS LÄN</t>
        </is>
      </c>
      <c r="E2608" t="inlineStr">
        <is>
          <t>LAHOLM</t>
        </is>
      </c>
      <c r="G2608" t="n">
        <v>3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21394-2023</t>
        </is>
      </c>
      <c r="B2609" s="1" t="n">
        <v>45063</v>
      </c>
      <c r="C2609" s="1" t="n">
        <v>45627</v>
      </c>
      <c r="D2609" t="inlineStr">
        <is>
          <t>HALLANDS LÄN</t>
        </is>
      </c>
      <c r="E2609" t="inlineStr">
        <is>
          <t>VARBERG</t>
        </is>
      </c>
      <c r="G2609" t="n">
        <v>5.4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21501-2023</t>
        </is>
      </c>
      <c r="B2610" s="1" t="n">
        <v>45063</v>
      </c>
      <c r="C2610" s="1" t="n">
        <v>45627</v>
      </c>
      <c r="D2610" t="inlineStr">
        <is>
          <t>HALLANDS LÄN</t>
        </is>
      </c>
      <c r="E2610" t="inlineStr">
        <is>
          <t>HYLTE</t>
        </is>
      </c>
      <c r="G2610" t="n">
        <v>5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21372-2023</t>
        </is>
      </c>
      <c r="B2611" s="1" t="n">
        <v>45063</v>
      </c>
      <c r="C2611" s="1" t="n">
        <v>45627</v>
      </c>
      <c r="D2611" t="inlineStr">
        <is>
          <t>HALLANDS LÄN</t>
        </is>
      </c>
      <c r="E2611" t="inlineStr">
        <is>
          <t>HALMSTAD</t>
        </is>
      </c>
      <c r="G2611" t="n">
        <v>0.6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21723-2023</t>
        </is>
      </c>
      <c r="B2612" s="1" t="n">
        <v>45065</v>
      </c>
      <c r="C2612" s="1" t="n">
        <v>45627</v>
      </c>
      <c r="D2612" t="inlineStr">
        <is>
          <t>HALLANDS LÄN</t>
        </is>
      </c>
      <c r="E2612" t="inlineStr">
        <is>
          <t>HALMSTAD</t>
        </is>
      </c>
      <c r="G2612" t="n">
        <v>4.4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21725-2023</t>
        </is>
      </c>
      <c r="B2613" s="1" t="n">
        <v>45065</v>
      </c>
      <c r="C2613" s="1" t="n">
        <v>45627</v>
      </c>
      <c r="D2613" t="inlineStr">
        <is>
          <t>HALLANDS LÄN</t>
        </is>
      </c>
      <c r="E2613" t="inlineStr">
        <is>
          <t>HALMSTAD</t>
        </is>
      </c>
      <c r="G2613" t="n">
        <v>3.5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21721-2023</t>
        </is>
      </c>
      <c r="B2614" s="1" t="n">
        <v>45065</v>
      </c>
      <c r="C2614" s="1" t="n">
        <v>45627</v>
      </c>
      <c r="D2614" t="inlineStr">
        <is>
          <t>HALLANDS LÄN</t>
        </is>
      </c>
      <c r="E2614" t="inlineStr">
        <is>
          <t>KUNGSBACKA</t>
        </is>
      </c>
      <c r="G2614" t="n">
        <v>1.7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21915-2023</t>
        </is>
      </c>
      <c r="B2615" s="1" t="n">
        <v>45068</v>
      </c>
      <c r="C2615" s="1" t="n">
        <v>45627</v>
      </c>
      <c r="D2615" t="inlineStr">
        <is>
          <t>HALLANDS LÄN</t>
        </is>
      </c>
      <c r="E2615" t="inlineStr">
        <is>
          <t>FALKENBERG</t>
        </is>
      </c>
      <c r="G2615" t="n">
        <v>1.2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21814-2023</t>
        </is>
      </c>
      <c r="B2616" s="1" t="n">
        <v>45068</v>
      </c>
      <c r="C2616" s="1" t="n">
        <v>45627</v>
      </c>
      <c r="D2616" t="inlineStr">
        <is>
          <t>HALLANDS LÄN</t>
        </is>
      </c>
      <c r="E2616" t="inlineStr">
        <is>
          <t>FALKENBERG</t>
        </is>
      </c>
      <c r="G2616" t="n">
        <v>0.6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21977-2023</t>
        </is>
      </c>
      <c r="B2617" s="1" t="n">
        <v>45068</v>
      </c>
      <c r="C2617" s="1" t="n">
        <v>45627</v>
      </c>
      <c r="D2617" t="inlineStr">
        <is>
          <t>HALLANDS LÄN</t>
        </is>
      </c>
      <c r="E2617" t="inlineStr">
        <is>
          <t>VARBERG</t>
        </is>
      </c>
      <c r="G2617" t="n">
        <v>2.2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21815-2023</t>
        </is>
      </c>
      <c r="B2618" s="1" t="n">
        <v>45068</v>
      </c>
      <c r="C2618" s="1" t="n">
        <v>45627</v>
      </c>
      <c r="D2618" t="inlineStr">
        <is>
          <t>HALLANDS LÄN</t>
        </is>
      </c>
      <c r="E2618" t="inlineStr">
        <is>
          <t>FALKENBERG</t>
        </is>
      </c>
      <c r="G2618" t="n">
        <v>0.9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21869-2023</t>
        </is>
      </c>
      <c r="B2619" s="1" t="n">
        <v>45068</v>
      </c>
      <c r="C2619" s="1" t="n">
        <v>45627</v>
      </c>
      <c r="D2619" t="inlineStr">
        <is>
          <t>HALLANDS LÄN</t>
        </is>
      </c>
      <c r="E2619" t="inlineStr">
        <is>
          <t>HALMSTAD</t>
        </is>
      </c>
      <c r="G2619" t="n">
        <v>5.8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21978-2023</t>
        </is>
      </c>
      <c r="B2620" s="1" t="n">
        <v>45068</v>
      </c>
      <c r="C2620" s="1" t="n">
        <v>45627</v>
      </c>
      <c r="D2620" t="inlineStr">
        <is>
          <t>HALLANDS LÄN</t>
        </is>
      </c>
      <c r="E2620" t="inlineStr">
        <is>
          <t>FALKENBERG</t>
        </is>
      </c>
      <c r="G2620" t="n">
        <v>13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21995-2023</t>
        </is>
      </c>
      <c r="B2621" s="1" t="n">
        <v>45068</v>
      </c>
      <c r="C2621" s="1" t="n">
        <v>45627</v>
      </c>
      <c r="D2621" t="inlineStr">
        <is>
          <t>HALLANDS LÄN</t>
        </is>
      </c>
      <c r="E2621" t="inlineStr">
        <is>
          <t>FALKENBERG</t>
        </is>
      </c>
      <c r="G2621" t="n">
        <v>7.1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22158-2023</t>
        </is>
      </c>
      <c r="B2622" s="1" t="n">
        <v>45069</v>
      </c>
      <c r="C2622" s="1" t="n">
        <v>45627</v>
      </c>
      <c r="D2622" t="inlineStr">
        <is>
          <t>HALLANDS LÄN</t>
        </is>
      </c>
      <c r="E2622" t="inlineStr">
        <is>
          <t>LAHOLM</t>
        </is>
      </c>
      <c r="G2622" t="n">
        <v>1.6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22245-2023</t>
        </is>
      </c>
      <c r="B2623" s="1" t="n">
        <v>45070</v>
      </c>
      <c r="C2623" s="1" t="n">
        <v>45627</v>
      </c>
      <c r="D2623" t="inlineStr">
        <is>
          <t>HALLANDS LÄN</t>
        </is>
      </c>
      <c r="E2623" t="inlineStr">
        <is>
          <t>HYLTE</t>
        </is>
      </c>
      <c r="G2623" t="n">
        <v>1.1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22244-2023</t>
        </is>
      </c>
      <c r="B2624" s="1" t="n">
        <v>45070</v>
      </c>
      <c r="C2624" s="1" t="n">
        <v>45627</v>
      </c>
      <c r="D2624" t="inlineStr">
        <is>
          <t>HALLANDS LÄN</t>
        </is>
      </c>
      <c r="E2624" t="inlineStr">
        <is>
          <t>HYLTE</t>
        </is>
      </c>
      <c r="G2624" t="n">
        <v>4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22234-2023</t>
        </is>
      </c>
      <c r="B2625" s="1" t="n">
        <v>45070</v>
      </c>
      <c r="C2625" s="1" t="n">
        <v>45627</v>
      </c>
      <c r="D2625" t="inlineStr">
        <is>
          <t>HALLANDS LÄN</t>
        </is>
      </c>
      <c r="E2625" t="inlineStr">
        <is>
          <t>VARBERG</t>
        </is>
      </c>
      <c r="G2625" t="n">
        <v>4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22253-2023</t>
        </is>
      </c>
      <c r="B2626" s="1" t="n">
        <v>45070</v>
      </c>
      <c r="C2626" s="1" t="n">
        <v>45627</v>
      </c>
      <c r="D2626" t="inlineStr">
        <is>
          <t>HALLANDS LÄN</t>
        </is>
      </c>
      <c r="E2626" t="inlineStr">
        <is>
          <t>LAHOLM</t>
        </is>
      </c>
      <c r="G2626" t="n">
        <v>1.2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22526-2023</t>
        </is>
      </c>
      <c r="B2627" s="1" t="n">
        <v>45070</v>
      </c>
      <c r="C2627" s="1" t="n">
        <v>45627</v>
      </c>
      <c r="D2627" t="inlineStr">
        <is>
          <t>HALLANDS LÄN</t>
        </is>
      </c>
      <c r="E2627" t="inlineStr">
        <is>
          <t>HYLTE</t>
        </is>
      </c>
      <c r="G2627" t="n">
        <v>2.2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22493-2023</t>
        </is>
      </c>
      <c r="B2628" s="1" t="n">
        <v>45071</v>
      </c>
      <c r="C2628" s="1" t="n">
        <v>45627</v>
      </c>
      <c r="D2628" t="inlineStr">
        <is>
          <t>HALLANDS LÄN</t>
        </is>
      </c>
      <c r="E2628" t="inlineStr">
        <is>
          <t>FALKENBERG</t>
        </is>
      </c>
      <c r="G2628" t="n">
        <v>4.5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22546-2023</t>
        </is>
      </c>
      <c r="B2629" s="1" t="n">
        <v>45071</v>
      </c>
      <c r="C2629" s="1" t="n">
        <v>45627</v>
      </c>
      <c r="D2629" t="inlineStr">
        <is>
          <t>HALLANDS LÄN</t>
        </is>
      </c>
      <c r="E2629" t="inlineStr">
        <is>
          <t>FALKENBERG</t>
        </is>
      </c>
      <c r="G2629" t="n">
        <v>3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22584-2023</t>
        </is>
      </c>
      <c r="B2630" s="1" t="n">
        <v>45071</v>
      </c>
      <c r="C2630" s="1" t="n">
        <v>45627</v>
      </c>
      <c r="D2630" t="inlineStr">
        <is>
          <t>HALLANDS LÄN</t>
        </is>
      </c>
      <c r="E2630" t="inlineStr">
        <is>
          <t>LAHOLM</t>
        </is>
      </c>
      <c r="G2630" t="n">
        <v>0.5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22495-2023</t>
        </is>
      </c>
      <c r="B2631" s="1" t="n">
        <v>45071</v>
      </c>
      <c r="C2631" s="1" t="n">
        <v>45627</v>
      </c>
      <c r="D2631" t="inlineStr">
        <is>
          <t>HALLANDS LÄN</t>
        </is>
      </c>
      <c r="E2631" t="inlineStr">
        <is>
          <t>FALKENBERG</t>
        </is>
      </c>
      <c r="G2631" t="n">
        <v>0.7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22589-2023</t>
        </is>
      </c>
      <c r="B2632" s="1" t="n">
        <v>45071</v>
      </c>
      <c r="C2632" s="1" t="n">
        <v>45627</v>
      </c>
      <c r="D2632" t="inlineStr">
        <is>
          <t>HALLANDS LÄN</t>
        </is>
      </c>
      <c r="E2632" t="inlineStr">
        <is>
          <t>KUNGSBACKA</t>
        </is>
      </c>
      <c r="G2632" t="n">
        <v>1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22594-2023</t>
        </is>
      </c>
      <c r="B2633" s="1" t="n">
        <v>45071</v>
      </c>
      <c r="C2633" s="1" t="n">
        <v>45627</v>
      </c>
      <c r="D2633" t="inlineStr">
        <is>
          <t>HALLANDS LÄN</t>
        </is>
      </c>
      <c r="E2633" t="inlineStr">
        <is>
          <t>KUNGSBACKA</t>
        </is>
      </c>
      <c r="G2633" t="n">
        <v>1.4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22712-2023</t>
        </is>
      </c>
      <c r="B2634" s="1" t="n">
        <v>45071</v>
      </c>
      <c r="C2634" s="1" t="n">
        <v>45627</v>
      </c>
      <c r="D2634" t="inlineStr">
        <is>
          <t>HALLANDS LÄN</t>
        </is>
      </c>
      <c r="E2634" t="inlineStr">
        <is>
          <t>HALMSTAD</t>
        </is>
      </c>
      <c r="G2634" t="n">
        <v>0.7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22711-2023</t>
        </is>
      </c>
      <c r="B2635" s="1" t="n">
        <v>45071</v>
      </c>
      <c r="C2635" s="1" t="n">
        <v>45627</v>
      </c>
      <c r="D2635" t="inlineStr">
        <is>
          <t>HALLANDS LÄN</t>
        </is>
      </c>
      <c r="E2635" t="inlineStr">
        <is>
          <t>HALMSTAD</t>
        </is>
      </c>
      <c r="G2635" t="n">
        <v>2.2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22710-2023</t>
        </is>
      </c>
      <c r="B2636" s="1" t="n">
        <v>45071</v>
      </c>
      <c r="C2636" s="1" t="n">
        <v>45627</v>
      </c>
      <c r="D2636" t="inlineStr">
        <is>
          <t>HALLANDS LÄN</t>
        </is>
      </c>
      <c r="E2636" t="inlineStr">
        <is>
          <t>HALMSTAD</t>
        </is>
      </c>
      <c r="G2636" t="n">
        <v>2.7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23035-2023</t>
        </is>
      </c>
      <c r="B2637" s="1" t="n">
        <v>45074</v>
      </c>
      <c r="C2637" s="1" t="n">
        <v>45627</v>
      </c>
      <c r="D2637" t="inlineStr">
        <is>
          <t>HALLANDS LÄN</t>
        </is>
      </c>
      <c r="E2637" t="inlineStr">
        <is>
          <t>FALKENBERG</t>
        </is>
      </c>
      <c r="G2637" t="n">
        <v>3.6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23036-2023</t>
        </is>
      </c>
      <c r="B2638" s="1" t="n">
        <v>45074</v>
      </c>
      <c r="C2638" s="1" t="n">
        <v>45627</v>
      </c>
      <c r="D2638" t="inlineStr">
        <is>
          <t>HALLANDS LÄN</t>
        </is>
      </c>
      <c r="E2638" t="inlineStr">
        <is>
          <t>FALKENBERG</t>
        </is>
      </c>
      <c r="G2638" t="n">
        <v>2.7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23037-2023</t>
        </is>
      </c>
      <c r="B2639" s="1" t="n">
        <v>45074</v>
      </c>
      <c r="C2639" s="1" t="n">
        <v>45627</v>
      </c>
      <c r="D2639" t="inlineStr">
        <is>
          <t>HALLANDS LÄN</t>
        </is>
      </c>
      <c r="E2639" t="inlineStr">
        <is>
          <t>FALKENBERG</t>
        </is>
      </c>
      <c r="G2639" t="n">
        <v>6.8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23071-2023</t>
        </is>
      </c>
      <c r="B2640" s="1" t="n">
        <v>45075</v>
      </c>
      <c r="C2640" s="1" t="n">
        <v>45627</v>
      </c>
      <c r="D2640" t="inlineStr">
        <is>
          <t>HALLANDS LÄN</t>
        </is>
      </c>
      <c r="E2640" t="inlineStr">
        <is>
          <t>HYLTE</t>
        </is>
      </c>
      <c r="G2640" t="n">
        <v>1.4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23052-2023</t>
        </is>
      </c>
      <c r="B2641" s="1" t="n">
        <v>45075</v>
      </c>
      <c r="C2641" s="1" t="n">
        <v>45627</v>
      </c>
      <c r="D2641" t="inlineStr">
        <is>
          <t>HALLANDS LÄN</t>
        </is>
      </c>
      <c r="E2641" t="inlineStr">
        <is>
          <t>VARBERG</t>
        </is>
      </c>
      <c r="G2641" t="n">
        <v>0.5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23152-2023</t>
        </is>
      </c>
      <c r="B2642" s="1" t="n">
        <v>45075</v>
      </c>
      <c r="C2642" s="1" t="n">
        <v>45627</v>
      </c>
      <c r="D2642" t="inlineStr">
        <is>
          <t>HALLANDS LÄN</t>
        </is>
      </c>
      <c r="E2642" t="inlineStr">
        <is>
          <t>HYLTE</t>
        </is>
      </c>
      <c r="G2642" t="n">
        <v>6.2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23213-2023</t>
        </is>
      </c>
      <c r="B2643" s="1" t="n">
        <v>45075</v>
      </c>
      <c r="C2643" s="1" t="n">
        <v>45627</v>
      </c>
      <c r="D2643" t="inlineStr">
        <is>
          <t>HALLANDS LÄN</t>
        </is>
      </c>
      <c r="E2643" t="inlineStr">
        <is>
          <t>VARBERG</t>
        </is>
      </c>
      <c r="G2643" t="n">
        <v>0.9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23151-2023</t>
        </is>
      </c>
      <c r="B2644" s="1" t="n">
        <v>45075</v>
      </c>
      <c r="C2644" s="1" t="n">
        <v>45627</v>
      </c>
      <c r="D2644" t="inlineStr">
        <is>
          <t>HALLANDS LÄN</t>
        </is>
      </c>
      <c r="E2644" t="inlineStr">
        <is>
          <t>LAHOLM</t>
        </is>
      </c>
      <c r="F2644" t="inlineStr">
        <is>
          <t>Övriga Aktiebolag</t>
        </is>
      </c>
      <c r="G2644" t="n">
        <v>5.9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23149-2023</t>
        </is>
      </c>
      <c r="B2645" s="1" t="n">
        <v>45075</v>
      </c>
      <c r="C2645" s="1" t="n">
        <v>45627</v>
      </c>
      <c r="D2645" t="inlineStr">
        <is>
          <t>HALLANDS LÄN</t>
        </is>
      </c>
      <c r="E2645" t="inlineStr">
        <is>
          <t>LAHOLM</t>
        </is>
      </c>
      <c r="F2645" t="inlineStr">
        <is>
          <t>Övriga Aktiebolag</t>
        </is>
      </c>
      <c r="G2645" t="n">
        <v>0.8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23455-2023</t>
        </is>
      </c>
      <c r="B2646" s="1" t="n">
        <v>45076</v>
      </c>
      <c r="C2646" s="1" t="n">
        <v>45627</v>
      </c>
      <c r="D2646" t="inlineStr">
        <is>
          <t>HALLANDS LÄN</t>
        </is>
      </c>
      <c r="E2646" t="inlineStr">
        <is>
          <t>FALKENBERG</t>
        </is>
      </c>
      <c r="G2646" t="n">
        <v>1.2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23474-2023</t>
        </is>
      </c>
      <c r="B2647" s="1" t="n">
        <v>45076</v>
      </c>
      <c r="C2647" s="1" t="n">
        <v>45627</v>
      </c>
      <c r="D2647" t="inlineStr">
        <is>
          <t>HALLANDS LÄN</t>
        </is>
      </c>
      <c r="E2647" t="inlineStr">
        <is>
          <t>LAHOLM</t>
        </is>
      </c>
      <c r="G2647" t="n">
        <v>2.1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23491-2023</t>
        </is>
      </c>
      <c r="B2648" s="1" t="n">
        <v>45076</v>
      </c>
      <c r="C2648" s="1" t="n">
        <v>45627</v>
      </c>
      <c r="D2648" t="inlineStr">
        <is>
          <t>HALLANDS LÄN</t>
        </is>
      </c>
      <c r="E2648" t="inlineStr">
        <is>
          <t>LAHOLM</t>
        </is>
      </c>
      <c r="G2648" t="n">
        <v>1.3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23493-2023</t>
        </is>
      </c>
      <c r="B2649" s="1" t="n">
        <v>45076</v>
      </c>
      <c r="C2649" s="1" t="n">
        <v>45627</v>
      </c>
      <c r="D2649" t="inlineStr">
        <is>
          <t>HALLANDS LÄN</t>
        </is>
      </c>
      <c r="E2649" t="inlineStr">
        <is>
          <t>LAHOLM</t>
        </is>
      </c>
      <c r="G2649" t="n">
        <v>0.8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24514-2023</t>
        </is>
      </c>
      <c r="B2650" s="1" t="n">
        <v>45077</v>
      </c>
      <c r="C2650" s="1" t="n">
        <v>45627</v>
      </c>
      <c r="D2650" t="inlineStr">
        <is>
          <t>HALLANDS LÄN</t>
        </is>
      </c>
      <c r="E2650" t="inlineStr">
        <is>
          <t>FALKENBERG</t>
        </is>
      </c>
      <c r="F2650" t="inlineStr">
        <is>
          <t>Kyrkan</t>
        </is>
      </c>
      <c r="G2650" t="n">
        <v>1.8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23879-2023</t>
        </is>
      </c>
      <c r="B2651" s="1" t="n">
        <v>45078</v>
      </c>
      <c r="C2651" s="1" t="n">
        <v>45627</v>
      </c>
      <c r="D2651" t="inlineStr">
        <is>
          <t>HALLANDS LÄN</t>
        </is>
      </c>
      <c r="E2651" t="inlineStr">
        <is>
          <t>VARBERG</t>
        </is>
      </c>
      <c r="G2651" t="n">
        <v>2.1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23844-2023</t>
        </is>
      </c>
      <c r="B2652" s="1" t="n">
        <v>45078</v>
      </c>
      <c r="C2652" s="1" t="n">
        <v>45627</v>
      </c>
      <c r="D2652" t="inlineStr">
        <is>
          <t>HALLANDS LÄN</t>
        </is>
      </c>
      <c r="E2652" t="inlineStr">
        <is>
          <t>KUNGSBACKA</t>
        </is>
      </c>
      <c r="G2652" t="n">
        <v>3.3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23880-2023</t>
        </is>
      </c>
      <c r="B2653" s="1" t="n">
        <v>45078</v>
      </c>
      <c r="C2653" s="1" t="n">
        <v>45627</v>
      </c>
      <c r="D2653" t="inlineStr">
        <is>
          <t>HALLANDS LÄN</t>
        </is>
      </c>
      <c r="E2653" t="inlineStr">
        <is>
          <t>VARBERG</t>
        </is>
      </c>
      <c r="G2653" t="n">
        <v>2.5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23994-2023</t>
        </is>
      </c>
      <c r="B2654" s="1" t="n">
        <v>45078</v>
      </c>
      <c r="C2654" s="1" t="n">
        <v>45627</v>
      </c>
      <c r="D2654" t="inlineStr">
        <is>
          <t>HALLANDS LÄN</t>
        </is>
      </c>
      <c r="E2654" t="inlineStr">
        <is>
          <t>KUNGSBACKA</t>
        </is>
      </c>
      <c r="F2654" t="inlineStr">
        <is>
          <t>Övriga Aktiebolag</t>
        </is>
      </c>
      <c r="G2654" t="n">
        <v>5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24186-2023</t>
        </is>
      </c>
      <c r="B2655" s="1" t="n">
        <v>45079</v>
      </c>
      <c r="C2655" s="1" t="n">
        <v>45627</v>
      </c>
      <c r="D2655" t="inlineStr">
        <is>
          <t>HALLANDS LÄN</t>
        </is>
      </c>
      <c r="E2655" t="inlineStr">
        <is>
          <t>FALKENBERG</t>
        </is>
      </c>
      <c r="G2655" t="n">
        <v>4.5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24191-2023</t>
        </is>
      </c>
      <c r="B2656" s="1" t="n">
        <v>45079</v>
      </c>
      <c r="C2656" s="1" t="n">
        <v>45627</v>
      </c>
      <c r="D2656" t="inlineStr">
        <is>
          <t>HALLANDS LÄN</t>
        </is>
      </c>
      <c r="E2656" t="inlineStr">
        <is>
          <t>FALKENBERG</t>
        </is>
      </c>
      <c r="G2656" t="n">
        <v>2.8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24087-2023</t>
        </is>
      </c>
      <c r="B2657" s="1" t="n">
        <v>45079</v>
      </c>
      <c r="C2657" s="1" t="n">
        <v>45627</v>
      </c>
      <c r="D2657" t="inlineStr">
        <is>
          <t>HALLANDS LÄN</t>
        </is>
      </c>
      <c r="E2657" t="inlineStr">
        <is>
          <t>HALMSTAD</t>
        </is>
      </c>
      <c r="G2657" t="n">
        <v>1.9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24100-2023</t>
        </is>
      </c>
      <c r="B2658" s="1" t="n">
        <v>45079</v>
      </c>
      <c r="C2658" s="1" t="n">
        <v>45627</v>
      </c>
      <c r="D2658" t="inlineStr">
        <is>
          <t>HALLANDS LÄN</t>
        </is>
      </c>
      <c r="E2658" t="inlineStr">
        <is>
          <t>HALMSTAD</t>
        </is>
      </c>
      <c r="G2658" t="n">
        <v>0.7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24104-2023</t>
        </is>
      </c>
      <c r="B2659" s="1" t="n">
        <v>45079</v>
      </c>
      <c r="C2659" s="1" t="n">
        <v>45627</v>
      </c>
      <c r="D2659" t="inlineStr">
        <is>
          <t>HALLANDS LÄN</t>
        </is>
      </c>
      <c r="E2659" t="inlineStr">
        <is>
          <t>FALKENBERG</t>
        </is>
      </c>
      <c r="G2659" t="n">
        <v>0.9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24179-2023</t>
        </is>
      </c>
      <c r="B2660" s="1" t="n">
        <v>45079</v>
      </c>
      <c r="C2660" s="1" t="n">
        <v>45627</v>
      </c>
      <c r="D2660" t="inlineStr">
        <is>
          <t>HALLANDS LÄN</t>
        </is>
      </c>
      <c r="E2660" t="inlineStr">
        <is>
          <t>HALMSTAD</t>
        </is>
      </c>
      <c r="G2660" t="n">
        <v>5.2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24198-2023</t>
        </is>
      </c>
      <c r="B2661" s="1" t="n">
        <v>45079</v>
      </c>
      <c r="C2661" s="1" t="n">
        <v>45627</v>
      </c>
      <c r="D2661" t="inlineStr">
        <is>
          <t>HALLANDS LÄN</t>
        </is>
      </c>
      <c r="E2661" t="inlineStr">
        <is>
          <t>FALKENBERG</t>
        </is>
      </c>
      <c r="G2661" t="n">
        <v>4.1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24103-2023</t>
        </is>
      </c>
      <c r="B2662" s="1" t="n">
        <v>45079</v>
      </c>
      <c r="C2662" s="1" t="n">
        <v>45627</v>
      </c>
      <c r="D2662" t="inlineStr">
        <is>
          <t>HALLANDS LÄN</t>
        </is>
      </c>
      <c r="E2662" t="inlineStr">
        <is>
          <t>HALMSTAD</t>
        </is>
      </c>
      <c r="G2662" t="n">
        <v>1.3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24200-2023</t>
        </is>
      </c>
      <c r="B2663" s="1" t="n">
        <v>45079</v>
      </c>
      <c r="C2663" s="1" t="n">
        <v>45627</v>
      </c>
      <c r="D2663" t="inlineStr">
        <is>
          <t>HALLANDS LÄN</t>
        </is>
      </c>
      <c r="E2663" t="inlineStr">
        <is>
          <t>HALMSTAD</t>
        </is>
      </c>
      <c r="G2663" t="n">
        <v>1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24375-2023</t>
        </is>
      </c>
      <c r="B2664" s="1" t="n">
        <v>45082</v>
      </c>
      <c r="C2664" s="1" t="n">
        <v>45627</v>
      </c>
      <c r="D2664" t="inlineStr">
        <is>
          <t>HALLANDS LÄN</t>
        </is>
      </c>
      <c r="E2664" t="inlineStr">
        <is>
          <t>HALMSTAD</t>
        </is>
      </c>
      <c r="G2664" t="n">
        <v>1.9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24380-2023</t>
        </is>
      </c>
      <c r="B2665" s="1" t="n">
        <v>45082</v>
      </c>
      <c r="C2665" s="1" t="n">
        <v>45627</v>
      </c>
      <c r="D2665" t="inlineStr">
        <is>
          <t>HALLANDS LÄN</t>
        </is>
      </c>
      <c r="E2665" t="inlineStr">
        <is>
          <t>HALMSTAD</t>
        </is>
      </c>
      <c r="G2665" t="n">
        <v>0.8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24448-2023</t>
        </is>
      </c>
      <c r="B2666" s="1" t="n">
        <v>45082</v>
      </c>
      <c r="C2666" s="1" t="n">
        <v>45627</v>
      </c>
      <c r="D2666" t="inlineStr">
        <is>
          <t>HALLANDS LÄN</t>
        </is>
      </c>
      <c r="E2666" t="inlineStr">
        <is>
          <t>LAHOLM</t>
        </is>
      </c>
      <c r="G2666" t="n">
        <v>1.2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24374-2023</t>
        </is>
      </c>
      <c r="B2667" s="1" t="n">
        <v>45082</v>
      </c>
      <c r="C2667" s="1" t="n">
        <v>45627</v>
      </c>
      <c r="D2667" t="inlineStr">
        <is>
          <t>HALLANDS LÄN</t>
        </is>
      </c>
      <c r="E2667" t="inlineStr">
        <is>
          <t>HALMSTAD</t>
        </is>
      </c>
      <c r="G2667" t="n">
        <v>3.1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24377-2023</t>
        </is>
      </c>
      <c r="B2668" s="1" t="n">
        <v>45082</v>
      </c>
      <c r="C2668" s="1" t="n">
        <v>45627</v>
      </c>
      <c r="D2668" t="inlineStr">
        <is>
          <t>HALLANDS LÄN</t>
        </is>
      </c>
      <c r="E2668" t="inlineStr">
        <is>
          <t>HALMSTAD</t>
        </is>
      </c>
      <c r="G2668" t="n">
        <v>4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24383-2023</t>
        </is>
      </c>
      <c r="B2669" s="1" t="n">
        <v>45082</v>
      </c>
      <c r="C2669" s="1" t="n">
        <v>45627</v>
      </c>
      <c r="D2669" t="inlineStr">
        <is>
          <t>HALLANDS LÄN</t>
        </is>
      </c>
      <c r="E2669" t="inlineStr">
        <is>
          <t>HALMSTAD</t>
        </is>
      </c>
      <c r="G2669" t="n">
        <v>3.2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24605-2023</t>
        </is>
      </c>
      <c r="B2670" s="1" t="n">
        <v>45084</v>
      </c>
      <c r="C2670" s="1" t="n">
        <v>45627</v>
      </c>
      <c r="D2670" t="inlineStr">
        <is>
          <t>HALLANDS LÄN</t>
        </is>
      </c>
      <c r="E2670" t="inlineStr">
        <is>
          <t>HYLTE</t>
        </is>
      </c>
      <c r="G2670" t="n">
        <v>0.5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24659-2023</t>
        </is>
      </c>
      <c r="B2671" s="1" t="n">
        <v>45084</v>
      </c>
      <c r="C2671" s="1" t="n">
        <v>45627</v>
      </c>
      <c r="D2671" t="inlineStr">
        <is>
          <t>HALLANDS LÄN</t>
        </is>
      </c>
      <c r="E2671" t="inlineStr">
        <is>
          <t>HYLTE</t>
        </is>
      </c>
      <c r="G2671" t="n">
        <v>2.3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24699-2023</t>
        </is>
      </c>
      <c r="B2672" s="1" t="n">
        <v>45084</v>
      </c>
      <c r="C2672" s="1" t="n">
        <v>45627</v>
      </c>
      <c r="D2672" t="inlineStr">
        <is>
          <t>HALLANDS LÄN</t>
        </is>
      </c>
      <c r="E2672" t="inlineStr">
        <is>
          <t>FALKENBERG</t>
        </is>
      </c>
      <c r="G2672" t="n">
        <v>8.1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24839-2023</t>
        </is>
      </c>
      <c r="B2673" s="1" t="n">
        <v>45085</v>
      </c>
      <c r="C2673" s="1" t="n">
        <v>45627</v>
      </c>
      <c r="D2673" t="inlineStr">
        <is>
          <t>HALLANDS LÄN</t>
        </is>
      </c>
      <c r="E2673" t="inlineStr">
        <is>
          <t>VARBERG</t>
        </is>
      </c>
      <c r="G2673" t="n">
        <v>1.8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24894-2023</t>
        </is>
      </c>
      <c r="B2674" s="1" t="n">
        <v>45085</v>
      </c>
      <c r="C2674" s="1" t="n">
        <v>45627</v>
      </c>
      <c r="D2674" t="inlineStr">
        <is>
          <t>HALLANDS LÄN</t>
        </is>
      </c>
      <c r="E2674" t="inlineStr">
        <is>
          <t>FALKENBERG</t>
        </is>
      </c>
      <c r="G2674" t="n">
        <v>1.1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24908-2023</t>
        </is>
      </c>
      <c r="B2675" s="1" t="n">
        <v>45085</v>
      </c>
      <c r="C2675" s="1" t="n">
        <v>45627</v>
      </c>
      <c r="D2675" t="inlineStr">
        <is>
          <t>HALLANDS LÄN</t>
        </is>
      </c>
      <c r="E2675" t="inlineStr">
        <is>
          <t>HALMSTAD</t>
        </is>
      </c>
      <c r="F2675" t="inlineStr">
        <is>
          <t>Kommuner</t>
        </is>
      </c>
      <c r="G2675" t="n">
        <v>5.1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24939-2023</t>
        </is>
      </c>
      <c r="B2676" s="1" t="n">
        <v>45085</v>
      </c>
      <c r="C2676" s="1" t="n">
        <v>45627</v>
      </c>
      <c r="D2676" t="inlineStr">
        <is>
          <t>HALLANDS LÄN</t>
        </is>
      </c>
      <c r="E2676" t="inlineStr">
        <is>
          <t>HYLTE</t>
        </is>
      </c>
      <c r="G2676" t="n">
        <v>0.9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24961-2023</t>
        </is>
      </c>
      <c r="B2677" s="1" t="n">
        <v>45085</v>
      </c>
      <c r="C2677" s="1" t="n">
        <v>45627</v>
      </c>
      <c r="D2677" t="inlineStr">
        <is>
          <t>HALLANDS LÄN</t>
        </is>
      </c>
      <c r="E2677" t="inlineStr">
        <is>
          <t>VARBERG</t>
        </is>
      </c>
      <c r="G2677" t="n">
        <v>2.5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25023-2023</t>
        </is>
      </c>
      <c r="B2678" s="1" t="n">
        <v>45085</v>
      </c>
      <c r="C2678" s="1" t="n">
        <v>45627</v>
      </c>
      <c r="D2678" t="inlineStr">
        <is>
          <t>HALLANDS LÄN</t>
        </is>
      </c>
      <c r="E2678" t="inlineStr">
        <is>
          <t>VARBERG</t>
        </is>
      </c>
      <c r="G2678" t="n">
        <v>4.8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25022-2023</t>
        </is>
      </c>
      <c r="B2679" s="1" t="n">
        <v>45085</v>
      </c>
      <c r="C2679" s="1" t="n">
        <v>45627</v>
      </c>
      <c r="D2679" t="inlineStr">
        <is>
          <t>HALLANDS LÄN</t>
        </is>
      </c>
      <c r="E2679" t="inlineStr">
        <is>
          <t>VARBERG</t>
        </is>
      </c>
      <c r="G2679" t="n">
        <v>0.8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25242-2023</t>
        </is>
      </c>
      <c r="B2680" s="1" t="n">
        <v>45086</v>
      </c>
      <c r="C2680" s="1" t="n">
        <v>45627</v>
      </c>
      <c r="D2680" t="inlineStr">
        <is>
          <t>HALLANDS LÄN</t>
        </is>
      </c>
      <c r="E2680" t="inlineStr">
        <is>
          <t>VARBERG</t>
        </is>
      </c>
      <c r="G2680" t="n">
        <v>2.2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25130-2023</t>
        </is>
      </c>
      <c r="B2681" s="1" t="n">
        <v>45086</v>
      </c>
      <c r="C2681" s="1" t="n">
        <v>45627</v>
      </c>
      <c r="D2681" t="inlineStr">
        <is>
          <t>HALLANDS LÄN</t>
        </is>
      </c>
      <c r="E2681" t="inlineStr">
        <is>
          <t>VARBERG</t>
        </is>
      </c>
      <c r="G2681" t="n">
        <v>4.5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25149-2023</t>
        </is>
      </c>
      <c r="B2682" s="1" t="n">
        <v>45086</v>
      </c>
      <c r="C2682" s="1" t="n">
        <v>45627</v>
      </c>
      <c r="D2682" t="inlineStr">
        <is>
          <t>HALLANDS LÄN</t>
        </is>
      </c>
      <c r="E2682" t="inlineStr">
        <is>
          <t>HYLTE</t>
        </is>
      </c>
      <c r="G2682" t="n">
        <v>1.8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25131-2023</t>
        </is>
      </c>
      <c r="B2683" s="1" t="n">
        <v>45086</v>
      </c>
      <c r="C2683" s="1" t="n">
        <v>45627</v>
      </c>
      <c r="D2683" t="inlineStr">
        <is>
          <t>HALLANDS LÄN</t>
        </is>
      </c>
      <c r="E2683" t="inlineStr">
        <is>
          <t>VARBERG</t>
        </is>
      </c>
      <c r="G2683" t="n">
        <v>1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25128-2023</t>
        </is>
      </c>
      <c r="B2684" s="1" t="n">
        <v>45086</v>
      </c>
      <c r="C2684" s="1" t="n">
        <v>45627</v>
      </c>
      <c r="D2684" t="inlineStr">
        <is>
          <t>HALLANDS LÄN</t>
        </is>
      </c>
      <c r="E2684" t="inlineStr">
        <is>
          <t>VARBERG</t>
        </is>
      </c>
      <c r="G2684" t="n">
        <v>1.4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25166-2023</t>
        </is>
      </c>
      <c r="B2685" s="1" t="n">
        <v>45086</v>
      </c>
      <c r="C2685" s="1" t="n">
        <v>45627</v>
      </c>
      <c r="D2685" t="inlineStr">
        <is>
          <t>HALLANDS LÄN</t>
        </is>
      </c>
      <c r="E2685" t="inlineStr">
        <is>
          <t>FALKENBERG</t>
        </is>
      </c>
      <c r="G2685" t="n">
        <v>1.7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25358-2023</t>
        </is>
      </c>
      <c r="B2686" s="1" t="n">
        <v>45088</v>
      </c>
      <c r="C2686" s="1" t="n">
        <v>45627</v>
      </c>
      <c r="D2686" t="inlineStr">
        <is>
          <t>HALLANDS LÄN</t>
        </is>
      </c>
      <c r="E2686" t="inlineStr">
        <is>
          <t>VARBERG</t>
        </is>
      </c>
      <c r="G2686" t="n">
        <v>1.2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25359-2023</t>
        </is>
      </c>
      <c r="B2687" s="1" t="n">
        <v>45088</v>
      </c>
      <c r="C2687" s="1" t="n">
        <v>45627</v>
      </c>
      <c r="D2687" t="inlineStr">
        <is>
          <t>HALLANDS LÄN</t>
        </is>
      </c>
      <c r="E2687" t="inlineStr">
        <is>
          <t>VARBERG</t>
        </is>
      </c>
      <c r="G2687" t="n">
        <v>3.4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25442-2023</t>
        </is>
      </c>
      <c r="B2688" s="1" t="n">
        <v>45089</v>
      </c>
      <c r="C2688" s="1" t="n">
        <v>45627</v>
      </c>
      <c r="D2688" t="inlineStr">
        <is>
          <t>HALLANDS LÄN</t>
        </is>
      </c>
      <c r="E2688" t="inlineStr">
        <is>
          <t>FALKENBERG</t>
        </is>
      </c>
      <c r="G2688" t="n">
        <v>0.9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25592-2023</t>
        </is>
      </c>
      <c r="B2689" s="1" t="n">
        <v>45089</v>
      </c>
      <c r="C2689" s="1" t="n">
        <v>45627</v>
      </c>
      <c r="D2689" t="inlineStr">
        <is>
          <t>HALLANDS LÄN</t>
        </is>
      </c>
      <c r="E2689" t="inlineStr">
        <is>
          <t>LAHOLM</t>
        </is>
      </c>
      <c r="F2689" t="inlineStr">
        <is>
          <t>Sveaskog</t>
        </is>
      </c>
      <c r="G2689" t="n">
        <v>1.2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25411-2023</t>
        </is>
      </c>
      <c r="B2690" s="1" t="n">
        <v>45089</v>
      </c>
      <c r="C2690" s="1" t="n">
        <v>45627</v>
      </c>
      <c r="D2690" t="inlineStr">
        <is>
          <t>HALLANDS LÄN</t>
        </is>
      </c>
      <c r="E2690" t="inlineStr">
        <is>
          <t>FALKENBERG</t>
        </is>
      </c>
      <c r="G2690" t="n">
        <v>0.8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25600-2023</t>
        </is>
      </c>
      <c r="B2691" s="1" t="n">
        <v>45089</v>
      </c>
      <c r="C2691" s="1" t="n">
        <v>45627</v>
      </c>
      <c r="D2691" t="inlineStr">
        <is>
          <t>HALLANDS LÄN</t>
        </is>
      </c>
      <c r="E2691" t="inlineStr">
        <is>
          <t>LAHOLM</t>
        </is>
      </c>
      <c r="G2691" t="n">
        <v>4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25516-2023</t>
        </is>
      </c>
      <c r="B2692" s="1" t="n">
        <v>45089</v>
      </c>
      <c r="C2692" s="1" t="n">
        <v>45627</v>
      </c>
      <c r="D2692" t="inlineStr">
        <is>
          <t>HALLANDS LÄN</t>
        </is>
      </c>
      <c r="E2692" t="inlineStr">
        <is>
          <t>LAHOLM</t>
        </is>
      </c>
      <c r="F2692" t="inlineStr">
        <is>
          <t>Sveaskog</t>
        </is>
      </c>
      <c r="G2692" t="n">
        <v>6.4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25537-2023</t>
        </is>
      </c>
      <c r="B2693" s="1" t="n">
        <v>45089</v>
      </c>
      <c r="C2693" s="1" t="n">
        <v>45627</v>
      </c>
      <c r="D2693" t="inlineStr">
        <is>
          <t>HALLANDS LÄN</t>
        </is>
      </c>
      <c r="E2693" t="inlineStr">
        <is>
          <t>HYLTE</t>
        </is>
      </c>
      <c r="G2693" t="n">
        <v>5.7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25593-2023</t>
        </is>
      </c>
      <c r="B2694" s="1" t="n">
        <v>45089</v>
      </c>
      <c r="C2694" s="1" t="n">
        <v>45627</v>
      </c>
      <c r="D2694" t="inlineStr">
        <is>
          <t>HALLANDS LÄN</t>
        </is>
      </c>
      <c r="E2694" t="inlineStr">
        <is>
          <t>LAHOLM</t>
        </is>
      </c>
      <c r="F2694" t="inlineStr">
        <is>
          <t>Sveaskog</t>
        </is>
      </c>
      <c r="G2694" t="n">
        <v>1.3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25597-2023</t>
        </is>
      </c>
      <c r="B2695" s="1" t="n">
        <v>45089</v>
      </c>
      <c r="C2695" s="1" t="n">
        <v>45627</v>
      </c>
      <c r="D2695" t="inlineStr">
        <is>
          <t>HALLANDS LÄN</t>
        </is>
      </c>
      <c r="E2695" t="inlineStr">
        <is>
          <t>LAHOLM</t>
        </is>
      </c>
      <c r="F2695" t="inlineStr">
        <is>
          <t>Sveaskog</t>
        </is>
      </c>
      <c r="G2695" t="n">
        <v>1.9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25590-2023</t>
        </is>
      </c>
      <c r="B2696" s="1" t="n">
        <v>45089</v>
      </c>
      <c r="C2696" s="1" t="n">
        <v>45627</v>
      </c>
      <c r="D2696" t="inlineStr">
        <is>
          <t>HALLANDS LÄN</t>
        </is>
      </c>
      <c r="E2696" t="inlineStr">
        <is>
          <t>LAHOLM</t>
        </is>
      </c>
      <c r="G2696" t="n">
        <v>1.6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25612-2023</t>
        </is>
      </c>
      <c r="B2697" s="1" t="n">
        <v>45089</v>
      </c>
      <c r="C2697" s="1" t="n">
        <v>45627</v>
      </c>
      <c r="D2697" t="inlineStr">
        <is>
          <t>HALLANDS LÄN</t>
        </is>
      </c>
      <c r="E2697" t="inlineStr">
        <is>
          <t>FALKENBERG</t>
        </is>
      </c>
      <c r="G2697" t="n">
        <v>0.8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25591-2023</t>
        </is>
      </c>
      <c r="B2698" s="1" t="n">
        <v>45089</v>
      </c>
      <c r="C2698" s="1" t="n">
        <v>45627</v>
      </c>
      <c r="D2698" t="inlineStr">
        <is>
          <t>HALLANDS LÄN</t>
        </is>
      </c>
      <c r="E2698" t="inlineStr">
        <is>
          <t>LAHOLM</t>
        </is>
      </c>
      <c r="F2698" t="inlineStr">
        <is>
          <t>Sveaskog</t>
        </is>
      </c>
      <c r="G2698" t="n">
        <v>5.7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25698-2023</t>
        </is>
      </c>
      <c r="B2699" s="1" t="n">
        <v>45090</v>
      </c>
      <c r="C2699" s="1" t="n">
        <v>45627</v>
      </c>
      <c r="D2699" t="inlineStr">
        <is>
          <t>HALLANDS LÄN</t>
        </is>
      </c>
      <c r="E2699" t="inlineStr">
        <is>
          <t>HALMSTAD</t>
        </is>
      </c>
      <c r="G2699" t="n">
        <v>0.6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25828-2023</t>
        </is>
      </c>
      <c r="B2700" s="1" t="n">
        <v>45090</v>
      </c>
      <c r="C2700" s="1" t="n">
        <v>45627</v>
      </c>
      <c r="D2700" t="inlineStr">
        <is>
          <t>HALLANDS LÄN</t>
        </is>
      </c>
      <c r="E2700" t="inlineStr">
        <is>
          <t>VARBERG</t>
        </is>
      </c>
      <c r="G2700" t="n">
        <v>0.7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25853-2023</t>
        </is>
      </c>
      <c r="B2701" s="1" t="n">
        <v>45090</v>
      </c>
      <c r="C2701" s="1" t="n">
        <v>45627</v>
      </c>
      <c r="D2701" t="inlineStr">
        <is>
          <t>HALLANDS LÄN</t>
        </is>
      </c>
      <c r="E2701" t="inlineStr">
        <is>
          <t>VARBERG</t>
        </is>
      </c>
      <c r="G2701" t="n">
        <v>2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25821-2023</t>
        </is>
      </c>
      <c r="B2702" s="1" t="n">
        <v>45090</v>
      </c>
      <c r="C2702" s="1" t="n">
        <v>45627</v>
      </c>
      <c r="D2702" t="inlineStr">
        <is>
          <t>HALLANDS LÄN</t>
        </is>
      </c>
      <c r="E2702" t="inlineStr">
        <is>
          <t>VARBERG</t>
        </is>
      </c>
      <c r="G2702" t="n">
        <v>5.2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25825-2023</t>
        </is>
      </c>
      <c r="B2703" s="1" t="n">
        <v>45090</v>
      </c>
      <c r="C2703" s="1" t="n">
        <v>45627</v>
      </c>
      <c r="D2703" t="inlineStr">
        <is>
          <t>HALLANDS LÄN</t>
        </is>
      </c>
      <c r="E2703" t="inlineStr">
        <is>
          <t>VARBERG</t>
        </is>
      </c>
      <c r="G2703" t="n">
        <v>1.5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25830-2023</t>
        </is>
      </c>
      <c r="B2704" s="1" t="n">
        <v>45090</v>
      </c>
      <c r="C2704" s="1" t="n">
        <v>45627</v>
      </c>
      <c r="D2704" t="inlineStr">
        <is>
          <t>HALLANDS LÄN</t>
        </is>
      </c>
      <c r="E2704" t="inlineStr">
        <is>
          <t>VARBERG</t>
        </is>
      </c>
      <c r="G2704" t="n">
        <v>0.6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26159-2023</t>
        </is>
      </c>
      <c r="B2705" s="1" t="n">
        <v>45091</v>
      </c>
      <c r="C2705" s="1" t="n">
        <v>45627</v>
      </c>
      <c r="D2705" t="inlineStr">
        <is>
          <t>HALLANDS LÄN</t>
        </is>
      </c>
      <c r="E2705" t="inlineStr">
        <is>
          <t>KUNGSBACKA</t>
        </is>
      </c>
      <c r="G2705" t="n">
        <v>3.8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26310-2023</t>
        </is>
      </c>
      <c r="B2706" s="1" t="n">
        <v>45091</v>
      </c>
      <c r="C2706" s="1" t="n">
        <v>45627</v>
      </c>
      <c r="D2706" t="inlineStr">
        <is>
          <t>HALLANDS LÄN</t>
        </is>
      </c>
      <c r="E2706" t="inlineStr">
        <is>
          <t>FALKENBERG</t>
        </is>
      </c>
      <c r="G2706" t="n">
        <v>4.7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26313-2023</t>
        </is>
      </c>
      <c r="B2707" s="1" t="n">
        <v>45091</v>
      </c>
      <c r="C2707" s="1" t="n">
        <v>45627</v>
      </c>
      <c r="D2707" t="inlineStr">
        <is>
          <t>HALLANDS LÄN</t>
        </is>
      </c>
      <c r="E2707" t="inlineStr">
        <is>
          <t>HYLTE</t>
        </is>
      </c>
      <c r="G2707" t="n">
        <v>1.7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26257-2023</t>
        </is>
      </c>
      <c r="B2708" s="1" t="n">
        <v>45091</v>
      </c>
      <c r="C2708" s="1" t="n">
        <v>45627</v>
      </c>
      <c r="D2708" t="inlineStr">
        <is>
          <t>HALLANDS LÄN</t>
        </is>
      </c>
      <c r="E2708" t="inlineStr">
        <is>
          <t>HYLTE</t>
        </is>
      </c>
      <c r="G2708" t="n">
        <v>4.9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26312-2023</t>
        </is>
      </c>
      <c r="B2709" s="1" t="n">
        <v>45091</v>
      </c>
      <c r="C2709" s="1" t="n">
        <v>45627</v>
      </c>
      <c r="D2709" t="inlineStr">
        <is>
          <t>HALLANDS LÄN</t>
        </is>
      </c>
      <c r="E2709" t="inlineStr">
        <is>
          <t>FALKENBERG</t>
        </is>
      </c>
      <c r="G2709" t="n">
        <v>0.6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26024-2023</t>
        </is>
      </c>
      <c r="B2710" s="1" t="n">
        <v>45091</v>
      </c>
      <c r="C2710" s="1" t="n">
        <v>45627</v>
      </c>
      <c r="D2710" t="inlineStr">
        <is>
          <t>HALLANDS LÄN</t>
        </is>
      </c>
      <c r="E2710" t="inlineStr">
        <is>
          <t>HALMSTAD</t>
        </is>
      </c>
      <c r="G2710" t="n">
        <v>0.5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26049-2023</t>
        </is>
      </c>
      <c r="B2711" s="1" t="n">
        <v>45091</v>
      </c>
      <c r="C2711" s="1" t="n">
        <v>45627</v>
      </c>
      <c r="D2711" t="inlineStr">
        <is>
          <t>HALLANDS LÄN</t>
        </is>
      </c>
      <c r="E2711" t="inlineStr">
        <is>
          <t>HALMSTAD</t>
        </is>
      </c>
      <c r="G2711" t="n">
        <v>0.4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26122-2023</t>
        </is>
      </c>
      <c r="B2712" s="1" t="n">
        <v>45091</v>
      </c>
      <c r="C2712" s="1" t="n">
        <v>45627</v>
      </c>
      <c r="D2712" t="inlineStr">
        <is>
          <t>HALLANDS LÄN</t>
        </is>
      </c>
      <c r="E2712" t="inlineStr">
        <is>
          <t>HALMSTAD</t>
        </is>
      </c>
      <c r="G2712" t="n">
        <v>5.3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26150-2023</t>
        </is>
      </c>
      <c r="B2713" s="1" t="n">
        <v>45091</v>
      </c>
      <c r="C2713" s="1" t="n">
        <v>45627</v>
      </c>
      <c r="D2713" t="inlineStr">
        <is>
          <t>HALLANDS LÄN</t>
        </is>
      </c>
      <c r="E2713" t="inlineStr">
        <is>
          <t>KUNGSBACKA</t>
        </is>
      </c>
      <c r="G2713" t="n">
        <v>3.8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26155-2023</t>
        </is>
      </c>
      <c r="B2714" s="1" t="n">
        <v>45091</v>
      </c>
      <c r="C2714" s="1" t="n">
        <v>45627</v>
      </c>
      <c r="D2714" t="inlineStr">
        <is>
          <t>HALLANDS LÄN</t>
        </is>
      </c>
      <c r="E2714" t="inlineStr">
        <is>
          <t>KUNGSBACKA</t>
        </is>
      </c>
      <c r="G2714" t="n">
        <v>5.2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26145-2023</t>
        </is>
      </c>
      <c r="B2715" s="1" t="n">
        <v>45091</v>
      </c>
      <c r="C2715" s="1" t="n">
        <v>45627</v>
      </c>
      <c r="D2715" t="inlineStr">
        <is>
          <t>HALLANDS LÄN</t>
        </is>
      </c>
      <c r="E2715" t="inlineStr">
        <is>
          <t>KUNGSBACKA</t>
        </is>
      </c>
      <c r="G2715" t="n">
        <v>0.7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26148-2023</t>
        </is>
      </c>
      <c r="B2716" s="1" t="n">
        <v>45091</v>
      </c>
      <c r="C2716" s="1" t="n">
        <v>45627</v>
      </c>
      <c r="D2716" t="inlineStr">
        <is>
          <t>HALLANDS LÄN</t>
        </is>
      </c>
      <c r="E2716" t="inlineStr">
        <is>
          <t>KUNGSBACKA</t>
        </is>
      </c>
      <c r="G2716" t="n">
        <v>0.8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26432-2023</t>
        </is>
      </c>
      <c r="B2717" s="1" t="n">
        <v>45092</v>
      </c>
      <c r="C2717" s="1" t="n">
        <v>45627</v>
      </c>
      <c r="D2717" t="inlineStr">
        <is>
          <t>HALLANDS LÄN</t>
        </is>
      </c>
      <c r="E2717" t="inlineStr">
        <is>
          <t>HYLTE</t>
        </is>
      </c>
      <c r="G2717" t="n">
        <v>3.7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26378-2023</t>
        </is>
      </c>
      <c r="B2718" s="1" t="n">
        <v>45092</v>
      </c>
      <c r="C2718" s="1" t="n">
        <v>45627</v>
      </c>
      <c r="D2718" t="inlineStr">
        <is>
          <t>HALLANDS LÄN</t>
        </is>
      </c>
      <c r="E2718" t="inlineStr">
        <is>
          <t>VARBERG</t>
        </is>
      </c>
      <c r="G2718" t="n">
        <v>6.1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26566-2023</t>
        </is>
      </c>
      <c r="B2719" s="1" t="n">
        <v>45092</v>
      </c>
      <c r="C2719" s="1" t="n">
        <v>45627</v>
      </c>
      <c r="D2719" t="inlineStr">
        <is>
          <t>HALLANDS LÄN</t>
        </is>
      </c>
      <c r="E2719" t="inlineStr">
        <is>
          <t>KUNGSBACKA</t>
        </is>
      </c>
      <c r="G2719" t="n">
        <v>0.5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26548-2023</t>
        </is>
      </c>
      <c r="B2720" s="1" t="n">
        <v>45092</v>
      </c>
      <c r="C2720" s="1" t="n">
        <v>45627</v>
      </c>
      <c r="D2720" t="inlineStr">
        <is>
          <t>HALLANDS LÄN</t>
        </is>
      </c>
      <c r="E2720" t="inlineStr">
        <is>
          <t>HYLTE</t>
        </is>
      </c>
      <c r="G2720" t="n">
        <v>1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26794-2023</t>
        </is>
      </c>
      <c r="B2721" s="1" t="n">
        <v>45093</v>
      </c>
      <c r="C2721" s="1" t="n">
        <v>45627</v>
      </c>
      <c r="D2721" t="inlineStr">
        <is>
          <t>HALLANDS LÄN</t>
        </is>
      </c>
      <c r="E2721" t="inlineStr">
        <is>
          <t>LAHOLM</t>
        </is>
      </c>
      <c r="G2721" t="n">
        <v>2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26806-2023</t>
        </is>
      </c>
      <c r="B2722" s="1" t="n">
        <v>45093</v>
      </c>
      <c r="C2722" s="1" t="n">
        <v>45627</v>
      </c>
      <c r="D2722" t="inlineStr">
        <is>
          <t>HALLANDS LÄN</t>
        </is>
      </c>
      <c r="E2722" t="inlineStr">
        <is>
          <t>FALKENBERG</t>
        </is>
      </c>
      <c r="G2722" t="n">
        <v>1.9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26798-2023</t>
        </is>
      </c>
      <c r="B2723" s="1" t="n">
        <v>45093</v>
      </c>
      <c r="C2723" s="1" t="n">
        <v>45627</v>
      </c>
      <c r="D2723" t="inlineStr">
        <is>
          <t>HALLANDS LÄN</t>
        </is>
      </c>
      <c r="E2723" t="inlineStr">
        <is>
          <t>LAHOLM</t>
        </is>
      </c>
      <c r="G2723" t="n">
        <v>1.7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26908-2023</t>
        </is>
      </c>
      <c r="B2724" s="1" t="n">
        <v>45093</v>
      </c>
      <c r="C2724" s="1" t="n">
        <v>45627</v>
      </c>
      <c r="D2724" t="inlineStr">
        <is>
          <t>HALLANDS LÄN</t>
        </is>
      </c>
      <c r="E2724" t="inlineStr">
        <is>
          <t>LAHOLM</t>
        </is>
      </c>
      <c r="G2724" t="n">
        <v>2.3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26807-2023</t>
        </is>
      </c>
      <c r="B2725" s="1" t="n">
        <v>45093</v>
      </c>
      <c r="C2725" s="1" t="n">
        <v>45627</v>
      </c>
      <c r="D2725" t="inlineStr">
        <is>
          <t>HALLANDS LÄN</t>
        </is>
      </c>
      <c r="E2725" t="inlineStr">
        <is>
          <t>FALKENBERG</t>
        </is>
      </c>
      <c r="G2725" t="n">
        <v>1.1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26920-2023</t>
        </is>
      </c>
      <c r="B2726" s="1" t="n">
        <v>45093</v>
      </c>
      <c r="C2726" s="1" t="n">
        <v>45627</v>
      </c>
      <c r="D2726" t="inlineStr">
        <is>
          <t>HALLANDS LÄN</t>
        </is>
      </c>
      <c r="E2726" t="inlineStr">
        <is>
          <t>LAHOLM</t>
        </is>
      </c>
      <c r="G2726" t="n">
        <v>1.5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26919-2023</t>
        </is>
      </c>
      <c r="B2727" s="1" t="n">
        <v>45093</v>
      </c>
      <c r="C2727" s="1" t="n">
        <v>45627</v>
      </c>
      <c r="D2727" t="inlineStr">
        <is>
          <t>HALLANDS LÄN</t>
        </is>
      </c>
      <c r="E2727" t="inlineStr">
        <is>
          <t>FALKENBERG</t>
        </is>
      </c>
      <c r="G2727" t="n">
        <v>1.1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27469-2023</t>
        </is>
      </c>
      <c r="B2728" s="1" t="n">
        <v>45093</v>
      </c>
      <c r="C2728" s="1" t="n">
        <v>45627</v>
      </c>
      <c r="D2728" t="inlineStr">
        <is>
          <t>HALLANDS LÄN</t>
        </is>
      </c>
      <c r="E2728" t="inlineStr">
        <is>
          <t>VARBERG</t>
        </is>
      </c>
      <c r="G2728" t="n">
        <v>8.699999999999999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27075-2023</t>
        </is>
      </c>
      <c r="B2729" s="1" t="n">
        <v>45096</v>
      </c>
      <c r="C2729" s="1" t="n">
        <v>45627</v>
      </c>
      <c r="D2729" t="inlineStr">
        <is>
          <t>HALLANDS LÄN</t>
        </is>
      </c>
      <c r="E2729" t="inlineStr">
        <is>
          <t>HYLTE</t>
        </is>
      </c>
      <c r="G2729" t="n">
        <v>1.3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27193-2023</t>
        </is>
      </c>
      <c r="B2730" s="1" t="n">
        <v>45096</v>
      </c>
      <c r="C2730" s="1" t="n">
        <v>45627</v>
      </c>
      <c r="D2730" t="inlineStr">
        <is>
          <t>HALLANDS LÄN</t>
        </is>
      </c>
      <c r="E2730" t="inlineStr">
        <is>
          <t>HALMSTAD</t>
        </is>
      </c>
      <c r="G2730" t="n">
        <v>3.7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27219-2023</t>
        </is>
      </c>
      <c r="B2731" s="1" t="n">
        <v>45096</v>
      </c>
      <c r="C2731" s="1" t="n">
        <v>45627</v>
      </c>
      <c r="D2731" t="inlineStr">
        <is>
          <t>HALLANDS LÄN</t>
        </is>
      </c>
      <c r="E2731" t="inlineStr">
        <is>
          <t>LAHOLM</t>
        </is>
      </c>
      <c r="G2731" t="n">
        <v>2.8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27224-2023</t>
        </is>
      </c>
      <c r="B2732" s="1" t="n">
        <v>45096</v>
      </c>
      <c r="C2732" s="1" t="n">
        <v>45627</v>
      </c>
      <c r="D2732" t="inlineStr">
        <is>
          <t>HALLANDS LÄN</t>
        </is>
      </c>
      <c r="E2732" t="inlineStr">
        <is>
          <t>LAHOLM</t>
        </is>
      </c>
      <c r="G2732" t="n">
        <v>4.5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27271-2023</t>
        </is>
      </c>
      <c r="B2733" s="1" t="n">
        <v>45096</v>
      </c>
      <c r="C2733" s="1" t="n">
        <v>45627</v>
      </c>
      <c r="D2733" t="inlineStr">
        <is>
          <t>HALLANDS LÄN</t>
        </is>
      </c>
      <c r="E2733" t="inlineStr">
        <is>
          <t>HALMSTAD</t>
        </is>
      </c>
      <c r="G2733" t="n">
        <v>3.5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27286-2023</t>
        </is>
      </c>
      <c r="B2734" s="1" t="n">
        <v>45096</v>
      </c>
      <c r="C2734" s="1" t="n">
        <v>45627</v>
      </c>
      <c r="D2734" t="inlineStr">
        <is>
          <t>HALLANDS LÄN</t>
        </is>
      </c>
      <c r="E2734" t="inlineStr">
        <is>
          <t>VARBERG</t>
        </is>
      </c>
      <c r="G2734" t="n">
        <v>1.8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27226-2023</t>
        </is>
      </c>
      <c r="B2735" s="1" t="n">
        <v>45096</v>
      </c>
      <c r="C2735" s="1" t="n">
        <v>45627</v>
      </c>
      <c r="D2735" t="inlineStr">
        <is>
          <t>HALLANDS LÄN</t>
        </is>
      </c>
      <c r="E2735" t="inlineStr">
        <is>
          <t>LAHOLM</t>
        </is>
      </c>
      <c r="G2735" t="n">
        <v>1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27290-2023</t>
        </is>
      </c>
      <c r="B2736" s="1" t="n">
        <v>45096</v>
      </c>
      <c r="C2736" s="1" t="n">
        <v>45627</v>
      </c>
      <c r="D2736" t="inlineStr">
        <is>
          <t>HALLANDS LÄN</t>
        </is>
      </c>
      <c r="E2736" t="inlineStr">
        <is>
          <t>KUNGSBACKA</t>
        </is>
      </c>
      <c r="G2736" t="n">
        <v>4.4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27295-2023</t>
        </is>
      </c>
      <c r="B2737" s="1" t="n">
        <v>45096</v>
      </c>
      <c r="C2737" s="1" t="n">
        <v>45627</v>
      </c>
      <c r="D2737" t="inlineStr">
        <is>
          <t>HALLANDS LÄN</t>
        </is>
      </c>
      <c r="E2737" t="inlineStr">
        <is>
          <t>KUNGSBACKA</t>
        </is>
      </c>
      <c r="G2737" t="n">
        <v>1.4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27301-2023</t>
        </is>
      </c>
      <c r="B2738" s="1" t="n">
        <v>45096</v>
      </c>
      <c r="C2738" s="1" t="n">
        <v>45627</v>
      </c>
      <c r="D2738" t="inlineStr">
        <is>
          <t>HALLANDS LÄN</t>
        </is>
      </c>
      <c r="E2738" t="inlineStr">
        <is>
          <t>KUNGSBACKA</t>
        </is>
      </c>
      <c r="G2738" t="n">
        <v>0.7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27278-2023</t>
        </is>
      </c>
      <c r="B2739" s="1" t="n">
        <v>45096</v>
      </c>
      <c r="C2739" s="1" t="n">
        <v>45627</v>
      </c>
      <c r="D2739" t="inlineStr">
        <is>
          <t>HALLANDS LÄN</t>
        </is>
      </c>
      <c r="E2739" t="inlineStr">
        <is>
          <t>KUNGSBACKA</t>
        </is>
      </c>
      <c r="G2739" t="n">
        <v>2.5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27287-2023</t>
        </is>
      </c>
      <c r="B2740" s="1" t="n">
        <v>45096</v>
      </c>
      <c r="C2740" s="1" t="n">
        <v>45627</v>
      </c>
      <c r="D2740" t="inlineStr">
        <is>
          <t>HALLANDS LÄN</t>
        </is>
      </c>
      <c r="E2740" t="inlineStr">
        <is>
          <t>KUNGSBACKA</t>
        </is>
      </c>
      <c r="G2740" t="n">
        <v>0.4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27632-2023</t>
        </is>
      </c>
      <c r="B2741" s="1" t="n">
        <v>45097</v>
      </c>
      <c r="C2741" s="1" t="n">
        <v>45627</v>
      </c>
      <c r="D2741" t="inlineStr">
        <is>
          <t>HALLANDS LÄN</t>
        </is>
      </c>
      <c r="E2741" t="inlineStr">
        <is>
          <t>HYLTE</t>
        </is>
      </c>
      <c r="G2741" t="n">
        <v>3.7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27627-2023</t>
        </is>
      </c>
      <c r="B2742" s="1" t="n">
        <v>45097</v>
      </c>
      <c r="C2742" s="1" t="n">
        <v>45627</v>
      </c>
      <c r="D2742" t="inlineStr">
        <is>
          <t>HALLANDS LÄN</t>
        </is>
      </c>
      <c r="E2742" t="inlineStr">
        <is>
          <t>HYLTE</t>
        </is>
      </c>
      <c r="G2742" t="n">
        <v>1.8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27549-2023</t>
        </is>
      </c>
      <c r="B2743" s="1" t="n">
        <v>45097</v>
      </c>
      <c r="C2743" s="1" t="n">
        <v>45627</v>
      </c>
      <c r="D2743" t="inlineStr">
        <is>
          <t>HALLANDS LÄN</t>
        </is>
      </c>
      <c r="E2743" t="inlineStr">
        <is>
          <t>LAHOLM</t>
        </is>
      </c>
      <c r="G2743" t="n">
        <v>3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27604-2023</t>
        </is>
      </c>
      <c r="B2744" s="1" t="n">
        <v>45097</v>
      </c>
      <c r="C2744" s="1" t="n">
        <v>45627</v>
      </c>
      <c r="D2744" t="inlineStr">
        <is>
          <t>HALLANDS LÄN</t>
        </is>
      </c>
      <c r="E2744" t="inlineStr">
        <is>
          <t>HYLTE</t>
        </is>
      </c>
      <c r="G2744" t="n">
        <v>4.4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27612-2023</t>
        </is>
      </c>
      <c r="B2745" s="1" t="n">
        <v>45097</v>
      </c>
      <c r="C2745" s="1" t="n">
        <v>45627</v>
      </c>
      <c r="D2745" t="inlineStr">
        <is>
          <t>HALLANDS LÄN</t>
        </is>
      </c>
      <c r="E2745" t="inlineStr">
        <is>
          <t>HYLTE</t>
        </is>
      </c>
      <c r="G2745" t="n">
        <v>1.9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27654-2023</t>
        </is>
      </c>
      <c r="B2746" s="1" t="n">
        <v>45097</v>
      </c>
      <c r="C2746" s="1" t="n">
        <v>45627</v>
      </c>
      <c r="D2746" t="inlineStr">
        <is>
          <t>HALLANDS LÄN</t>
        </is>
      </c>
      <c r="E2746" t="inlineStr">
        <is>
          <t>VARBERG</t>
        </is>
      </c>
      <c r="G2746" t="n">
        <v>1.5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27652-2023</t>
        </is>
      </c>
      <c r="B2747" s="1" t="n">
        <v>45097</v>
      </c>
      <c r="C2747" s="1" t="n">
        <v>45627</v>
      </c>
      <c r="D2747" t="inlineStr">
        <is>
          <t>HALLANDS LÄN</t>
        </is>
      </c>
      <c r="E2747" t="inlineStr">
        <is>
          <t>VARBERG</t>
        </is>
      </c>
      <c r="G2747" t="n">
        <v>3.7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29237-2023</t>
        </is>
      </c>
      <c r="B2748" s="1" t="n">
        <v>45097</v>
      </c>
      <c r="C2748" s="1" t="n">
        <v>45627</v>
      </c>
      <c r="D2748" t="inlineStr">
        <is>
          <t>HALLANDS LÄN</t>
        </is>
      </c>
      <c r="E2748" t="inlineStr">
        <is>
          <t>KUNGSBACKA</t>
        </is>
      </c>
      <c r="F2748" t="inlineStr">
        <is>
          <t>Kyrkan</t>
        </is>
      </c>
      <c r="G2748" t="n">
        <v>1.5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27722-2023</t>
        </is>
      </c>
      <c r="B2749" s="1" t="n">
        <v>45098</v>
      </c>
      <c r="C2749" s="1" t="n">
        <v>45627</v>
      </c>
      <c r="D2749" t="inlineStr">
        <is>
          <t>HALLANDS LÄN</t>
        </is>
      </c>
      <c r="E2749" t="inlineStr">
        <is>
          <t>LAHOLM</t>
        </is>
      </c>
      <c r="G2749" t="n">
        <v>1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27746-2023</t>
        </is>
      </c>
      <c r="B2750" s="1" t="n">
        <v>45098</v>
      </c>
      <c r="C2750" s="1" t="n">
        <v>45627</v>
      </c>
      <c r="D2750" t="inlineStr">
        <is>
          <t>HALLANDS LÄN</t>
        </is>
      </c>
      <c r="E2750" t="inlineStr">
        <is>
          <t>HALMSTAD</t>
        </is>
      </c>
      <c r="F2750" t="inlineStr">
        <is>
          <t>Bergvik skog väst AB</t>
        </is>
      </c>
      <c r="G2750" t="n">
        <v>10.7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27750-2023</t>
        </is>
      </c>
      <c r="B2751" s="1" t="n">
        <v>45098</v>
      </c>
      <c r="C2751" s="1" t="n">
        <v>45627</v>
      </c>
      <c r="D2751" t="inlineStr">
        <is>
          <t>HALLANDS LÄN</t>
        </is>
      </c>
      <c r="E2751" t="inlineStr">
        <is>
          <t>LAHOLM</t>
        </is>
      </c>
      <c r="G2751" t="n">
        <v>0.7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27754-2023</t>
        </is>
      </c>
      <c r="B2752" s="1" t="n">
        <v>45098</v>
      </c>
      <c r="C2752" s="1" t="n">
        <v>45627</v>
      </c>
      <c r="D2752" t="inlineStr">
        <is>
          <t>HALLANDS LÄN</t>
        </is>
      </c>
      <c r="E2752" t="inlineStr">
        <is>
          <t>LAHOLM</t>
        </is>
      </c>
      <c r="G2752" t="n">
        <v>0.5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27723-2023</t>
        </is>
      </c>
      <c r="B2753" s="1" t="n">
        <v>45098</v>
      </c>
      <c r="C2753" s="1" t="n">
        <v>45627</v>
      </c>
      <c r="D2753" t="inlineStr">
        <is>
          <t>HALLANDS LÄN</t>
        </is>
      </c>
      <c r="E2753" t="inlineStr">
        <is>
          <t>LAHOLM</t>
        </is>
      </c>
      <c r="G2753" t="n">
        <v>1.2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27729-2023</t>
        </is>
      </c>
      <c r="B2754" s="1" t="n">
        <v>45098</v>
      </c>
      <c r="C2754" s="1" t="n">
        <v>45627</v>
      </c>
      <c r="D2754" t="inlineStr">
        <is>
          <t>HALLANDS LÄN</t>
        </is>
      </c>
      <c r="E2754" t="inlineStr">
        <is>
          <t>LAHOLM</t>
        </is>
      </c>
      <c r="G2754" t="n">
        <v>1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27743-2023</t>
        </is>
      </c>
      <c r="B2755" s="1" t="n">
        <v>45098</v>
      </c>
      <c r="C2755" s="1" t="n">
        <v>45627</v>
      </c>
      <c r="D2755" t="inlineStr">
        <is>
          <t>HALLANDS LÄN</t>
        </is>
      </c>
      <c r="E2755" t="inlineStr">
        <is>
          <t>LAHOLM</t>
        </is>
      </c>
      <c r="G2755" t="n">
        <v>2.7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27751-2023</t>
        </is>
      </c>
      <c r="B2756" s="1" t="n">
        <v>45098</v>
      </c>
      <c r="C2756" s="1" t="n">
        <v>45627</v>
      </c>
      <c r="D2756" t="inlineStr">
        <is>
          <t>HALLANDS LÄN</t>
        </is>
      </c>
      <c r="E2756" t="inlineStr">
        <is>
          <t>HYLTE</t>
        </is>
      </c>
      <c r="F2756" t="inlineStr">
        <is>
          <t>Bergvik skog väst AB</t>
        </is>
      </c>
      <c r="G2756" t="n">
        <v>2.5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27720-2023</t>
        </is>
      </c>
      <c r="B2757" s="1" t="n">
        <v>45098</v>
      </c>
      <c r="C2757" s="1" t="n">
        <v>45627</v>
      </c>
      <c r="D2757" t="inlineStr">
        <is>
          <t>HALLANDS LÄN</t>
        </is>
      </c>
      <c r="E2757" t="inlineStr">
        <is>
          <t>LAHOLM</t>
        </is>
      </c>
      <c r="G2757" t="n">
        <v>1.5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27752-2023</t>
        </is>
      </c>
      <c r="B2758" s="1" t="n">
        <v>45098</v>
      </c>
      <c r="C2758" s="1" t="n">
        <v>45627</v>
      </c>
      <c r="D2758" t="inlineStr">
        <is>
          <t>HALLANDS LÄN</t>
        </is>
      </c>
      <c r="E2758" t="inlineStr">
        <is>
          <t>LAHOLM</t>
        </is>
      </c>
      <c r="G2758" t="n">
        <v>0.6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27726-2023</t>
        </is>
      </c>
      <c r="B2759" s="1" t="n">
        <v>45098</v>
      </c>
      <c r="C2759" s="1" t="n">
        <v>45627</v>
      </c>
      <c r="D2759" t="inlineStr">
        <is>
          <t>HALLANDS LÄN</t>
        </is>
      </c>
      <c r="E2759" t="inlineStr">
        <is>
          <t>LAHOLM</t>
        </is>
      </c>
      <c r="G2759" t="n">
        <v>3.7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27732-2023</t>
        </is>
      </c>
      <c r="B2760" s="1" t="n">
        <v>45098</v>
      </c>
      <c r="C2760" s="1" t="n">
        <v>45627</v>
      </c>
      <c r="D2760" t="inlineStr">
        <is>
          <t>HALLANDS LÄN</t>
        </is>
      </c>
      <c r="E2760" t="inlineStr">
        <is>
          <t>LAHOLM</t>
        </is>
      </c>
      <c r="G2760" t="n">
        <v>1.8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27745-2023</t>
        </is>
      </c>
      <c r="B2761" s="1" t="n">
        <v>45098</v>
      </c>
      <c r="C2761" s="1" t="n">
        <v>45627</v>
      </c>
      <c r="D2761" t="inlineStr">
        <is>
          <t>HALLANDS LÄN</t>
        </is>
      </c>
      <c r="E2761" t="inlineStr">
        <is>
          <t>LAHOLM</t>
        </is>
      </c>
      <c r="G2761" t="n">
        <v>1.7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27757-2023</t>
        </is>
      </c>
      <c r="B2762" s="1" t="n">
        <v>45098</v>
      </c>
      <c r="C2762" s="1" t="n">
        <v>45627</v>
      </c>
      <c r="D2762" t="inlineStr">
        <is>
          <t>HALLANDS LÄN</t>
        </is>
      </c>
      <c r="E2762" t="inlineStr">
        <is>
          <t>HYLTE</t>
        </is>
      </c>
      <c r="F2762" t="inlineStr">
        <is>
          <t>Bergvik skog väst AB</t>
        </is>
      </c>
      <c r="G2762" t="n">
        <v>1.7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28036-2023</t>
        </is>
      </c>
      <c r="B2763" s="1" t="n">
        <v>45099</v>
      </c>
      <c r="C2763" s="1" t="n">
        <v>45627</v>
      </c>
      <c r="D2763" t="inlineStr">
        <is>
          <t>HALLANDS LÄN</t>
        </is>
      </c>
      <c r="E2763" t="inlineStr">
        <is>
          <t>KUNGSBACKA</t>
        </is>
      </c>
      <c r="G2763" t="n">
        <v>3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28098-2023</t>
        </is>
      </c>
      <c r="B2764" s="1" t="n">
        <v>45099</v>
      </c>
      <c r="C2764" s="1" t="n">
        <v>45627</v>
      </c>
      <c r="D2764" t="inlineStr">
        <is>
          <t>HALLANDS LÄN</t>
        </is>
      </c>
      <c r="E2764" t="inlineStr">
        <is>
          <t>HALMSTAD</t>
        </is>
      </c>
      <c r="G2764" t="n">
        <v>2.3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28173-2023</t>
        </is>
      </c>
      <c r="B2765" s="1" t="n">
        <v>45099</v>
      </c>
      <c r="C2765" s="1" t="n">
        <v>45627</v>
      </c>
      <c r="D2765" t="inlineStr">
        <is>
          <t>HALLANDS LÄN</t>
        </is>
      </c>
      <c r="E2765" t="inlineStr">
        <is>
          <t>FALKENBERG</t>
        </is>
      </c>
      <c r="G2765" t="n">
        <v>9.5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28069-2023</t>
        </is>
      </c>
      <c r="B2766" s="1" t="n">
        <v>45099</v>
      </c>
      <c r="C2766" s="1" t="n">
        <v>45627</v>
      </c>
      <c r="D2766" t="inlineStr">
        <is>
          <t>HALLANDS LÄN</t>
        </is>
      </c>
      <c r="E2766" t="inlineStr">
        <is>
          <t>HALMSTAD</t>
        </is>
      </c>
      <c r="G2766" t="n">
        <v>0.9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28145-2023</t>
        </is>
      </c>
      <c r="B2767" s="1" t="n">
        <v>45099</v>
      </c>
      <c r="C2767" s="1" t="n">
        <v>45627</v>
      </c>
      <c r="D2767" t="inlineStr">
        <is>
          <t>HALLANDS LÄN</t>
        </is>
      </c>
      <c r="E2767" t="inlineStr">
        <is>
          <t>HALMSTAD</t>
        </is>
      </c>
      <c r="G2767" t="n">
        <v>0.7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28361-2023</t>
        </is>
      </c>
      <c r="B2768" s="1" t="n">
        <v>45100</v>
      </c>
      <c r="C2768" s="1" t="n">
        <v>45627</v>
      </c>
      <c r="D2768" t="inlineStr">
        <is>
          <t>HALLANDS LÄN</t>
        </is>
      </c>
      <c r="E2768" t="inlineStr">
        <is>
          <t>HALMSTAD</t>
        </is>
      </c>
      <c r="G2768" t="n">
        <v>1.3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30093-2023</t>
        </is>
      </c>
      <c r="B2769" s="1" t="n">
        <v>45099</v>
      </c>
      <c r="C2769" s="1" t="n">
        <v>45627</v>
      </c>
      <c r="D2769" t="inlineStr">
        <is>
          <t>HALLANDS LÄN</t>
        </is>
      </c>
      <c r="E2769" t="inlineStr">
        <is>
          <t>HALMSTAD</t>
        </is>
      </c>
      <c r="G2769" t="n">
        <v>0.7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30088-2023</t>
        </is>
      </c>
      <c r="B2770" s="1" t="n">
        <v>45099</v>
      </c>
      <c r="C2770" s="1" t="n">
        <v>45627</v>
      </c>
      <c r="D2770" t="inlineStr">
        <is>
          <t>HALLANDS LÄN</t>
        </is>
      </c>
      <c r="E2770" t="inlineStr">
        <is>
          <t>HALMSTAD</t>
        </is>
      </c>
      <c r="G2770" t="n">
        <v>2.9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28611-2023</t>
        </is>
      </c>
      <c r="B2771" s="1" t="n">
        <v>45103</v>
      </c>
      <c r="C2771" s="1" t="n">
        <v>45627</v>
      </c>
      <c r="D2771" t="inlineStr">
        <is>
          <t>HALLANDS LÄN</t>
        </is>
      </c>
      <c r="E2771" t="inlineStr">
        <is>
          <t>KUNGSBACKA</t>
        </is>
      </c>
      <c r="G2771" t="n">
        <v>0.7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28608-2023</t>
        </is>
      </c>
      <c r="B2772" s="1" t="n">
        <v>45103</v>
      </c>
      <c r="C2772" s="1" t="n">
        <v>45627</v>
      </c>
      <c r="D2772" t="inlineStr">
        <is>
          <t>HALLANDS LÄN</t>
        </is>
      </c>
      <c r="E2772" t="inlineStr">
        <is>
          <t>KUNGSBACKA</t>
        </is>
      </c>
      <c r="G2772" t="n">
        <v>0.6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28610-2023</t>
        </is>
      </c>
      <c r="B2773" s="1" t="n">
        <v>45103</v>
      </c>
      <c r="C2773" s="1" t="n">
        <v>45627</v>
      </c>
      <c r="D2773" t="inlineStr">
        <is>
          <t>HALLANDS LÄN</t>
        </is>
      </c>
      <c r="E2773" t="inlineStr">
        <is>
          <t>KUNGSBACKA</t>
        </is>
      </c>
      <c r="G2773" t="n">
        <v>1.1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28800-2023</t>
        </is>
      </c>
      <c r="B2774" s="1" t="n">
        <v>45104</v>
      </c>
      <c r="C2774" s="1" t="n">
        <v>45627</v>
      </c>
      <c r="D2774" t="inlineStr">
        <is>
          <t>HALLANDS LÄN</t>
        </is>
      </c>
      <c r="E2774" t="inlineStr">
        <is>
          <t>LAHOLM</t>
        </is>
      </c>
      <c r="G2774" t="n">
        <v>2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28803-2023</t>
        </is>
      </c>
      <c r="B2775" s="1" t="n">
        <v>45104</v>
      </c>
      <c r="C2775" s="1" t="n">
        <v>45627</v>
      </c>
      <c r="D2775" t="inlineStr">
        <is>
          <t>HALLANDS LÄN</t>
        </is>
      </c>
      <c r="E2775" t="inlineStr">
        <is>
          <t>HYLTE</t>
        </is>
      </c>
      <c r="G2775" t="n">
        <v>4.1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28842-2023</t>
        </is>
      </c>
      <c r="B2776" s="1" t="n">
        <v>45104</v>
      </c>
      <c r="C2776" s="1" t="n">
        <v>45627</v>
      </c>
      <c r="D2776" t="inlineStr">
        <is>
          <t>HALLANDS LÄN</t>
        </is>
      </c>
      <c r="E2776" t="inlineStr">
        <is>
          <t>VARBERG</t>
        </is>
      </c>
      <c r="G2776" t="n">
        <v>1.3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29023-2023</t>
        </is>
      </c>
      <c r="B2777" s="1" t="n">
        <v>45104</v>
      </c>
      <c r="C2777" s="1" t="n">
        <v>45627</v>
      </c>
      <c r="D2777" t="inlineStr">
        <is>
          <t>HALLANDS LÄN</t>
        </is>
      </c>
      <c r="E2777" t="inlineStr">
        <is>
          <t>HALMSTAD</t>
        </is>
      </c>
      <c r="G2777" t="n">
        <v>1.9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28789-2023</t>
        </is>
      </c>
      <c r="B2778" s="1" t="n">
        <v>45104</v>
      </c>
      <c r="C2778" s="1" t="n">
        <v>45627</v>
      </c>
      <c r="D2778" t="inlineStr">
        <is>
          <t>HALLANDS LÄN</t>
        </is>
      </c>
      <c r="E2778" t="inlineStr">
        <is>
          <t>LAHOLM</t>
        </is>
      </c>
      <c r="G2778" t="n">
        <v>10.8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29021-2023</t>
        </is>
      </c>
      <c r="B2779" s="1" t="n">
        <v>45104</v>
      </c>
      <c r="C2779" s="1" t="n">
        <v>45627</v>
      </c>
      <c r="D2779" t="inlineStr">
        <is>
          <t>HALLANDS LÄN</t>
        </is>
      </c>
      <c r="E2779" t="inlineStr">
        <is>
          <t>HALMSTAD</t>
        </is>
      </c>
      <c r="G2779" t="n">
        <v>2.6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28835-2023</t>
        </is>
      </c>
      <c r="B2780" s="1" t="n">
        <v>45104</v>
      </c>
      <c r="C2780" s="1" t="n">
        <v>45627</v>
      </c>
      <c r="D2780" t="inlineStr">
        <is>
          <t>HALLANDS LÄN</t>
        </is>
      </c>
      <c r="E2780" t="inlineStr">
        <is>
          <t>HYLTE</t>
        </is>
      </c>
      <c r="G2780" t="n">
        <v>2.8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28843-2023</t>
        </is>
      </c>
      <c r="B2781" s="1" t="n">
        <v>45104</v>
      </c>
      <c r="C2781" s="1" t="n">
        <v>45627</v>
      </c>
      <c r="D2781" t="inlineStr">
        <is>
          <t>HALLANDS LÄN</t>
        </is>
      </c>
      <c r="E2781" t="inlineStr">
        <is>
          <t>VARBERG</t>
        </is>
      </c>
      <c r="G2781" t="n">
        <v>4.4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28960-2023</t>
        </is>
      </c>
      <c r="B2782" s="1" t="n">
        <v>45104</v>
      </c>
      <c r="C2782" s="1" t="n">
        <v>45627</v>
      </c>
      <c r="D2782" t="inlineStr">
        <is>
          <t>HALLANDS LÄN</t>
        </is>
      </c>
      <c r="E2782" t="inlineStr">
        <is>
          <t>HYLTE</t>
        </is>
      </c>
      <c r="G2782" t="n">
        <v>0.7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28845-2023</t>
        </is>
      </c>
      <c r="B2783" s="1" t="n">
        <v>45104</v>
      </c>
      <c r="C2783" s="1" t="n">
        <v>45627</v>
      </c>
      <c r="D2783" t="inlineStr">
        <is>
          <t>HALLANDS LÄN</t>
        </is>
      </c>
      <c r="E2783" t="inlineStr">
        <is>
          <t>HYLTE</t>
        </is>
      </c>
      <c r="G2783" t="n">
        <v>1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29201-2023</t>
        </is>
      </c>
      <c r="B2784" s="1" t="n">
        <v>45105</v>
      </c>
      <c r="C2784" s="1" t="n">
        <v>45627</v>
      </c>
      <c r="D2784" t="inlineStr">
        <is>
          <t>HALLANDS LÄN</t>
        </is>
      </c>
      <c r="E2784" t="inlineStr">
        <is>
          <t>FALKENBERG</t>
        </is>
      </c>
      <c r="G2784" t="n">
        <v>3.6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29391-2023</t>
        </is>
      </c>
      <c r="B2785" s="1" t="n">
        <v>45106</v>
      </c>
      <c r="C2785" s="1" t="n">
        <v>45627</v>
      </c>
      <c r="D2785" t="inlineStr">
        <is>
          <t>HALLANDS LÄN</t>
        </is>
      </c>
      <c r="E2785" t="inlineStr">
        <is>
          <t>VARBERG</t>
        </is>
      </c>
      <c r="G2785" t="n">
        <v>1.3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29518-2023</t>
        </is>
      </c>
      <c r="B2786" s="1" t="n">
        <v>45106</v>
      </c>
      <c r="C2786" s="1" t="n">
        <v>45627</v>
      </c>
      <c r="D2786" t="inlineStr">
        <is>
          <t>HALLANDS LÄN</t>
        </is>
      </c>
      <c r="E2786" t="inlineStr">
        <is>
          <t>LAHOLM</t>
        </is>
      </c>
      <c r="G2786" t="n">
        <v>0.7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29527-2023</t>
        </is>
      </c>
      <c r="B2787" s="1" t="n">
        <v>45106</v>
      </c>
      <c r="C2787" s="1" t="n">
        <v>45627</v>
      </c>
      <c r="D2787" t="inlineStr">
        <is>
          <t>HALLANDS LÄN</t>
        </is>
      </c>
      <c r="E2787" t="inlineStr">
        <is>
          <t>LAHOLM</t>
        </is>
      </c>
      <c r="G2787" t="n">
        <v>1.1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29819-2023</t>
        </is>
      </c>
      <c r="B2788" s="1" t="n">
        <v>45107</v>
      </c>
      <c r="C2788" s="1" t="n">
        <v>45627</v>
      </c>
      <c r="D2788" t="inlineStr">
        <is>
          <t>HALLANDS LÄN</t>
        </is>
      </c>
      <c r="E2788" t="inlineStr">
        <is>
          <t>HYLTE</t>
        </is>
      </c>
      <c r="G2788" t="n">
        <v>4.3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29718-2023</t>
        </is>
      </c>
      <c r="B2789" s="1" t="n">
        <v>45107</v>
      </c>
      <c r="C2789" s="1" t="n">
        <v>45627</v>
      </c>
      <c r="D2789" t="inlineStr">
        <is>
          <t>HALLANDS LÄN</t>
        </is>
      </c>
      <c r="E2789" t="inlineStr">
        <is>
          <t>HYLTE</t>
        </is>
      </c>
      <c r="G2789" t="n">
        <v>1.7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29985-2023</t>
        </is>
      </c>
      <c r="B2790" s="1" t="n">
        <v>45109</v>
      </c>
      <c r="C2790" s="1" t="n">
        <v>45627</v>
      </c>
      <c r="D2790" t="inlineStr">
        <is>
          <t>HALLANDS LÄN</t>
        </is>
      </c>
      <c r="E2790" t="inlineStr">
        <is>
          <t>HYLTE</t>
        </is>
      </c>
      <c r="G2790" t="n">
        <v>1.2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32296-2023</t>
        </is>
      </c>
      <c r="B2791" s="1" t="n">
        <v>45109</v>
      </c>
      <c r="C2791" s="1" t="n">
        <v>45627</v>
      </c>
      <c r="D2791" t="inlineStr">
        <is>
          <t>HALLANDS LÄN</t>
        </is>
      </c>
      <c r="E2791" t="inlineStr">
        <is>
          <t>HYLTE</t>
        </is>
      </c>
      <c r="G2791" t="n">
        <v>1.9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32798-2023</t>
        </is>
      </c>
      <c r="B2792" s="1" t="n">
        <v>45109</v>
      </c>
      <c r="C2792" s="1" t="n">
        <v>45627</v>
      </c>
      <c r="D2792" t="inlineStr">
        <is>
          <t>HALLANDS LÄN</t>
        </is>
      </c>
      <c r="E2792" t="inlineStr">
        <is>
          <t>HYLTE</t>
        </is>
      </c>
      <c r="G2792" t="n">
        <v>1.1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30041-2023</t>
        </is>
      </c>
      <c r="B2793" s="1" t="n">
        <v>45110</v>
      </c>
      <c r="C2793" s="1" t="n">
        <v>45627</v>
      </c>
      <c r="D2793" t="inlineStr">
        <is>
          <t>HALLANDS LÄN</t>
        </is>
      </c>
      <c r="E2793" t="inlineStr">
        <is>
          <t>HYLTE</t>
        </is>
      </c>
      <c r="G2793" t="n">
        <v>2.6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30043-2023</t>
        </is>
      </c>
      <c r="B2794" s="1" t="n">
        <v>45110</v>
      </c>
      <c r="C2794" s="1" t="n">
        <v>45627</v>
      </c>
      <c r="D2794" t="inlineStr">
        <is>
          <t>HALLANDS LÄN</t>
        </is>
      </c>
      <c r="E2794" t="inlineStr">
        <is>
          <t>HYLTE</t>
        </is>
      </c>
      <c r="G2794" t="n">
        <v>1.6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32505-2023</t>
        </is>
      </c>
      <c r="B2795" s="1" t="n">
        <v>45110</v>
      </c>
      <c r="C2795" s="1" t="n">
        <v>45627</v>
      </c>
      <c r="D2795" t="inlineStr">
        <is>
          <t>HALLANDS LÄN</t>
        </is>
      </c>
      <c r="E2795" t="inlineStr">
        <is>
          <t>HYLTE</t>
        </is>
      </c>
      <c r="G2795" t="n">
        <v>4.2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30542-2023</t>
        </is>
      </c>
      <c r="B2796" s="1" t="n">
        <v>45111</v>
      </c>
      <c r="C2796" s="1" t="n">
        <v>45627</v>
      </c>
      <c r="D2796" t="inlineStr">
        <is>
          <t>HALLANDS LÄN</t>
        </is>
      </c>
      <c r="E2796" t="inlineStr">
        <is>
          <t>VARBERG</t>
        </is>
      </c>
      <c r="G2796" t="n">
        <v>5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30729-2023</t>
        </is>
      </c>
      <c r="B2797" s="1" t="n">
        <v>45112</v>
      </c>
      <c r="C2797" s="1" t="n">
        <v>45627</v>
      </c>
      <c r="D2797" t="inlineStr">
        <is>
          <t>HALLANDS LÄN</t>
        </is>
      </c>
      <c r="E2797" t="inlineStr">
        <is>
          <t>HYLTE</t>
        </is>
      </c>
      <c r="G2797" t="n">
        <v>1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30716-2023</t>
        </is>
      </c>
      <c r="B2798" s="1" t="n">
        <v>45112</v>
      </c>
      <c r="C2798" s="1" t="n">
        <v>45627</v>
      </c>
      <c r="D2798" t="inlineStr">
        <is>
          <t>HALLANDS LÄN</t>
        </is>
      </c>
      <c r="E2798" t="inlineStr">
        <is>
          <t>KUNGSBACKA</t>
        </is>
      </c>
      <c r="G2798" t="n">
        <v>1.2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30796-2023</t>
        </is>
      </c>
      <c r="B2799" s="1" t="n">
        <v>45112</v>
      </c>
      <c r="C2799" s="1" t="n">
        <v>45627</v>
      </c>
      <c r="D2799" t="inlineStr">
        <is>
          <t>HALLANDS LÄN</t>
        </is>
      </c>
      <c r="E2799" t="inlineStr">
        <is>
          <t>LAHOLM</t>
        </is>
      </c>
      <c r="G2799" t="n">
        <v>2.3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30797-2023</t>
        </is>
      </c>
      <c r="B2800" s="1" t="n">
        <v>45112</v>
      </c>
      <c r="C2800" s="1" t="n">
        <v>45627</v>
      </c>
      <c r="D2800" t="inlineStr">
        <is>
          <t>HALLANDS LÄN</t>
        </is>
      </c>
      <c r="E2800" t="inlineStr">
        <is>
          <t>LAHOLM</t>
        </is>
      </c>
      <c r="G2800" t="n">
        <v>1.1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30798-2023</t>
        </is>
      </c>
      <c r="B2801" s="1" t="n">
        <v>45112</v>
      </c>
      <c r="C2801" s="1" t="n">
        <v>45627</v>
      </c>
      <c r="D2801" t="inlineStr">
        <is>
          <t>HALLANDS LÄN</t>
        </is>
      </c>
      <c r="E2801" t="inlineStr">
        <is>
          <t>LAHOLM</t>
        </is>
      </c>
      <c r="G2801" t="n">
        <v>0.5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30868-2023</t>
        </is>
      </c>
      <c r="B2802" s="1" t="n">
        <v>45113</v>
      </c>
      <c r="C2802" s="1" t="n">
        <v>45627</v>
      </c>
      <c r="D2802" t="inlineStr">
        <is>
          <t>HALLANDS LÄN</t>
        </is>
      </c>
      <c r="E2802" t="inlineStr">
        <is>
          <t>LAHOLM</t>
        </is>
      </c>
      <c r="G2802" t="n">
        <v>0.7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30937-2023</t>
        </is>
      </c>
      <c r="B2803" s="1" t="n">
        <v>45113</v>
      </c>
      <c r="C2803" s="1" t="n">
        <v>45627</v>
      </c>
      <c r="D2803" t="inlineStr">
        <is>
          <t>HALLANDS LÄN</t>
        </is>
      </c>
      <c r="E2803" t="inlineStr">
        <is>
          <t>FALKENBERG</t>
        </is>
      </c>
      <c r="G2803" t="n">
        <v>1.4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30941-2023</t>
        </is>
      </c>
      <c r="B2804" s="1" t="n">
        <v>45113</v>
      </c>
      <c r="C2804" s="1" t="n">
        <v>45627</v>
      </c>
      <c r="D2804" t="inlineStr">
        <is>
          <t>HALLANDS LÄN</t>
        </is>
      </c>
      <c r="E2804" t="inlineStr">
        <is>
          <t>VARBERG</t>
        </is>
      </c>
      <c r="G2804" t="n">
        <v>1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30862-2023</t>
        </is>
      </c>
      <c r="B2805" s="1" t="n">
        <v>45113</v>
      </c>
      <c r="C2805" s="1" t="n">
        <v>45627</v>
      </c>
      <c r="D2805" t="inlineStr">
        <is>
          <t>HALLANDS LÄN</t>
        </is>
      </c>
      <c r="E2805" t="inlineStr">
        <is>
          <t>FALKENBERG</t>
        </is>
      </c>
      <c r="G2805" t="n">
        <v>1.5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30926-2023</t>
        </is>
      </c>
      <c r="B2806" s="1" t="n">
        <v>45113</v>
      </c>
      <c r="C2806" s="1" t="n">
        <v>45627</v>
      </c>
      <c r="D2806" t="inlineStr">
        <is>
          <t>HALLANDS LÄN</t>
        </is>
      </c>
      <c r="E2806" t="inlineStr">
        <is>
          <t>VARBERG</t>
        </is>
      </c>
      <c r="G2806" t="n">
        <v>8.4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30996-2023</t>
        </is>
      </c>
      <c r="B2807" s="1" t="n">
        <v>45113</v>
      </c>
      <c r="C2807" s="1" t="n">
        <v>45627</v>
      </c>
      <c r="D2807" t="inlineStr">
        <is>
          <t>HALLANDS LÄN</t>
        </is>
      </c>
      <c r="E2807" t="inlineStr">
        <is>
          <t>KUNGSBACKA</t>
        </is>
      </c>
      <c r="G2807" t="n">
        <v>1.2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31000-2023</t>
        </is>
      </c>
      <c r="B2808" s="1" t="n">
        <v>45113</v>
      </c>
      <c r="C2808" s="1" t="n">
        <v>45627</v>
      </c>
      <c r="D2808" t="inlineStr">
        <is>
          <t>HALLANDS LÄN</t>
        </is>
      </c>
      <c r="E2808" t="inlineStr">
        <is>
          <t>KUNGSBACKA</t>
        </is>
      </c>
      <c r="G2808" t="n">
        <v>1.2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31087-2023</t>
        </is>
      </c>
      <c r="B2809" s="1" t="n">
        <v>45113</v>
      </c>
      <c r="C2809" s="1" t="n">
        <v>45627</v>
      </c>
      <c r="D2809" t="inlineStr">
        <is>
          <t>HALLANDS LÄN</t>
        </is>
      </c>
      <c r="E2809" t="inlineStr">
        <is>
          <t>KUNGSBACKA</t>
        </is>
      </c>
      <c r="G2809" t="n">
        <v>4.6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31114-2023</t>
        </is>
      </c>
      <c r="B2810" s="1" t="n">
        <v>45113</v>
      </c>
      <c r="C2810" s="1" t="n">
        <v>45627</v>
      </c>
      <c r="D2810" t="inlineStr">
        <is>
          <t>HALLANDS LÄN</t>
        </is>
      </c>
      <c r="E2810" t="inlineStr">
        <is>
          <t>VARBERG</t>
        </is>
      </c>
      <c r="G2810" t="n">
        <v>1.4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31233-2023</t>
        </is>
      </c>
      <c r="B2811" s="1" t="n">
        <v>45114</v>
      </c>
      <c r="C2811" s="1" t="n">
        <v>45627</v>
      </c>
      <c r="D2811" t="inlineStr">
        <is>
          <t>HALLANDS LÄN</t>
        </is>
      </c>
      <c r="E2811" t="inlineStr">
        <is>
          <t>LAHOLM</t>
        </is>
      </c>
      <c r="G2811" t="n">
        <v>2.1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31222-2023</t>
        </is>
      </c>
      <c r="B2812" s="1" t="n">
        <v>45114</v>
      </c>
      <c r="C2812" s="1" t="n">
        <v>45627</v>
      </c>
      <c r="D2812" t="inlineStr">
        <is>
          <t>HALLANDS LÄN</t>
        </is>
      </c>
      <c r="E2812" t="inlineStr">
        <is>
          <t>LAHOLM</t>
        </is>
      </c>
      <c r="G2812" t="n">
        <v>0.9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31265-2023</t>
        </is>
      </c>
      <c r="B2813" s="1" t="n">
        <v>45114</v>
      </c>
      <c r="C2813" s="1" t="n">
        <v>45627</v>
      </c>
      <c r="D2813" t="inlineStr">
        <is>
          <t>HALLANDS LÄN</t>
        </is>
      </c>
      <c r="E2813" t="inlineStr">
        <is>
          <t>HYLTE</t>
        </is>
      </c>
      <c r="G2813" t="n">
        <v>0.3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31568-2023</t>
        </is>
      </c>
      <c r="B2814" s="1" t="n">
        <v>45117</v>
      </c>
      <c r="C2814" s="1" t="n">
        <v>45627</v>
      </c>
      <c r="D2814" t="inlineStr">
        <is>
          <t>HALLANDS LÄN</t>
        </is>
      </c>
      <c r="E2814" t="inlineStr">
        <is>
          <t>FALKENBERG</t>
        </is>
      </c>
      <c r="G2814" t="n">
        <v>0.4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31650-2023</t>
        </is>
      </c>
      <c r="B2815" s="1" t="n">
        <v>45117</v>
      </c>
      <c r="C2815" s="1" t="n">
        <v>45627</v>
      </c>
      <c r="D2815" t="inlineStr">
        <is>
          <t>HALLANDS LÄN</t>
        </is>
      </c>
      <c r="E2815" t="inlineStr">
        <is>
          <t>HYLTE</t>
        </is>
      </c>
      <c r="G2815" t="n">
        <v>1.6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31631-2023</t>
        </is>
      </c>
      <c r="B2816" s="1" t="n">
        <v>45117</v>
      </c>
      <c r="C2816" s="1" t="n">
        <v>45627</v>
      </c>
      <c r="D2816" t="inlineStr">
        <is>
          <t>HALLANDS LÄN</t>
        </is>
      </c>
      <c r="E2816" t="inlineStr">
        <is>
          <t>LAHOLM</t>
        </is>
      </c>
      <c r="F2816" t="inlineStr">
        <is>
          <t>Sveaskog</t>
        </is>
      </c>
      <c r="G2816" t="n">
        <v>5.9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31570-2023</t>
        </is>
      </c>
      <c r="B2817" s="1" t="n">
        <v>45117</v>
      </c>
      <c r="C2817" s="1" t="n">
        <v>45627</v>
      </c>
      <c r="D2817" t="inlineStr">
        <is>
          <t>HALLANDS LÄN</t>
        </is>
      </c>
      <c r="E2817" t="inlineStr">
        <is>
          <t>FALKENBERG</t>
        </is>
      </c>
      <c r="G2817" t="n">
        <v>0.6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31656-2023</t>
        </is>
      </c>
      <c r="B2818" s="1" t="n">
        <v>45117</v>
      </c>
      <c r="C2818" s="1" t="n">
        <v>45627</v>
      </c>
      <c r="D2818" t="inlineStr">
        <is>
          <t>HALLANDS LÄN</t>
        </is>
      </c>
      <c r="E2818" t="inlineStr">
        <is>
          <t>HALMSTAD</t>
        </is>
      </c>
      <c r="G2818" t="n">
        <v>0.7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31835-2023</t>
        </is>
      </c>
      <c r="B2819" s="1" t="n">
        <v>45118</v>
      </c>
      <c r="C2819" s="1" t="n">
        <v>45627</v>
      </c>
      <c r="D2819" t="inlineStr">
        <is>
          <t>HALLANDS LÄN</t>
        </is>
      </c>
      <c r="E2819" t="inlineStr">
        <is>
          <t>HYLTE</t>
        </is>
      </c>
      <c r="G2819" t="n">
        <v>1.9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31885-2023</t>
        </is>
      </c>
      <c r="B2820" s="1" t="n">
        <v>45118</v>
      </c>
      <c r="C2820" s="1" t="n">
        <v>45627</v>
      </c>
      <c r="D2820" t="inlineStr">
        <is>
          <t>HALLANDS LÄN</t>
        </is>
      </c>
      <c r="E2820" t="inlineStr">
        <is>
          <t>KUNGSBACKA</t>
        </is>
      </c>
      <c r="G2820" t="n">
        <v>1.3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31856-2023</t>
        </is>
      </c>
      <c r="B2821" s="1" t="n">
        <v>45118</v>
      </c>
      <c r="C2821" s="1" t="n">
        <v>45627</v>
      </c>
      <c r="D2821" t="inlineStr">
        <is>
          <t>HALLANDS LÄN</t>
        </is>
      </c>
      <c r="E2821" t="inlineStr">
        <is>
          <t>FALKENBERG</t>
        </is>
      </c>
      <c r="G2821" t="n">
        <v>2.5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31937-2023</t>
        </is>
      </c>
      <c r="B2822" s="1" t="n">
        <v>45119</v>
      </c>
      <c r="C2822" s="1" t="n">
        <v>45627</v>
      </c>
      <c r="D2822" t="inlineStr">
        <is>
          <t>HALLANDS LÄN</t>
        </is>
      </c>
      <c r="E2822" t="inlineStr">
        <is>
          <t>LAHOLM</t>
        </is>
      </c>
      <c r="G2822" t="n">
        <v>12.9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31997-2023</t>
        </is>
      </c>
      <c r="B2823" s="1" t="n">
        <v>45119</v>
      </c>
      <c r="C2823" s="1" t="n">
        <v>45627</v>
      </c>
      <c r="D2823" t="inlineStr">
        <is>
          <t>HALLANDS LÄN</t>
        </is>
      </c>
      <c r="E2823" t="inlineStr">
        <is>
          <t>VARBERG</t>
        </is>
      </c>
      <c r="G2823" t="n">
        <v>10.3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32178-2023</t>
        </is>
      </c>
      <c r="B2824" s="1" t="n">
        <v>45119</v>
      </c>
      <c r="C2824" s="1" t="n">
        <v>45627</v>
      </c>
      <c r="D2824" t="inlineStr">
        <is>
          <t>HALLANDS LÄN</t>
        </is>
      </c>
      <c r="E2824" t="inlineStr">
        <is>
          <t>KUNGSBACKA</t>
        </is>
      </c>
      <c r="G2824" t="n">
        <v>7.3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31939-2023</t>
        </is>
      </c>
      <c r="B2825" s="1" t="n">
        <v>45119</v>
      </c>
      <c r="C2825" s="1" t="n">
        <v>45627</v>
      </c>
      <c r="D2825" t="inlineStr">
        <is>
          <t>HALLANDS LÄN</t>
        </is>
      </c>
      <c r="E2825" t="inlineStr">
        <is>
          <t>LAHOLM</t>
        </is>
      </c>
      <c r="G2825" t="n">
        <v>4.5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31940-2023</t>
        </is>
      </c>
      <c r="B2826" s="1" t="n">
        <v>45119</v>
      </c>
      <c r="C2826" s="1" t="n">
        <v>45627</v>
      </c>
      <c r="D2826" t="inlineStr">
        <is>
          <t>HALLANDS LÄN</t>
        </is>
      </c>
      <c r="E2826" t="inlineStr">
        <is>
          <t>LAHOLM</t>
        </is>
      </c>
      <c r="G2826" t="n">
        <v>1.4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32003-2023</t>
        </is>
      </c>
      <c r="B2827" s="1" t="n">
        <v>45119</v>
      </c>
      <c r="C2827" s="1" t="n">
        <v>45627</v>
      </c>
      <c r="D2827" t="inlineStr">
        <is>
          <t>HALLANDS LÄN</t>
        </is>
      </c>
      <c r="E2827" t="inlineStr">
        <is>
          <t>FALKENBERG</t>
        </is>
      </c>
      <c r="G2827" t="n">
        <v>10.8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32408-2023</t>
        </is>
      </c>
      <c r="B2828" s="1" t="n">
        <v>45120</v>
      </c>
      <c r="C2828" s="1" t="n">
        <v>45627</v>
      </c>
      <c r="D2828" t="inlineStr">
        <is>
          <t>HALLANDS LÄN</t>
        </is>
      </c>
      <c r="E2828" t="inlineStr">
        <is>
          <t>FALKENBERG</t>
        </is>
      </c>
      <c r="G2828" t="n">
        <v>2.8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32402-2023</t>
        </is>
      </c>
      <c r="B2829" s="1" t="n">
        <v>45120</v>
      </c>
      <c r="C2829" s="1" t="n">
        <v>45627</v>
      </c>
      <c r="D2829" t="inlineStr">
        <is>
          <t>HALLANDS LÄN</t>
        </is>
      </c>
      <c r="E2829" t="inlineStr">
        <is>
          <t>FALKENBERG</t>
        </is>
      </c>
      <c r="G2829" t="n">
        <v>5.5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32554-2023</t>
        </is>
      </c>
      <c r="B2830" s="1" t="n">
        <v>45121</v>
      </c>
      <c r="C2830" s="1" t="n">
        <v>45627</v>
      </c>
      <c r="D2830" t="inlineStr">
        <is>
          <t>HALLANDS LÄN</t>
        </is>
      </c>
      <c r="E2830" t="inlineStr">
        <is>
          <t>LAHOLM</t>
        </is>
      </c>
      <c r="G2830" t="n">
        <v>2.4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32753-2023</t>
        </is>
      </c>
      <c r="B2831" s="1" t="n">
        <v>45122</v>
      </c>
      <c r="C2831" s="1" t="n">
        <v>45627</v>
      </c>
      <c r="D2831" t="inlineStr">
        <is>
          <t>HALLANDS LÄN</t>
        </is>
      </c>
      <c r="E2831" t="inlineStr">
        <is>
          <t>HALMSTAD</t>
        </is>
      </c>
      <c r="G2831" t="n">
        <v>2.7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32772-2023</t>
        </is>
      </c>
      <c r="B2832" s="1" t="n">
        <v>45123</v>
      </c>
      <c r="C2832" s="1" t="n">
        <v>45627</v>
      </c>
      <c r="D2832" t="inlineStr">
        <is>
          <t>HALLANDS LÄN</t>
        </is>
      </c>
      <c r="E2832" t="inlineStr">
        <is>
          <t>LAHOLM</t>
        </is>
      </c>
      <c r="G2832" t="n">
        <v>1.7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32974-2023</t>
        </is>
      </c>
      <c r="B2833" s="1" t="n">
        <v>45125</v>
      </c>
      <c r="C2833" s="1" t="n">
        <v>45627</v>
      </c>
      <c r="D2833" t="inlineStr">
        <is>
          <t>HALLANDS LÄN</t>
        </is>
      </c>
      <c r="E2833" t="inlineStr">
        <is>
          <t>VARBERG</t>
        </is>
      </c>
      <c r="G2833" t="n">
        <v>2.3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33163-2023</t>
        </is>
      </c>
      <c r="B2834" s="1" t="n">
        <v>45126</v>
      </c>
      <c r="C2834" s="1" t="n">
        <v>45627</v>
      </c>
      <c r="D2834" t="inlineStr">
        <is>
          <t>HALLANDS LÄN</t>
        </is>
      </c>
      <c r="E2834" t="inlineStr">
        <is>
          <t>LAHOLM</t>
        </is>
      </c>
      <c r="G2834" t="n">
        <v>2.8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33154-2023</t>
        </is>
      </c>
      <c r="B2835" s="1" t="n">
        <v>45126</v>
      </c>
      <c r="C2835" s="1" t="n">
        <v>45627</v>
      </c>
      <c r="D2835" t="inlineStr">
        <is>
          <t>HALLANDS LÄN</t>
        </is>
      </c>
      <c r="E2835" t="inlineStr">
        <is>
          <t>HYLTE</t>
        </is>
      </c>
      <c r="G2835" t="n">
        <v>4.7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34114-2023</t>
        </is>
      </c>
      <c r="B2836" s="1" t="n">
        <v>45126</v>
      </c>
      <c r="C2836" s="1" t="n">
        <v>45627</v>
      </c>
      <c r="D2836" t="inlineStr">
        <is>
          <t>HALLANDS LÄN</t>
        </is>
      </c>
      <c r="E2836" t="inlineStr">
        <is>
          <t>HALMSTAD</t>
        </is>
      </c>
      <c r="G2836" t="n">
        <v>2.5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33247-2023</t>
        </is>
      </c>
      <c r="B2837" s="1" t="n">
        <v>45127</v>
      </c>
      <c r="C2837" s="1" t="n">
        <v>45627</v>
      </c>
      <c r="D2837" t="inlineStr">
        <is>
          <t>HALLANDS LÄN</t>
        </is>
      </c>
      <c r="E2837" t="inlineStr">
        <is>
          <t>FALKENBERG</t>
        </is>
      </c>
      <c r="F2837" t="inlineStr">
        <is>
          <t>Kommuner</t>
        </is>
      </c>
      <c r="G2837" t="n">
        <v>3.2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33246-2023</t>
        </is>
      </c>
      <c r="B2838" s="1" t="n">
        <v>45127</v>
      </c>
      <c r="C2838" s="1" t="n">
        <v>45627</v>
      </c>
      <c r="D2838" t="inlineStr">
        <is>
          <t>HALLANDS LÄN</t>
        </is>
      </c>
      <c r="E2838" t="inlineStr">
        <is>
          <t>FALKENBERG</t>
        </is>
      </c>
      <c r="F2838" t="inlineStr">
        <is>
          <t>Kommuner</t>
        </is>
      </c>
      <c r="G2838" t="n">
        <v>22.8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33250-2023</t>
        </is>
      </c>
      <c r="B2839" s="1" t="n">
        <v>45127</v>
      </c>
      <c r="C2839" s="1" t="n">
        <v>45627</v>
      </c>
      <c r="D2839" t="inlineStr">
        <is>
          <t>HALLANDS LÄN</t>
        </is>
      </c>
      <c r="E2839" t="inlineStr">
        <is>
          <t>FALKENBERG</t>
        </is>
      </c>
      <c r="F2839" t="inlineStr">
        <is>
          <t>Kommuner</t>
        </is>
      </c>
      <c r="G2839" t="n">
        <v>6.1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33251-2023</t>
        </is>
      </c>
      <c r="B2840" s="1" t="n">
        <v>45127</v>
      </c>
      <c r="C2840" s="1" t="n">
        <v>45627</v>
      </c>
      <c r="D2840" t="inlineStr">
        <is>
          <t>HALLANDS LÄN</t>
        </is>
      </c>
      <c r="E2840" t="inlineStr">
        <is>
          <t>FALKENBERG</t>
        </is>
      </c>
      <c r="G2840" t="n">
        <v>1.5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33423-2023</t>
        </is>
      </c>
      <c r="B2841" s="1" t="n">
        <v>45128</v>
      </c>
      <c r="C2841" s="1" t="n">
        <v>45627</v>
      </c>
      <c r="D2841" t="inlineStr">
        <is>
          <t>HALLANDS LÄN</t>
        </is>
      </c>
      <c r="E2841" t="inlineStr">
        <is>
          <t>HYLTE</t>
        </is>
      </c>
      <c r="G2841" t="n">
        <v>1.7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33450-2023</t>
        </is>
      </c>
      <c r="B2842" s="1" t="n">
        <v>45130</v>
      </c>
      <c r="C2842" s="1" t="n">
        <v>45627</v>
      </c>
      <c r="D2842" t="inlineStr">
        <is>
          <t>HALLANDS LÄN</t>
        </is>
      </c>
      <c r="E2842" t="inlineStr">
        <is>
          <t>LAHOLM</t>
        </is>
      </c>
      <c r="G2842" t="n">
        <v>0.7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33449-2023</t>
        </is>
      </c>
      <c r="B2843" s="1" t="n">
        <v>45130</v>
      </c>
      <c r="C2843" s="1" t="n">
        <v>45627</v>
      </c>
      <c r="D2843" t="inlineStr">
        <is>
          <t>HALLANDS LÄN</t>
        </is>
      </c>
      <c r="E2843" t="inlineStr">
        <is>
          <t>LAHOLM</t>
        </is>
      </c>
      <c r="G2843" t="n">
        <v>0.8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33461-2023</t>
        </is>
      </c>
      <c r="B2844" s="1" t="n">
        <v>45131</v>
      </c>
      <c r="C2844" s="1" t="n">
        <v>45627</v>
      </c>
      <c r="D2844" t="inlineStr">
        <is>
          <t>HALLANDS LÄN</t>
        </is>
      </c>
      <c r="E2844" t="inlineStr">
        <is>
          <t>VARBERG</t>
        </is>
      </c>
      <c r="G2844" t="n">
        <v>1.3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33494-2023</t>
        </is>
      </c>
      <c r="B2845" s="1" t="n">
        <v>45131</v>
      </c>
      <c r="C2845" s="1" t="n">
        <v>45627</v>
      </c>
      <c r="D2845" t="inlineStr">
        <is>
          <t>HALLANDS LÄN</t>
        </is>
      </c>
      <c r="E2845" t="inlineStr">
        <is>
          <t>KUNGSBACKA</t>
        </is>
      </c>
      <c r="G2845" t="n">
        <v>0.7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33490-2023</t>
        </is>
      </c>
      <c r="B2846" s="1" t="n">
        <v>45131</v>
      </c>
      <c r="C2846" s="1" t="n">
        <v>45627</v>
      </c>
      <c r="D2846" t="inlineStr">
        <is>
          <t>HALLANDS LÄN</t>
        </is>
      </c>
      <c r="E2846" t="inlineStr">
        <is>
          <t>FALKENBERG</t>
        </is>
      </c>
      <c r="G2846" t="n">
        <v>0.5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33578-2023</t>
        </is>
      </c>
      <c r="B2847" s="1" t="n">
        <v>45131</v>
      </c>
      <c r="C2847" s="1" t="n">
        <v>45627</v>
      </c>
      <c r="D2847" t="inlineStr">
        <is>
          <t>HALLANDS LÄN</t>
        </is>
      </c>
      <c r="E2847" t="inlineStr">
        <is>
          <t>LAHOLM</t>
        </is>
      </c>
      <c r="G2847" t="n">
        <v>2.9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33484-2023</t>
        </is>
      </c>
      <c r="B2848" s="1" t="n">
        <v>45131</v>
      </c>
      <c r="C2848" s="1" t="n">
        <v>45627</v>
      </c>
      <c r="D2848" t="inlineStr">
        <is>
          <t>HALLANDS LÄN</t>
        </is>
      </c>
      <c r="E2848" t="inlineStr">
        <is>
          <t>FALKENBERG</t>
        </is>
      </c>
      <c r="G2848" t="n">
        <v>1.2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33496-2023</t>
        </is>
      </c>
      <c r="B2849" s="1" t="n">
        <v>45131</v>
      </c>
      <c r="C2849" s="1" t="n">
        <v>45627</v>
      </c>
      <c r="D2849" t="inlineStr">
        <is>
          <t>HALLANDS LÄN</t>
        </is>
      </c>
      <c r="E2849" t="inlineStr">
        <is>
          <t>KUNGSBACKA</t>
        </is>
      </c>
      <c r="G2849" t="n">
        <v>0.4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33579-2023</t>
        </is>
      </c>
      <c r="B2850" s="1" t="n">
        <v>45131</v>
      </c>
      <c r="C2850" s="1" t="n">
        <v>45627</v>
      </c>
      <c r="D2850" t="inlineStr">
        <is>
          <t>HALLANDS LÄN</t>
        </is>
      </c>
      <c r="E2850" t="inlineStr">
        <is>
          <t>VARBERG</t>
        </is>
      </c>
      <c r="G2850" t="n">
        <v>0.7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34337-2023</t>
        </is>
      </c>
      <c r="B2851" s="1" t="n">
        <v>45131</v>
      </c>
      <c r="C2851" s="1" t="n">
        <v>45627</v>
      </c>
      <c r="D2851" t="inlineStr">
        <is>
          <t>HALLANDS LÄN</t>
        </is>
      </c>
      <c r="E2851" t="inlineStr">
        <is>
          <t>HYLTE</t>
        </is>
      </c>
      <c r="G2851" t="n">
        <v>1.6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33613-2023</t>
        </is>
      </c>
      <c r="B2852" s="1" t="n">
        <v>45132</v>
      </c>
      <c r="C2852" s="1" t="n">
        <v>45627</v>
      </c>
      <c r="D2852" t="inlineStr">
        <is>
          <t>HALLANDS LÄN</t>
        </is>
      </c>
      <c r="E2852" t="inlineStr">
        <is>
          <t>HYLTE</t>
        </is>
      </c>
      <c r="G2852" t="n">
        <v>3.9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33610-2023</t>
        </is>
      </c>
      <c r="B2853" s="1" t="n">
        <v>45132</v>
      </c>
      <c r="C2853" s="1" t="n">
        <v>45627</v>
      </c>
      <c r="D2853" t="inlineStr">
        <is>
          <t>HALLANDS LÄN</t>
        </is>
      </c>
      <c r="E2853" t="inlineStr">
        <is>
          <t>HYLTE</t>
        </is>
      </c>
      <c r="G2853" t="n">
        <v>3.1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33596-2023</t>
        </is>
      </c>
      <c r="B2854" s="1" t="n">
        <v>45132</v>
      </c>
      <c r="C2854" s="1" t="n">
        <v>45627</v>
      </c>
      <c r="D2854" t="inlineStr">
        <is>
          <t>HALLANDS LÄN</t>
        </is>
      </c>
      <c r="E2854" t="inlineStr">
        <is>
          <t>LAHOLM</t>
        </is>
      </c>
      <c r="G2854" t="n">
        <v>8.199999999999999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33600-2023</t>
        </is>
      </c>
      <c r="B2855" s="1" t="n">
        <v>45132</v>
      </c>
      <c r="C2855" s="1" t="n">
        <v>45627</v>
      </c>
      <c r="D2855" t="inlineStr">
        <is>
          <t>HALLANDS LÄN</t>
        </is>
      </c>
      <c r="E2855" t="inlineStr">
        <is>
          <t>LAHOLM</t>
        </is>
      </c>
      <c r="G2855" t="n">
        <v>1.3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33595-2023</t>
        </is>
      </c>
      <c r="B2856" s="1" t="n">
        <v>45132</v>
      </c>
      <c r="C2856" s="1" t="n">
        <v>45627</v>
      </c>
      <c r="D2856" t="inlineStr">
        <is>
          <t>HALLANDS LÄN</t>
        </is>
      </c>
      <c r="E2856" t="inlineStr">
        <is>
          <t>LAHOLM</t>
        </is>
      </c>
      <c r="G2856" t="n">
        <v>6.4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33983-2023</t>
        </is>
      </c>
      <c r="B2857" s="1" t="n">
        <v>45134</v>
      </c>
      <c r="C2857" s="1" t="n">
        <v>45627</v>
      </c>
      <c r="D2857" t="inlineStr">
        <is>
          <t>HALLANDS LÄN</t>
        </is>
      </c>
      <c r="E2857" t="inlineStr">
        <is>
          <t>KUNGSBACKA</t>
        </is>
      </c>
      <c r="G2857" t="n">
        <v>1.1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34048-2023</t>
        </is>
      </c>
      <c r="B2858" s="1" t="n">
        <v>45135</v>
      </c>
      <c r="C2858" s="1" t="n">
        <v>45627</v>
      </c>
      <c r="D2858" t="inlineStr">
        <is>
          <t>HALLANDS LÄN</t>
        </is>
      </c>
      <c r="E2858" t="inlineStr">
        <is>
          <t>LAHOLM</t>
        </is>
      </c>
      <c r="G2858" t="n">
        <v>2.5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34050-2023</t>
        </is>
      </c>
      <c r="B2859" s="1" t="n">
        <v>45135</v>
      </c>
      <c r="C2859" s="1" t="n">
        <v>45627</v>
      </c>
      <c r="D2859" t="inlineStr">
        <is>
          <t>HALLANDS LÄN</t>
        </is>
      </c>
      <c r="E2859" t="inlineStr">
        <is>
          <t>LAHOLM</t>
        </is>
      </c>
      <c r="G2859" t="n">
        <v>0.6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34046-2023</t>
        </is>
      </c>
      <c r="B2860" s="1" t="n">
        <v>45135</v>
      </c>
      <c r="C2860" s="1" t="n">
        <v>45627</v>
      </c>
      <c r="D2860" t="inlineStr">
        <is>
          <t>HALLANDS LÄN</t>
        </is>
      </c>
      <c r="E2860" t="inlineStr">
        <is>
          <t>LAHOLM</t>
        </is>
      </c>
      <c r="G2860" t="n">
        <v>1.4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34598-2023</t>
        </is>
      </c>
      <c r="B2861" s="1" t="n">
        <v>45138</v>
      </c>
      <c r="C2861" s="1" t="n">
        <v>45627</v>
      </c>
      <c r="D2861" t="inlineStr">
        <is>
          <t>HALLANDS LÄN</t>
        </is>
      </c>
      <c r="E2861" t="inlineStr">
        <is>
          <t>FALKENBERG</t>
        </is>
      </c>
      <c r="G2861" t="n">
        <v>4.6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34368-2023</t>
        </is>
      </c>
      <c r="B2862" s="1" t="n">
        <v>45139</v>
      </c>
      <c r="C2862" s="1" t="n">
        <v>45627</v>
      </c>
      <c r="D2862" t="inlineStr">
        <is>
          <t>HALLANDS LÄN</t>
        </is>
      </c>
      <c r="E2862" t="inlineStr">
        <is>
          <t>FALKENBERG</t>
        </is>
      </c>
      <c r="G2862" t="n">
        <v>7.7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34473-2023</t>
        </is>
      </c>
      <c r="B2863" s="1" t="n">
        <v>45139</v>
      </c>
      <c r="C2863" s="1" t="n">
        <v>45627</v>
      </c>
      <c r="D2863" t="inlineStr">
        <is>
          <t>HALLANDS LÄN</t>
        </is>
      </c>
      <c r="E2863" t="inlineStr">
        <is>
          <t>LAHOLM</t>
        </is>
      </c>
      <c r="G2863" t="n">
        <v>1.4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34475-2023</t>
        </is>
      </c>
      <c r="B2864" s="1" t="n">
        <v>45139</v>
      </c>
      <c r="C2864" s="1" t="n">
        <v>45627</v>
      </c>
      <c r="D2864" t="inlineStr">
        <is>
          <t>HALLANDS LÄN</t>
        </is>
      </c>
      <c r="E2864" t="inlineStr">
        <is>
          <t>LAHOLM</t>
        </is>
      </c>
      <c r="G2864" t="n">
        <v>1.6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34474-2023</t>
        </is>
      </c>
      <c r="B2865" s="1" t="n">
        <v>45139</v>
      </c>
      <c r="C2865" s="1" t="n">
        <v>45627</v>
      </c>
      <c r="D2865" t="inlineStr">
        <is>
          <t>HALLANDS LÄN</t>
        </is>
      </c>
      <c r="E2865" t="inlineStr">
        <is>
          <t>LAHOLM</t>
        </is>
      </c>
      <c r="G2865" t="n">
        <v>0.8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34558-2023</t>
        </is>
      </c>
      <c r="B2866" s="1" t="n">
        <v>45140</v>
      </c>
      <c r="C2866" s="1" t="n">
        <v>45627</v>
      </c>
      <c r="D2866" t="inlineStr">
        <is>
          <t>HALLANDS LÄN</t>
        </is>
      </c>
      <c r="E2866" t="inlineStr">
        <is>
          <t>VARBERG</t>
        </is>
      </c>
      <c r="G2866" t="n">
        <v>1.4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34566-2023</t>
        </is>
      </c>
      <c r="B2867" s="1" t="n">
        <v>45140</v>
      </c>
      <c r="C2867" s="1" t="n">
        <v>45627</v>
      </c>
      <c r="D2867" t="inlineStr">
        <is>
          <t>HALLANDS LÄN</t>
        </is>
      </c>
      <c r="E2867" t="inlineStr">
        <is>
          <t>VARBERG</t>
        </is>
      </c>
      <c r="G2867" t="n">
        <v>2.7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34570-2023</t>
        </is>
      </c>
      <c r="B2868" s="1" t="n">
        <v>45140</v>
      </c>
      <c r="C2868" s="1" t="n">
        <v>45627</v>
      </c>
      <c r="D2868" t="inlineStr">
        <is>
          <t>HALLANDS LÄN</t>
        </is>
      </c>
      <c r="E2868" t="inlineStr">
        <is>
          <t>VARBERG</t>
        </is>
      </c>
      <c r="G2868" t="n">
        <v>4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34571-2023</t>
        </is>
      </c>
      <c r="B2869" s="1" t="n">
        <v>45140</v>
      </c>
      <c r="C2869" s="1" t="n">
        <v>45627</v>
      </c>
      <c r="D2869" t="inlineStr">
        <is>
          <t>HALLANDS LÄN</t>
        </is>
      </c>
      <c r="E2869" t="inlineStr">
        <is>
          <t>VARBERG</t>
        </is>
      </c>
      <c r="G2869" t="n">
        <v>0.7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34969-2023</t>
        </is>
      </c>
      <c r="B2870" s="1" t="n">
        <v>45142</v>
      </c>
      <c r="C2870" s="1" t="n">
        <v>45627</v>
      </c>
      <c r="D2870" t="inlineStr">
        <is>
          <t>HALLANDS LÄN</t>
        </is>
      </c>
      <c r="E2870" t="inlineStr">
        <is>
          <t>FALKENBERG</t>
        </is>
      </c>
      <c r="G2870" t="n">
        <v>4.6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35134-2023</t>
        </is>
      </c>
      <c r="B2871" s="1" t="n">
        <v>45145</v>
      </c>
      <c r="C2871" s="1" t="n">
        <v>45627</v>
      </c>
      <c r="D2871" t="inlineStr">
        <is>
          <t>HALLANDS LÄN</t>
        </is>
      </c>
      <c r="E2871" t="inlineStr">
        <is>
          <t>HYLTE</t>
        </is>
      </c>
      <c r="G2871" t="n">
        <v>1.2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35175-2023</t>
        </is>
      </c>
      <c r="B2872" s="1" t="n">
        <v>45145</v>
      </c>
      <c r="C2872" s="1" t="n">
        <v>45627</v>
      </c>
      <c r="D2872" t="inlineStr">
        <is>
          <t>HALLANDS LÄN</t>
        </is>
      </c>
      <c r="E2872" t="inlineStr">
        <is>
          <t>HYLTE</t>
        </is>
      </c>
      <c r="G2872" t="n">
        <v>1.7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35058-2023</t>
        </is>
      </c>
      <c r="B2873" s="1" t="n">
        <v>45145</v>
      </c>
      <c r="C2873" s="1" t="n">
        <v>45627</v>
      </c>
      <c r="D2873" t="inlineStr">
        <is>
          <t>HALLANDS LÄN</t>
        </is>
      </c>
      <c r="E2873" t="inlineStr">
        <is>
          <t>HYLTE</t>
        </is>
      </c>
      <c r="G2873" t="n">
        <v>0.9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35423-2023</t>
        </is>
      </c>
      <c r="B2874" s="1" t="n">
        <v>45146</v>
      </c>
      <c r="C2874" s="1" t="n">
        <v>45627</v>
      </c>
      <c r="D2874" t="inlineStr">
        <is>
          <t>HALLANDS LÄN</t>
        </is>
      </c>
      <c r="E2874" t="inlineStr">
        <is>
          <t>LAHOLM</t>
        </is>
      </c>
      <c r="G2874" t="n">
        <v>0.9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35310-2023</t>
        </is>
      </c>
      <c r="B2875" s="1" t="n">
        <v>45146</v>
      </c>
      <c r="C2875" s="1" t="n">
        <v>45627</v>
      </c>
      <c r="D2875" t="inlineStr">
        <is>
          <t>HALLANDS LÄN</t>
        </is>
      </c>
      <c r="E2875" t="inlineStr">
        <is>
          <t>FALKENBERG</t>
        </is>
      </c>
      <c r="G2875" t="n">
        <v>3.2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35425-2023</t>
        </is>
      </c>
      <c r="B2876" s="1" t="n">
        <v>45146</v>
      </c>
      <c r="C2876" s="1" t="n">
        <v>45627</v>
      </c>
      <c r="D2876" t="inlineStr">
        <is>
          <t>HALLANDS LÄN</t>
        </is>
      </c>
      <c r="E2876" t="inlineStr">
        <is>
          <t>LAHOLM</t>
        </is>
      </c>
      <c r="G2876" t="n">
        <v>0.9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35402-2023</t>
        </is>
      </c>
      <c r="B2877" s="1" t="n">
        <v>45146</v>
      </c>
      <c r="C2877" s="1" t="n">
        <v>45627</v>
      </c>
      <c r="D2877" t="inlineStr">
        <is>
          <t>HALLANDS LÄN</t>
        </is>
      </c>
      <c r="E2877" t="inlineStr">
        <is>
          <t>HALMSTAD</t>
        </is>
      </c>
      <c r="G2877" t="n">
        <v>1.9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35414-2023</t>
        </is>
      </c>
      <c r="B2878" s="1" t="n">
        <v>45146</v>
      </c>
      <c r="C2878" s="1" t="n">
        <v>45627</v>
      </c>
      <c r="D2878" t="inlineStr">
        <is>
          <t>HALLANDS LÄN</t>
        </is>
      </c>
      <c r="E2878" t="inlineStr">
        <is>
          <t>LAHOLM</t>
        </is>
      </c>
      <c r="G2878" t="n">
        <v>8.800000000000001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35428-2023</t>
        </is>
      </c>
      <c r="B2879" s="1" t="n">
        <v>45146</v>
      </c>
      <c r="C2879" s="1" t="n">
        <v>45627</v>
      </c>
      <c r="D2879" t="inlineStr">
        <is>
          <t>HALLANDS LÄN</t>
        </is>
      </c>
      <c r="E2879" t="inlineStr">
        <is>
          <t>LAHOLM</t>
        </is>
      </c>
      <c r="G2879" t="n">
        <v>0.7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35449-2023</t>
        </is>
      </c>
      <c r="B2880" s="1" t="n">
        <v>45146</v>
      </c>
      <c r="C2880" s="1" t="n">
        <v>45627</v>
      </c>
      <c r="D2880" t="inlineStr">
        <is>
          <t>HALLANDS LÄN</t>
        </is>
      </c>
      <c r="E2880" t="inlineStr">
        <is>
          <t>LAHOLM</t>
        </is>
      </c>
      <c r="G2880" t="n">
        <v>1.3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35605-2023</t>
        </is>
      </c>
      <c r="B2881" s="1" t="n">
        <v>45147</v>
      </c>
      <c r="C2881" s="1" t="n">
        <v>45627</v>
      </c>
      <c r="D2881" t="inlineStr">
        <is>
          <t>HALLANDS LÄN</t>
        </is>
      </c>
      <c r="E2881" t="inlineStr">
        <is>
          <t>LAHOLM</t>
        </is>
      </c>
      <c r="G2881" t="n">
        <v>1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35686-2023</t>
        </is>
      </c>
      <c r="B2882" s="1" t="n">
        <v>45147</v>
      </c>
      <c r="C2882" s="1" t="n">
        <v>45627</v>
      </c>
      <c r="D2882" t="inlineStr">
        <is>
          <t>HALLANDS LÄN</t>
        </is>
      </c>
      <c r="E2882" t="inlineStr">
        <is>
          <t>FALKENBERG</t>
        </is>
      </c>
      <c r="G2882" t="n">
        <v>1.4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35621-2023</t>
        </is>
      </c>
      <c r="B2883" s="1" t="n">
        <v>45147</v>
      </c>
      <c r="C2883" s="1" t="n">
        <v>45627</v>
      </c>
      <c r="D2883" t="inlineStr">
        <is>
          <t>HALLANDS LÄN</t>
        </is>
      </c>
      <c r="E2883" t="inlineStr">
        <is>
          <t>HALMSTAD</t>
        </is>
      </c>
      <c r="G2883" t="n">
        <v>0.7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35603-2023</t>
        </is>
      </c>
      <c r="B2884" s="1" t="n">
        <v>45147</v>
      </c>
      <c r="C2884" s="1" t="n">
        <v>45627</v>
      </c>
      <c r="D2884" t="inlineStr">
        <is>
          <t>HALLANDS LÄN</t>
        </is>
      </c>
      <c r="E2884" t="inlineStr">
        <is>
          <t>LAHOLM</t>
        </is>
      </c>
      <c r="G2884" t="n">
        <v>1.4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35604-2023</t>
        </is>
      </c>
      <c r="B2885" s="1" t="n">
        <v>45147</v>
      </c>
      <c r="C2885" s="1" t="n">
        <v>45627</v>
      </c>
      <c r="D2885" t="inlineStr">
        <is>
          <t>HALLANDS LÄN</t>
        </is>
      </c>
      <c r="E2885" t="inlineStr">
        <is>
          <t>LAHOLM</t>
        </is>
      </c>
      <c r="G2885" t="n">
        <v>3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35841-2023</t>
        </is>
      </c>
      <c r="B2886" s="1" t="n">
        <v>45148</v>
      </c>
      <c r="C2886" s="1" t="n">
        <v>45627</v>
      </c>
      <c r="D2886" t="inlineStr">
        <is>
          <t>HALLANDS LÄN</t>
        </is>
      </c>
      <c r="E2886" t="inlineStr">
        <is>
          <t>FALKENBERG</t>
        </is>
      </c>
      <c r="G2886" t="n">
        <v>0.9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35905-2023</t>
        </is>
      </c>
      <c r="B2887" s="1" t="n">
        <v>45148</v>
      </c>
      <c r="C2887" s="1" t="n">
        <v>45627</v>
      </c>
      <c r="D2887" t="inlineStr">
        <is>
          <t>HALLANDS LÄN</t>
        </is>
      </c>
      <c r="E2887" t="inlineStr">
        <is>
          <t>FALKENBERG</t>
        </is>
      </c>
      <c r="G2887" t="n">
        <v>3.5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36026-2023</t>
        </is>
      </c>
      <c r="B2888" s="1" t="n">
        <v>45149</v>
      </c>
      <c r="C2888" s="1" t="n">
        <v>45627</v>
      </c>
      <c r="D2888" t="inlineStr">
        <is>
          <t>HALLANDS LÄN</t>
        </is>
      </c>
      <c r="E2888" t="inlineStr">
        <is>
          <t>KUNGSBACKA</t>
        </is>
      </c>
      <c r="G2888" t="n">
        <v>2.4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36068-2023</t>
        </is>
      </c>
      <c r="B2889" s="1" t="n">
        <v>45149</v>
      </c>
      <c r="C2889" s="1" t="n">
        <v>45627</v>
      </c>
      <c r="D2889" t="inlineStr">
        <is>
          <t>HALLANDS LÄN</t>
        </is>
      </c>
      <c r="E2889" t="inlineStr">
        <is>
          <t>KUNGSBACKA</t>
        </is>
      </c>
      <c r="G2889" t="n">
        <v>5.3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36074-2023</t>
        </is>
      </c>
      <c r="B2890" s="1" t="n">
        <v>45149</v>
      </c>
      <c r="C2890" s="1" t="n">
        <v>45627</v>
      </c>
      <c r="D2890" t="inlineStr">
        <is>
          <t>HALLANDS LÄN</t>
        </is>
      </c>
      <c r="E2890" t="inlineStr">
        <is>
          <t>FALKENBERG</t>
        </is>
      </c>
      <c r="G2890" t="n">
        <v>1.2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36198-2023</t>
        </is>
      </c>
      <c r="B2891" s="1" t="n">
        <v>45149</v>
      </c>
      <c r="C2891" s="1" t="n">
        <v>45627</v>
      </c>
      <c r="D2891" t="inlineStr">
        <is>
          <t>HALLANDS LÄN</t>
        </is>
      </c>
      <c r="E2891" t="inlineStr">
        <is>
          <t>FALKENBERG</t>
        </is>
      </c>
      <c r="G2891" t="n">
        <v>0.8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36199-2023</t>
        </is>
      </c>
      <c r="B2892" s="1" t="n">
        <v>45149</v>
      </c>
      <c r="C2892" s="1" t="n">
        <v>45627</v>
      </c>
      <c r="D2892" t="inlineStr">
        <is>
          <t>HALLANDS LÄN</t>
        </is>
      </c>
      <c r="E2892" t="inlineStr">
        <is>
          <t>HYLTE</t>
        </is>
      </c>
      <c r="G2892" t="n">
        <v>1.5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36197-2023</t>
        </is>
      </c>
      <c r="B2893" s="1" t="n">
        <v>45149</v>
      </c>
      <c r="C2893" s="1" t="n">
        <v>45627</v>
      </c>
      <c r="D2893" t="inlineStr">
        <is>
          <t>HALLANDS LÄN</t>
        </is>
      </c>
      <c r="E2893" t="inlineStr">
        <is>
          <t>FALKENBERG</t>
        </is>
      </c>
      <c r="G2893" t="n">
        <v>4.3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36431-2023</t>
        </is>
      </c>
      <c r="B2894" s="1" t="n">
        <v>45152</v>
      </c>
      <c r="C2894" s="1" t="n">
        <v>45627</v>
      </c>
      <c r="D2894" t="inlineStr">
        <is>
          <t>HALLANDS LÄN</t>
        </is>
      </c>
      <c r="E2894" t="inlineStr">
        <is>
          <t>FALKENBERG</t>
        </is>
      </c>
      <c r="G2894" t="n">
        <v>1.8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36313-2023</t>
        </is>
      </c>
      <c r="B2895" s="1" t="n">
        <v>45152</v>
      </c>
      <c r="C2895" s="1" t="n">
        <v>45627</v>
      </c>
      <c r="D2895" t="inlineStr">
        <is>
          <t>HALLANDS LÄN</t>
        </is>
      </c>
      <c r="E2895" t="inlineStr">
        <is>
          <t>FALKENBERG</t>
        </is>
      </c>
      <c r="G2895" t="n">
        <v>1.4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36484-2023</t>
        </is>
      </c>
      <c r="B2896" s="1" t="n">
        <v>45152</v>
      </c>
      <c r="C2896" s="1" t="n">
        <v>45627</v>
      </c>
      <c r="D2896" t="inlineStr">
        <is>
          <t>HALLANDS LÄN</t>
        </is>
      </c>
      <c r="E2896" t="inlineStr">
        <is>
          <t>LAHOLM</t>
        </is>
      </c>
      <c r="G2896" t="n">
        <v>4.2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36705-2023</t>
        </is>
      </c>
      <c r="B2897" s="1" t="n">
        <v>45153</v>
      </c>
      <c r="C2897" s="1" t="n">
        <v>45627</v>
      </c>
      <c r="D2897" t="inlineStr">
        <is>
          <t>HALLANDS LÄN</t>
        </is>
      </c>
      <c r="E2897" t="inlineStr">
        <is>
          <t>HYLTE</t>
        </is>
      </c>
      <c r="G2897" t="n">
        <v>3.1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36722-2023</t>
        </is>
      </c>
      <c r="B2898" s="1" t="n">
        <v>45153</v>
      </c>
      <c r="C2898" s="1" t="n">
        <v>45627</v>
      </c>
      <c r="D2898" t="inlineStr">
        <is>
          <t>HALLANDS LÄN</t>
        </is>
      </c>
      <c r="E2898" t="inlineStr">
        <is>
          <t>HYLTE</t>
        </is>
      </c>
      <c r="F2898" t="inlineStr">
        <is>
          <t>Bergvik skog väst AB</t>
        </is>
      </c>
      <c r="G2898" t="n">
        <v>11.6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36532-2023</t>
        </is>
      </c>
      <c r="B2899" s="1" t="n">
        <v>45153</v>
      </c>
      <c r="C2899" s="1" t="n">
        <v>45627</v>
      </c>
      <c r="D2899" t="inlineStr">
        <is>
          <t>HALLANDS LÄN</t>
        </is>
      </c>
      <c r="E2899" t="inlineStr">
        <is>
          <t>LAHOLM</t>
        </is>
      </c>
      <c r="G2899" t="n">
        <v>0.5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36597-2023</t>
        </is>
      </c>
      <c r="B2900" s="1" t="n">
        <v>45153</v>
      </c>
      <c r="C2900" s="1" t="n">
        <v>45627</v>
      </c>
      <c r="D2900" t="inlineStr">
        <is>
          <t>HALLANDS LÄN</t>
        </is>
      </c>
      <c r="E2900" t="inlineStr">
        <is>
          <t>KUNGSBACKA</t>
        </is>
      </c>
      <c r="G2900" t="n">
        <v>2.2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36617-2023</t>
        </is>
      </c>
      <c r="B2901" s="1" t="n">
        <v>45153</v>
      </c>
      <c r="C2901" s="1" t="n">
        <v>45627</v>
      </c>
      <c r="D2901" t="inlineStr">
        <is>
          <t>HALLANDS LÄN</t>
        </is>
      </c>
      <c r="E2901" t="inlineStr">
        <is>
          <t>FALKENBERG</t>
        </is>
      </c>
      <c r="G2901" t="n">
        <v>3.2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36752-2023</t>
        </is>
      </c>
      <c r="B2902" s="1" t="n">
        <v>45153</v>
      </c>
      <c r="C2902" s="1" t="n">
        <v>45627</v>
      </c>
      <c r="D2902" t="inlineStr">
        <is>
          <t>HALLANDS LÄN</t>
        </is>
      </c>
      <c r="E2902" t="inlineStr">
        <is>
          <t>HYLTE</t>
        </is>
      </c>
      <c r="G2902" t="n">
        <v>4.3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36731-2023</t>
        </is>
      </c>
      <c r="B2903" s="1" t="n">
        <v>45153</v>
      </c>
      <c r="C2903" s="1" t="n">
        <v>45627</v>
      </c>
      <c r="D2903" t="inlineStr">
        <is>
          <t>HALLANDS LÄN</t>
        </is>
      </c>
      <c r="E2903" t="inlineStr">
        <is>
          <t>LAHOLM</t>
        </is>
      </c>
      <c r="G2903" t="n">
        <v>4.7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36806-2023</t>
        </is>
      </c>
      <c r="B2904" s="1" t="n">
        <v>45154</v>
      </c>
      <c r="C2904" s="1" t="n">
        <v>45627</v>
      </c>
      <c r="D2904" t="inlineStr">
        <is>
          <t>HALLANDS LÄN</t>
        </is>
      </c>
      <c r="E2904" t="inlineStr">
        <is>
          <t>HALMSTAD</t>
        </is>
      </c>
      <c r="G2904" t="n">
        <v>14.2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36819-2023</t>
        </is>
      </c>
      <c r="B2905" s="1" t="n">
        <v>45154</v>
      </c>
      <c r="C2905" s="1" t="n">
        <v>45627</v>
      </c>
      <c r="D2905" t="inlineStr">
        <is>
          <t>HALLANDS LÄN</t>
        </is>
      </c>
      <c r="E2905" t="inlineStr">
        <is>
          <t>HALMSTAD</t>
        </is>
      </c>
      <c r="G2905" t="n">
        <v>3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36805-2023</t>
        </is>
      </c>
      <c r="B2906" s="1" t="n">
        <v>45154</v>
      </c>
      <c r="C2906" s="1" t="n">
        <v>45627</v>
      </c>
      <c r="D2906" t="inlineStr">
        <is>
          <t>HALLANDS LÄN</t>
        </is>
      </c>
      <c r="E2906" t="inlineStr">
        <is>
          <t>HALMSTAD</t>
        </is>
      </c>
      <c r="G2906" t="n">
        <v>3.7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37190-2023</t>
        </is>
      </c>
      <c r="B2907" s="1" t="n">
        <v>45154</v>
      </c>
      <c r="C2907" s="1" t="n">
        <v>45627</v>
      </c>
      <c r="D2907" t="inlineStr">
        <is>
          <t>HALLANDS LÄN</t>
        </is>
      </c>
      <c r="E2907" t="inlineStr">
        <is>
          <t>HYLTE</t>
        </is>
      </c>
      <c r="G2907" t="n">
        <v>0.7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37063-2023</t>
        </is>
      </c>
      <c r="B2908" s="1" t="n">
        <v>45155</v>
      </c>
      <c r="C2908" s="1" t="n">
        <v>45627</v>
      </c>
      <c r="D2908" t="inlineStr">
        <is>
          <t>HALLANDS LÄN</t>
        </is>
      </c>
      <c r="E2908" t="inlineStr">
        <is>
          <t>HYLTE</t>
        </is>
      </c>
      <c r="G2908" t="n">
        <v>2.5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37121-2023</t>
        </is>
      </c>
      <c r="B2909" s="1" t="n">
        <v>45155</v>
      </c>
      <c r="C2909" s="1" t="n">
        <v>45627</v>
      </c>
      <c r="D2909" t="inlineStr">
        <is>
          <t>HALLANDS LÄN</t>
        </is>
      </c>
      <c r="E2909" t="inlineStr">
        <is>
          <t>LAHOLM</t>
        </is>
      </c>
      <c r="G2909" t="n">
        <v>3.9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37220-2023</t>
        </is>
      </c>
      <c r="B2910" s="1" t="n">
        <v>45155</v>
      </c>
      <c r="C2910" s="1" t="n">
        <v>45627</v>
      </c>
      <c r="D2910" t="inlineStr">
        <is>
          <t>HALLANDS LÄN</t>
        </is>
      </c>
      <c r="E2910" t="inlineStr">
        <is>
          <t>HYLTE</t>
        </is>
      </c>
      <c r="G2910" t="n">
        <v>2.1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37224-2023</t>
        </is>
      </c>
      <c r="B2911" s="1" t="n">
        <v>45155</v>
      </c>
      <c r="C2911" s="1" t="n">
        <v>45627</v>
      </c>
      <c r="D2911" t="inlineStr">
        <is>
          <t>HALLANDS LÄN</t>
        </is>
      </c>
      <c r="E2911" t="inlineStr">
        <is>
          <t>VARBERG</t>
        </is>
      </c>
      <c r="G2911" t="n">
        <v>2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37223-2023</t>
        </is>
      </c>
      <c r="B2912" s="1" t="n">
        <v>45155</v>
      </c>
      <c r="C2912" s="1" t="n">
        <v>45627</v>
      </c>
      <c r="D2912" t="inlineStr">
        <is>
          <t>HALLANDS LÄN</t>
        </is>
      </c>
      <c r="E2912" t="inlineStr">
        <is>
          <t>VARBERG</t>
        </is>
      </c>
      <c r="G2912" t="n">
        <v>1.8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37319-2023</t>
        </is>
      </c>
      <c r="B2913" s="1" t="n">
        <v>45156</v>
      </c>
      <c r="C2913" s="1" t="n">
        <v>45627</v>
      </c>
      <c r="D2913" t="inlineStr">
        <is>
          <t>HALLANDS LÄN</t>
        </is>
      </c>
      <c r="E2913" t="inlineStr">
        <is>
          <t>LAHOLM</t>
        </is>
      </c>
      <c r="G2913" t="n">
        <v>0.5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37380-2023</t>
        </is>
      </c>
      <c r="B2914" s="1" t="n">
        <v>45156</v>
      </c>
      <c r="C2914" s="1" t="n">
        <v>45627</v>
      </c>
      <c r="D2914" t="inlineStr">
        <is>
          <t>HALLANDS LÄN</t>
        </is>
      </c>
      <c r="E2914" t="inlineStr">
        <is>
          <t>KUNGSBACKA</t>
        </is>
      </c>
      <c r="G2914" t="n">
        <v>3.1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37448-2023</t>
        </is>
      </c>
      <c r="B2915" s="1" t="n">
        <v>45156</v>
      </c>
      <c r="C2915" s="1" t="n">
        <v>45627</v>
      </c>
      <c r="D2915" t="inlineStr">
        <is>
          <t>HALLANDS LÄN</t>
        </is>
      </c>
      <c r="E2915" t="inlineStr">
        <is>
          <t>LAHOLM</t>
        </is>
      </c>
      <c r="G2915" t="n">
        <v>0.5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37416-2023</t>
        </is>
      </c>
      <c r="B2916" s="1" t="n">
        <v>45156</v>
      </c>
      <c r="C2916" s="1" t="n">
        <v>45627</v>
      </c>
      <c r="D2916" t="inlineStr">
        <is>
          <t>HALLANDS LÄN</t>
        </is>
      </c>
      <c r="E2916" t="inlineStr">
        <is>
          <t>HALMSTAD</t>
        </is>
      </c>
      <c r="G2916" t="n">
        <v>0.8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37301-2023</t>
        </is>
      </c>
      <c r="B2917" s="1" t="n">
        <v>45156</v>
      </c>
      <c r="C2917" s="1" t="n">
        <v>45627</v>
      </c>
      <c r="D2917" t="inlineStr">
        <is>
          <t>HALLANDS LÄN</t>
        </is>
      </c>
      <c r="E2917" t="inlineStr">
        <is>
          <t>HALMSTAD</t>
        </is>
      </c>
      <c r="G2917" t="n">
        <v>0.5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37322-2023</t>
        </is>
      </c>
      <c r="B2918" s="1" t="n">
        <v>45156</v>
      </c>
      <c r="C2918" s="1" t="n">
        <v>45627</v>
      </c>
      <c r="D2918" t="inlineStr">
        <is>
          <t>HALLANDS LÄN</t>
        </is>
      </c>
      <c r="E2918" t="inlineStr">
        <is>
          <t>LAHOLM</t>
        </is>
      </c>
      <c r="G2918" t="n">
        <v>0.9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37517-2023</t>
        </is>
      </c>
      <c r="B2919" s="1" t="n">
        <v>45158</v>
      </c>
      <c r="C2919" s="1" t="n">
        <v>45627</v>
      </c>
      <c r="D2919" t="inlineStr">
        <is>
          <t>HALLANDS LÄN</t>
        </is>
      </c>
      <c r="E2919" t="inlineStr">
        <is>
          <t>VARBERG</t>
        </is>
      </c>
      <c r="G2919" t="n">
        <v>2.9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37602-2023</t>
        </is>
      </c>
      <c r="B2920" s="1" t="n">
        <v>45159</v>
      </c>
      <c r="C2920" s="1" t="n">
        <v>45627</v>
      </c>
      <c r="D2920" t="inlineStr">
        <is>
          <t>HALLANDS LÄN</t>
        </is>
      </c>
      <c r="E2920" t="inlineStr">
        <is>
          <t>HYLTE</t>
        </is>
      </c>
      <c r="G2920" t="n">
        <v>1.8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37667-2023</t>
        </is>
      </c>
      <c r="B2921" s="1" t="n">
        <v>45159</v>
      </c>
      <c r="C2921" s="1" t="n">
        <v>45627</v>
      </c>
      <c r="D2921" t="inlineStr">
        <is>
          <t>HALLANDS LÄN</t>
        </is>
      </c>
      <c r="E2921" t="inlineStr">
        <is>
          <t>LAHOLM</t>
        </is>
      </c>
      <c r="G2921" t="n">
        <v>1.2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37557-2023</t>
        </is>
      </c>
      <c r="B2922" s="1" t="n">
        <v>45159</v>
      </c>
      <c r="C2922" s="1" t="n">
        <v>45627</v>
      </c>
      <c r="D2922" t="inlineStr">
        <is>
          <t>HALLANDS LÄN</t>
        </is>
      </c>
      <c r="E2922" t="inlineStr">
        <is>
          <t>LAHOLM</t>
        </is>
      </c>
      <c r="G2922" t="n">
        <v>1.2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37571-2023</t>
        </is>
      </c>
      <c r="B2923" s="1" t="n">
        <v>45159</v>
      </c>
      <c r="C2923" s="1" t="n">
        <v>45627</v>
      </c>
      <c r="D2923" t="inlineStr">
        <is>
          <t>HALLANDS LÄN</t>
        </is>
      </c>
      <c r="E2923" t="inlineStr">
        <is>
          <t>HALMSTAD</t>
        </is>
      </c>
      <c r="G2923" t="n">
        <v>1.9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37594-2023</t>
        </is>
      </c>
      <c r="B2924" s="1" t="n">
        <v>45159</v>
      </c>
      <c r="C2924" s="1" t="n">
        <v>45627</v>
      </c>
      <c r="D2924" t="inlineStr">
        <is>
          <t>HALLANDS LÄN</t>
        </is>
      </c>
      <c r="E2924" t="inlineStr">
        <is>
          <t>VARBERG</t>
        </is>
      </c>
      <c r="G2924" t="n">
        <v>1.9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37563-2023</t>
        </is>
      </c>
      <c r="B2925" s="1" t="n">
        <v>45159</v>
      </c>
      <c r="C2925" s="1" t="n">
        <v>45627</v>
      </c>
      <c r="D2925" t="inlineStr">
        <is>
          <t>HALLANDS LÄN</t>
        </is>
      </c>
      <c r="E2925" t="inlineStr">
        <is>
          <t>HALMSTAD</t>
        </is>
      </c>
      <c r="G2925" t="n">
        <v>3.6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37713-2023</t>
        </is>
      </c>
      <c r="B2926" s="1" t="n">
        <v>45159</v>
      </c>
      <c r="C2926" s="1" t="n">
        <v>45627</v>
      </c>
      <c r="D2926" t="inlineStr">
        <is>
          <t>HALLANDS LÄN</t>
        </is>
      </c>
      <c r="E2926" t="inlineStr">
        <is>
          <t>HYLTE</t>
        </is>
      </c>
      <c r="G2926" t="n">
        <v>1.1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37707-2023</t>
        </is>
      </c>
      <c r="B2927" s="1" t="n">
        <v>45159</v>
      </c>
      <c r="C2927" s="1" t="n">
        <v>45627</v>
      </c>
      <c r="D2927" t="inlineStr">
        <is>
          <t>HALLANDS LÄN</t>
        </is>
      </c>
      <c r="E2927" t="inlineStr">
        <is>
          <t>HYLTE</t>
        </is>
      </c>
      <c r="G2927" t="n">
        <v>2.9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37725-2023</t>
        </is>
      </c>
      <c r="B2928" s="1" t="n">
        <v>45159</v>
      </c>
      <c r="C2928" s="1" t="n">
        <v>45627</v>
      </c>
      <c r="D2928" t="inlineStr">
        <is>
          <t>HALLANDS LÄN</t>
        </is>
      </c>
      <c r="E2928" t="inlineStr">
        <is>
          <t>HYLTE</t>
        </is>
      </c>
      <c r="G2928" t="n">
        <v>2.1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37751-2023</t>
        </is>
      </c>
      <c r="B2929" s="1" t="n">
        <v>45159</v>
      </c>
      <c r="C2929" s="1" t="n">
        <v>45627</v>
      </c>
      <c r="D2929" t="inlineStr">
        <is>
          <t>HALLANDS LÄN</t>
        </is>
      </c>
      <c r="E2929" t="inlineStr">
        <is>
          <t>HALMSTAD</t>
        </is>
      </c>
      <c r="G2929" t="n">
        <v>6.3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37748-2023</t>
        </is>
      </c>
      <c r="B2930" s="1" t="n">
        <v>45159</v>
      </c>
      <c r="C2930" s="1" t="n">
        <v>45627</v>
      </c>
      <c r="D2930" t="inlineStr">
        <is>
          <t>HALLANDS LÄN</t>
        </is>
      </c>
      <c r="E2930" t="inlineStr">
        <is>
          <t>HALMSTAD</t>
        </is>
      </c>
      <c r="G2930" t="n">
        <v>4.1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37771-2023</t>
        </is>
      </c>
      <c r="B2931" s="1" t="n">
        <v>45159</v>
      </c>
      <c r="C2931" s="1" t="n">
        <v>45627</v>
      </c>
      <c r="D2931" t="inlineStr">
        <is>
          <t>HALLANDS LÄN</t>
        </is>
      </c>
      <c r="E2931" t="inlineStr">
        <is>
          <t>VARBERG</t>
        </is>
      </c>
      <c r="G2931" t="n">
        <v>2.7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37828-2023</t>
        </is>
      </c>
      <c r="B2932" s="1" t="n">
        <v>45160</v>
      </c>
      <c r="C2932" s="1" t="n">
        <v>45627</v>
      </c>
      <c r="D2932" t="inlineStr">
        <is>
          <t>HALLANDS LÄN</t>
        </is>
      </c>
      <c r="E2932" t="inlineStr">
        <is>
          <t>VARBERG</t>
        </is>
      </c>
      <c r="G2932" t="n">
        <v>2.3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37823-2023</t>
        </is>
      </c>
      <c r="B2933" s="1" t="n">
        <v>45160</v>
      </c>
      <c r="C2933" s="1" t="n">
        <v>45627</v>
      </c>
      <c r="D2933" t="inlineStr">
        <is>
          <t>HALLANDS LÄN</t>
        </is>
      </c>
      <c r="E2933" t="inlineStr">
        <is>
          <t>KUNGSBACKA</t>
        </is>
      </c>
      <c r="G2933" t="n">
        <v>2.4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38284-2023</t>
        </is>
      </c>
      <c r="B2934" s="1" t="n">
        <v>45161</v>
      </c>
      <c r="C2934" s="1" t="n">
        <v>45627</v>
      </c>
      <c r="D2934" t="inlineStr">
        <is>
          <t>HALLANDS LÄN</t>
        </is>
      </c>
      <c r="E2934" t="inlineStr">
        <is>
          <t>KUNGSBACKA</t>
        </is>
      </c>
      <c r="G2934" t="n">
        <v>19.4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38351-2023</t>
        </is>
      </c>
      <c r="B2935" s="1" t="n">
        <v>45162</v>
      </c>
      <c r="C2935" s="1" t="n">
        <v>45627</v>
      </c>
      <c r="D2935" t="inlineStr">
        <is>
          <t>HALLANDS LÄN</t>
        </is>
      </c>
      <c r="E2935" t="inlineStr">
        <is>
          <t>HALMSTAD</t>
        </is>
      </c>
      <c r="G2935" t="n">
        <v>1.5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38384-2023</t>
        </is>
      </c>
      <c r="B2936" s="1" t="n">
        <v>45162</v>
      </c>
      <c r="C2936" s="1" t="n">
        <v>45627</v>
      </c>
      <c r="D2936" t="inlineStr">
        <is>
          <t>HALLANDS LÄN</t>
        </is>
      </c>
      <c r="E2936" t="inlineStr">
        <is>
          <t>HALMSTAD</t>
        </is>
      </c>
      <c r="G2936" t="n">
        <v>0.8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38444-2023</t>
        </is>
      </c>
      <c r="B2937" s="1" t="n">
        <v>45162</v>
      </c>
      <c r="C2937" s="1" t="n">
        <v>45627</v>
      </c>
      <c r="D2937" t="inlineStr">
        <is>
          <t>HALLANDS LÄN</t>
        </is>
      </c>
      <c r="E2937" t="inlineStr">
        <is>
          <t>HYLTE</t>
        </is>
      </c>
      <c r="G2937" t="n">
        <v>2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38443-2023</t>
        </is>
      </c>
      <c r="B2938" s="1" t="n">
        <v>45162</v>
      </c>
      <c r="C2938" s="1" t="n">
        <v>45627</v>
      </c>
      <c r="D2938" t="inlineStr">
        <is>
          <t>HALLANDS LÄN</t>
        </is>
      </c>
      <c r="E2938" t="inlineStr">
        <is>
          <t>HYLTE</t>
        </is>
      </c>
      <c r="G2938" t="n">
        <v>2.6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38438-2023</t>
        </is>
      </c>
      <c r="B2939" s="1" t="n">
        <v>45162</v>
      </c>
      <c r="C2939" s="1" t="n">
        <v>45627</v>
      </c>
      <c r="D2939" t="inlineStr">
        <is>
          <t>HALLANDS LÄN</t>
        </is>
      </c>
      <c r="E2939" t="inlineStr">
        <is>
          <t>HYLTE</t>
        </is>
      </c>
      <c r="G2939" t="n">
        <v>2.1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38467-2023</t>
        </is>
      </c>
      <c r="B2940" s="1" t="n">
        <v>45162</v>
      </c>
      <c r="C2940" s="1" t="n">
        <v>45627</v>
      </c>
      <c r="D2940" t="inlineStr">
        <is>
          <t>HALLANDS LÄN</t>
        </is>
      </c>
      <c r="E2940" t="inlineStr">
        <is>
          <t>HYLTE</t>
        </is>
      </c>
      <c r="G2940" t="n">
        <v>0.8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38519-2023</t>
        </is>
      </c>
      <c r="B2941" s="1" t="n">
        <v>45162</v>
      </c>
      <c r="C2941" s="1" t="n">
        <v>45627</v>
      </c>
      <c r="D2941" t="inlineStr">
        <is>
          <t>HALLANDS LÄN</t>
        </is>
      </c>
      <c r="E2941" t="inlineStr">
        <is>
          <t>FALKENBERG</t>
        </is>
      </c>
      <c r="F2941" t="inlineStr">
        <is>
          <t>Bergvik skog väst AB</t>
        </is>
      </c>
      <c r="G2941" t="n">
        <v>10.2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38469-2023</t>
        </is>
      </c>
      <c r="B2942" s="1" t="n">
        <v>45162</v>
      </c>
      <c r="C2942" s="1" t="n">
        <v>45627</v>
      </c>
      <c r="D2942" t="inlineStr">
        <is>
          <t>HALLANDS LÄN</t>
        </is>
      </c>
      <c r="E2942" t="inlineStr">
        <is>
          <t>HYLTE</t>
        </is>
      </c>
      <c r="G2942" t="n">
        <v>0.5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38477-2023</t>
        </is>
      </c>
      <c r="B2943" s="1" t="n">
        <v>45162</v>
      </c>
      <c r="C2943" s="1" t="n">
        <v>45627</v>
      </c>
      <c r="D2943" t="inlineStr">
        <is>
          <t>HALLANDS LÄN</t>
        </is>
      </c>
      <c r="E2943" t="inlineStr">
        <is>
          <t>LAHOLM</t>
        </is>
      </c>
      <c r="G2943" t="n">
        <v>4.5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38657-2023</t>
        </is>
      </c>
      <c r="B2944" s="1" t="n">
        <v>45162</v>
      </c>
      <c r="C2944" s="1" t="n">
        <v>45627</v>
      </c>
      <c r="D2944" t="inlineStr">
        <is>
          <t>HALLANDS LÄN</t>
        </is>
      </c>
      <c r="E2944" t="inlineStr">
        <is>
          <t>FALKENBERG</t>
        </is>
      </c>
      <c r="G2944" t="n">
        <v>3.8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38825-2023</t>
        </is>
      </c>
      <c r="B2945" s="1" t="n">
        <v>45163</v>
      </c>
      <c r="C2945" s="1" t="n">
        <v>45627</v>
      </c>
      <c r="D2945" t="inlineStr">
        <is>
          <t>HALLANDS LÄN</t>
        </is>
      </c>
      <c r="E2945" t="inlineStr">
        <is>
          <t>HYLTE</t>
        </is>
      </c>
      <c r="G2945" t="n">
        <v>2.2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38854-2023</t>
        </is>
      </c>
      <c r="B2946" s="1" t="n">
        <v>45163</v>
      </c>
      <c r="C2946" s="1" t="n">
        <v>45627</v>
      </c>
      <c r="D2946" t="inlineStr">
        <is>
          <t>HALLANDS LÄN</t>
        </is>
      </c>
      <c r="E2946" t="inlineStr">
        <is>
          <t>HYLTE</t>
        </is>
      </c>
      <c r="G2946" t="n">
        <v>1.3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38701-2023</t>
        </is>
      </c>
      <c r="B2947" s="1" t="n">
        <v>45163</v>
      </c>
      <c r="C2947" s="1" t="n">
        <v>45627</v>
      </c>
      <c r="D2947" t="inlineStr">
        <is>
          <t>HALLANDS LÄN</t>
        </is>
      </c>
      <c r="E2947" t="inlineStr">
        <is>
          <t>HYLTE</t>
        </is>
      </c>
      <c r="G2947" t="n">
        <v>1.2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38905-2023</t>
        </is>
      </c>
      <c r="B2948" s="1" t="n">
        <v>45163</v>
      </c>
      <c r="C2948" s="1" t="n">
        <v>45627</v>
      </c>
      <c r="D2948" t="inlineStr">
        <is>
          <t>HALLANDS LÄN</t>
        </is>
      </c>
      <c r="E2948" t="inlineStr">
        <is>
          <t>FALKENBERG</t>
        </is>
      </c>
      <c r="G2948" t="n">
        <v>3.5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38920-2023</t>
        </is>
      </c>
      <c r="B2949" s="1" t="n">
        <v>45163</v>
      </c>
      <c r="C2949" s="1" t="n">
        <v>45627</v>
      </c>
      <c r="D2949" t="inlineStr">
        <is>
          <t>HALLANDS LÄN</t>
        </is>
      </c>
      <c r="E2949" t="inlineStr">
        <is>
          <t>FALKENBERG</t>
        </is>
      </c>
      <c r="G2949" t="n">
        <v>5.2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38943-2023</t>
        </is>
      </c>
      <c r="B2950" s="1" t="n">
        <v>45163</v>
      </c>
      <c r="C2950" s="1" t="n">
        <v>45627</v>
      </c>
      <c r="D2950" t="inlineStr">
        <is>
          <t>HALLANDS LÄN</t>
        </is>
      </c>
      <c r="E2950" t="inlineStr">
        <is>
          <t>HALMSTAD</t>
        </is>
      </c>
      <c r="G2950" t="n">
        <v>4.1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39329-2023</t>
        </is>
      </c>
      <c r="B2951" s="1" t="n">
        <v>45166</v>
      </c>
      <c r="C2951" s="1" t="n">
        <v>45627</v>
      </c>
      <c r="D2951" t="inlineStr">
        <is>
          <t>HALLANDS LÄN</t>
        </is>
      </c>
      <c r="E2951" t="inlineStr">
        <is>
          <t>HYLTE</t>
        </is>
      </c>
      <c r="G2951" t="n">
        <v>0.9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39465-2023</t>
        </is>
      </c>
      <c r="B2952" s="1" t="n">
        <v>45166</v>
      </c>
      <c r="C2952" s="1" t="n">
        <v>45627</v>
      </c>
      <c r="D2952" t="inlineStr">
        <is>
          <t>HALLANDS LÄN</t>
        </is>
      </c>
      <c r="E2952" t="inlineStr">
        <is>
          <t>LAHOLM</t>
        </is>
      </c>
      <c r="G2952" t="n">
        <v>0.9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39477-2023</t>
        </is>
      </c>
      <c r="B2953" s="1" t="n">
        <v>45166</v>
      </c>
      <c r="C2953" s="1" t="n">
        <v>45627</v>
      </c>
      <c r="D2953" t="inlineStr">
        <is>
          <t>HALLANDS LÄN</t>
        </is>
      </c>
      <c r="E2953" t="inlineStr">
        <is>
          <t>VARBERG</t>
        </is>
      </c>
      <c r="G2953" t="n">
        <v>0.9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39634-2023</t>
        </is>
      </c>
      <c r="B2954" s="1" t="n">
        <v>45167</v>
      </c>
      <c r="C2954" s="1" t="n">
        <v>45627</v>
      </c>
      <c r="D2954" t="inlineStr">
        <is>
          <t>HALLANDS LÄN</t>
        </is>
      </c>
      <c r="E2954" t="inlineStr">
        <is>
          <t>HYLTE</t>
        </is>
      </c>
      <c r="G2954" t="n">
        <v>2.2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39734-2023</t>
        </is>
      </c>
      <c r="B2955" s="1" t="n">
        <v>45167</v>
      </c>
      <c r="C2955" s="1" t="n">
        <v>45627</v>
      </c>
      <c r="D2955" t="inlineStr">
        <is>
          <t>HALLANDS LÄN</t>
        </is>
      </c>
      <c r="E2955" t="inlineStr">
        <is>
          <t>HYLTE</t>
        </is>
      </c>
      <c r="G2955" t="n">
        <v>6.6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39746-2023</t>
        </is>
      </c>
      <c r="B2956" s="1" t="n">
        <v>45167</v>
      </c>
      <c r="C2956" s="1" t="n">
        <v>45627</v>
      </c>
      <c r="D2956" t="inlineStr">
        <is>
          <t>HALLANDS LÄN</t>
        </is>
      </c>
      <c r="E2956" t="inlineStr">
        <is>
          <t>HALMSTAD</t>
        </is>
      </c>
      <c r="F2956" t="inlineStr">
        <is>
          <t>Kommuner</t>
        </is>
      </c>
      <c r="G2956" t="n">
        <v>1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39718-2023</t>
        </is>
      </c>
      <c r="B2957" s="1" t="n">
        <v>45167</v>
      </c>
      <c r="C2957" s="1" t="n">
        <v>45627</v>
      </c>
      <c r="D2957" t="inlineStr">
        <is>
          <t>HALLANDS LÄN</t>
        </is>
      </c>
      <c r="E2957" t="inlineStr">
        <is>
          <t>HYLTE</t>
        </is>
      </c>
      <c r="G2957" t="n">
        <v>2.8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39747-2023</t>
        </is>
      </c>
      <c r="B2958" s="1" t="n">
        <v>45167</v>
      </c>
      <c r="C2958" s="1" t="n">
        <v>45627</v>
      </c>
      <c r="D2958" t="inlineStr">
        <is>
          <t>HALLANDS LÄN</t>
        </is>
      </c>
      <c r="E2958" t="inlineStr">
        <is>
          <t>HALMSTAD</t>
        </is>
      </c>
      <c r="F2958" t="inlineStr">
        <is>
          <t>Kommuner</t>
        </is>
      </c>
      <c r="G2958" t="n">
        <v>2.5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39954-2023</t>
        </is>
      </c>
      <c r="B2959" s="1" t="n">
        <v>45168</v>
      </c>
      <c r="C2959" s="1" t="n">
        <v>45627</v>
      </c>
      <c r="D2959" t="inlineStr">
        <is>
          <t>HALLANDS LÄN</t>
        </is>
      </c>
      <c r="E2959" t="inlineStr">
        <is>
          <t>HYLTE</t>
        </is>
      </c>
      <c r="G2959" t="n">
        <v>0.8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39956-2023</t>
        </is>
      </c>
      <c r="B2960" s="1" t="n">
        <v>45168</v>
      </c>
      <c r="C2960" s="1" t="n">
        <v>45627</v>
      </c>
      <c r="D2960" t="inlineStr">
        <is>
          <t>HALLANDS LÄN</t>
        </is>
      </c>
      <c r="E2960" t="inlineStr">
        <is>
          <t>HYLTE</t>
        </is>
      </c>
      <c r="G2960" t="n">
        <v>0.9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39903-2023</t>
        </is>
      </c>
      <c r="B2961" s="1" t="n">
        <v>45168</v>
      </c>
      <c r="C2961" s="1" t="n">
        <v>45627</v>
      </c>
      <c r="D2961" t="inlineStr">
        <is>
          <t>HALLANDS LÄN</t>
        </is>
      </c>
      <c r="E2961" t="inlineStr">
        <is>
          <t>LAHOLM</t>
        </is>
      </c>
      <c r="G2961" t="n">
        <v>3.1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40623-2023</t>
        </is>
      </c>
      <c r="B2962" s="1" t="n">
        <v>45168</v>
      </c>
      <c r="C2962" s="1" t="n">
        <v>45627</v>
      </c>
      <c r="D2962" t="inlineStr">
        <is>
          <t>HALLANDS LÄN</t>
        </is>
      </c>
      <c r="E2962" t="inlineStr">
        <is>
          <t>HALMSTAD</t>
        </is>
      </c>
      <c r="F2962" t="inlineStr">
        <is>
          <t>Kommuner</t>
        </is>
      </c>
      <c r="G2962" t="n">
        <v>1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40669-2023</t>
        </is>
      </c>
      <c r="B2963" s="1" t="n">
        <v>45168</v>
      </c>
      <c r="C2963" s="1" t="n">
        <v>45627</v>
      </c>
      <c r="D2963" t="inlineStr">
        <is>
          <t>HALLANDS LÄN</t>
        </is>
      </c>
      <c r="E2963" t="inlineStr">
        <is>
          <t>HALMSTAD</t>
        </is>
      </c>
      <c r="F2963" t="inlineStr">
        <is>
          <t>Kommuner</t>
        </is>
      </c>
      <c r="G2963" t="n">
        <v>4.3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40561-2023</t>
        </is>
      </c>
      <c r="B2964" s="1" t="n">
        <v>45168</v>
      </c>
      <c r="C2964" s="1" t="n">
        <v>45627</v>
      </c>
      <c r="D2964" t="inlineStr">
        <is>
          <t>HALLANDS LÄN</t>
        </is>
      </c>
      <c r="E2964" t="inlineStr">
        <is>
          <t>HALMSTAD</t>
        </is>
      </c>
      <c r="F2964" t="inlineStr">
        <is>
          <t>Kommuner</t>
        </is>
      </c>
      <c r="G2964" t="n">
        <v>2.4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40716-2023</t>
        </is>
      </c>
      <c r="B2965" s="1" t="n">
        <v>45168</v>
      </c>
      <c r="C2965" s="1" t="n">
        <v>45627</v>
      </c>
      <c r="D2965" t="inlineStr">
        <is>
          <t>HALLANDS LÄN</t>
        </is>
      </c>
      <c r="E2965" t="inlineStr">
        <is>
          <t>HALMSTAD</t>
        </is>
      </c>
      <c r="F2965" t="inlineStr">
        <is>
          <t>Kommuner</t>
        </is>
      </c>
      <c r="G2965" t="n">
        <v>1.9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40652-2023</t>
        </is>
      </c>
      <c r="B2966" s="1" t="n">
        <v>45168</v>
      </c>
      <c r="C2966" s="1" t="n">
        <v>45627</v>
      </c>
      <c r="D2966" t="inlineStr">
        <is>
          <t>HALLANDS LÄN</t>
        </is>
      </c>
      <c r="E2966" t="inlineStr">
        <is>
          <t>HALMSTAD</t>
        </is>
      </c>
      <c r="F2966" t="inlineStr">
        <is>
          <t>Kommuner</t>
        </is>
      </c>
      <c r="G2966" t="n">
        <v>1.1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40600-2023</t>
        </is>
      </c>
      <c r="B2967" s="1" t="n">
        <v>45168</v>
      </c>
      <c r="C2967" s="1" t="n">
        <v>45627</v>
      </c>
      <c r="D2967" t="inlineStr">
        <is>
          <t>HALLANDS LÄN</t>
        </is>
      </c>
      <c r="E2967" t="inlineStr">
        <is>
          <t>HALMSTAD</t>
        </is>
      </c>
      <c r="F2967" t="inlineStr">
        <is>
          <t>Kommuner</t>
        </is>
      </c>
      <c r="G2967" t="n">
        <v>1.9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40629-2023</t>
        </is>
      </c>
      <c r="B2968" s="1" t="n">
        <v>45168</v>
      </c>
      <c r="C2968" s="1" t="n">
        <v>45627</v>
      </c>
      <c r="D2968" t="inlineStr">
        <is>
          <t>HALLANDS LÄN</t>
        </is>
      </c>
      <c r="E2968" t="inlineStr">
        <is>
          <t>HALMSTAD</t>
        </is>
      </c>
      <c r="F2968" t="inlineStr">
        <is>
          <t>Kommuner</t>
        </is>
      </c>
      <c r="G2968" t="n">
        <v>6.3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40708-2023</t>
        </is>
      </c>
      <c r="B2969" s="1" t="n">
        <v>45168</v>
      </c>
      <c r="C2969" s="1" t="n">
        <v>45627</v>
      </c>
      <c r="D2969" t="inlineStr">
        <is>
          <t>HALLANDS LÄN</t>
        </is>
      </c>
      <c r="E2969" t="inlineStr">
        <is>
          <t>HALMSTAD</t>
        </is>
      </c>
      <c r="F2969" t="inlineStr">
        <is>
          <t>Kommuner</t>
        </is>
      </c>
      <c r="G2969" t="n">
        <v>13.4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40595-2023</t>
        </is>
      </c>
      <c r="B2970" s="1" t="n">
        <v>45168</v>
      </c>
      <c r="C2970" s="1" t="n">
        <v>45627</v>
      </c>
      <c r="D2970" t="inlineStr">
        <is>
          <t>HALLANDS LÄN</t>
        </is>
      </c>
      <c r="E2970" t="inlineStr">
        <is>
          <t>HALMSTAD</t>
        </is>
      </c>
      <c r="F2970" t="inlineStr">
        <is>
          <t>Kommuner</t>
        </is>
      </c>
      <c r="G2970" t="n">
        <v>7.1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40697-2023</t>
        </is>
      </c>
      <c r="B2971" s="1" t="n">
        <v>45168</v>
      </c>
      <c r="C2971" s="1" t="n">
        <v>45627</v>
      </c>
      <c r="D2971" t="inlineStr">
        <is>
          <t>HALLANDS LÄN</t>
        </is>
      </c>
      <c r="E2971" t="inlineStr">
        <is>
          <t>HALMSTAD</t>
        </is>
      </c>
      <c r="F2971" t="inlineStr">
        <is>
          <t>Kommuner</t>
        </is>
      </c>
      <c r="G2971" t="n">
        <v>4.5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40658-2023</t>
        </is>
      </c>
      <c r="B2972" s="1" t="n">
        <v>45168</v>
      </c>
      <c r="C2972" s="1" t="n">
        <v>45627</v>
      </c>
      <c r="D2972" t="inlineStr">
        <is>
          <t>HALLANDS LÄN</t>
        </is>
      </c>
      <c r="E2972" t="inlineStr">
        <is>
          <t>HALMSTAD</t>
        </is>
      </c>
      <c r="F2972" t="inlineStr">
        <is>
          <t>Kommuner</t>
        </is>
      </c>
      <c r="G2972" t="n">
        <v>1.7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40601-2023</t>
        </is>
      </c>
      <c r="B2973" s="1" t="n">
        <v>45168</v>
      </c>
      <c r="C2973" s="1" t="n">
        <v>45627</v>
      </c>
      <c r="D2973" t="inlineStr">
        <is>
          <t>HALLANDS LÄN</t>
        </is>
      </c>
      <c r="E2973" t="inlineStr">
        <is>
          <t>HALMSTAD</t>
        </is>
      </c>
      <c r="F2973" t="inlineStr">
        <is>
          <t>Kommuner</t>
        </is>
      </c>
      <c r="G2973" t="n">
        <v>3.1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40582-2023</t>
        </is>
      </c>
      <c r="B2974" s="1" t="n">
        <v>45168</v>
      </c>
      <c r="C2974" s="1" t="n">
        <v>45627</v>
      </c>
      <c r="D2974" t="inlineStr">
        <is>
          <t>HALLANDS LÄN</t>
        </is>
      </c>
      <c r="E2974" t="inlineStr">
        <is>
          <t>HALMSTAD</t>
        </is>
      </c>
      <c r="F2974" t="inlineStr">
        <is>
          <t>Kommuner</t>
        </is>
      </c>
      <c r="G2974" t="n">
        <v>0.6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40491-2023</t>
        </is>
      </c>
      <c r="B2975" s="1" t="n">
        <v>45168</v>
      </c>
      <c r="C2975" s="1" t="n">
        <v>45627</v>
      </c>
      <c r="D2975" t="inlineStr">
        <is>
          <t>HALLANDS LÄN</t>
        </is>
      </c>
      <c r="E2975" t="inlineStr">
        <is>
          <t>HALMSTAD</t>
        </is>
      </c>
      <c r="F2975" t="inlineStr">
        <is>
          <t>Kommuner</t>
        </is>
      </c>
      <c r="G2975" t="n">
        <v>1.2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40639-2023</t>
        </is>
      </c>
      <c r="B2976" s="1" t="n">
        <v>45168</v>
      </c>
      <c r="C2976" s="1" t="n">
        <v>45627</v>
      </c>
      <c r="D2976" t="inlineStr">
        <is>
          <t>HALLANDS LÄN</t>
        </is>
      </c>
      <c r="E2976" t="inlineStr">
        <is>
          <t>HALMSTAD</t>
        </is>
      </c>
      <c r="F2976" t="inlineStr">
        <is>
          <t>Kommuner</t>
        </is>
      </c>
      <c r="G2976" t="n">
        <v>4.8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40606-2023</t>
        </is>
      </c>
      <c r="B2977" s="1" t="n">
        <v>45168</v>
      </c>
      <c r="C2977" s="1" t="n">
        <v>45627</v>
      </c>
      <c r="D2977" t="inlineStr">
        <is>
          <t>HALLANDS LÄN</t>
        </is>
      </c>
      <c r="E2977" t="inlineStr">
        <is>
          <t>HALMSTAD</t>
        </is>
      </c>
      <c r="F2977" t="inlineStr">
        <is>
          <t>Kommuner</t>
        </is>
      </c>
      <c r="G2977" t="n">
        <v>0.6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40659-2023</t>
        </is>
      </c>
      <c r="B2978" s="1" t="n">
        <v>45168</v>
      </c>
      <c r="C2978" s="1" t="n">
        <v>45627</v>
      </c>
      <c r="D2978" t="inlineStr">
        <is>
          <t>HALLANDS LÄN</t>
        </is>
      </c>
      <c r="E2978" t="inlineStr">
        <is>
          <t>HALMSTAD</t>
        </is>
      </c>
      <c r="F2978" t="inlineStr">
        <is>
          <t>Kommuner</t>
        </is>
      </c>
      <c r="G2978" t="n">
        <v>3.1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40542-2023</t>
        </is>
      </c>
      <c r="B2979" s="1" t="n">
        <v>45168</v>
      </c>
      <c r="C2979" s="1" t="n">
        <v>45627</v>
      </c>
      <c r="D2979" t="inlineStr">
        <is>
          <t>HALLANDS LÄN</t>
        </is>
      </c>
      <c r="E2979" t="inlineStr">
        <is>
          <t>HALMSTAD</t>
        </is>
      </c>
      <c r="F2979" t="inlineStr">
        <is>
          <t>Kommuner</t>
        </is>
      </c>
      <c r="G2979" t="n">
        <v>2.2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40702-2023</t>
        </is>
      </c>
      <c r="B2980" s="1" t="n">
        <v>45168</v>
      </c>
      <c r="C2980" s="1" t="n">
        <v>45627</v>
      </c>
      <c r="D2980" t="inlineStr">
        <is>
          <t>HALLANDS LÄN</t>
        </is>
      </c>
      <c r="E2980" t="inlineStr">
        <is>
          <t>HALMSTAD</t>
        </is>
      </c>
      <c r="F2980" t="inlineStr">
        <is>
          <t>Kommuner</t>
        </is>
      </c>
      <c r="G2980" t="n">
        <v>1.2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40644-2023</t>
        </is>
      </c>
      <c r="B2981" s="1" t="n">
        <v>45168</v>
      </c>
      <c r="C2981" s="1" t="n">
        <v>45627</v>
      </c>
      <c r="D2981" t="inlineStr">
        <is>
          <t>HALLANDS LÄN</t>
        </is>
      </c>
      <c r="E2981" t="inlineStr">
        <is>
          <t>HALMSTAD</t>
        </is>
      </c>
      <c r="F2981" t="inlineStr">
        <is>
          <t>Kommuner</t>
        </is>
      </c>
      <c r="G2981" t="n">
        <v>1.3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40589-2023</t>
        </is>
      </c>
      <c r="B2982" s="1" t="n">
        <v>45168</v>
      </c>
      <c r="C2982" s="1" t="n">
        <v>45627</v>
      </c>
      <c r="D2982" t="inlineStr">
        <is>
          <t>HALLANDS LÄN</t>
        </is>
      </c>
      <c r="E2982" t="inlineStr">
        <is>
          <t>HALMSTAD</t>
        </is>
      </c>
      <c r="F2982" t="inlineStr">
        <is>
          <t>Kommuner</t>
        </is>
      </c>
      <c r="G2982" t="n">
        <v>2.5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40165-2023</t>
        </is>
      </c>
      <c r="B2983" s="1" t="n">
        <v>45169</v>
      </c>
      <c r="C2983" s="1" t="n">
        <v>45627</v>
      </c>
      <c r="D2983" t="inlineStr">
        <is>
          <t>HALLANDS LÄN</t>
        </is>
      </c>
      <c r="E2983" t="inlineStr">
        <is>
          <t>HYLTE</t>
        </is>
      </c>
      <c r="G2983" t="n">
        <v>1.4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40345-2023</t>
        </is>
      </c>
      <c r="B2984" s="1" t="n">
        <v>45169</v>
      </c>
      <c r="C2984" s="1" t="n">
        <v>45627</v>
      </c>
      <c r="D2984" t="inlineStr">
        <is>
          <t>HALLANDS LÄN</t>
        </is>
      </c>
      <c r="E2984" t="inlineStr">
        <is>
          <t>HALMSTAD</t>
        </is>
      </c>
      <c r="G2984" t="n">
        <v>0.8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40358-2023</t>
        </is>
      </c>
      <c r="B2985" s="1" t="n">
        <v>45169</v>
      </c>
      <c r="C2985" s="1" t="n">
        <v>45627</v>
      </c>
      <c r="D2985" t="inlineStr">
        <is>
          <t>HALLANDS LÄN</t>
        </is>
      </c>
      <c r="E2985" t="inlineStr">
        <is>
          <t>LAHOLM</t>
        </is>
      </c>
      <c r="G2985" t="n">
        <v>1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40348-2023</t>
        </is>
      </c>
      <c r="B2986" s="1" t="n">
        <v>45169</v>
      </c>
      <c r="C2986" s="1" t="n">
        <v>45627</v>
      </c>
      <c r="D2986" t="inlineStr">
        <is>
          <t>HALLANDS LÄN</t>
        </is>
      </c>
      <c r="E2986" t="inlineStr">
        <is>
          <t>HYLTE</t>
        </is>
      </c>
      <c r="G2986" t="n">
        <v>3.1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40127-2023</t>
        </is>
      </c>
      <c r="B2987" s="1" t="n">
        <v>45169</v>
      </c>
      <c r="C2987" s="1" t="n">
        <v>45627</v>
      </c>
      <c r="D2987" t="inlineStr">
        <is>
          <t>HALLANDS LÄN</t>
        </is>
      </c>
      <c r="E2987" t="inlineStr">
        <is>
          <t>FALKENBERG</t>
        </is>
      </c>
      <c r="G2987" t="n">
        <v>1.3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40359-2023</t>
        </is>
      </c>
      <c r="B2988" s="1" t="n">
        <v>45169</v>
      </c>
      <c r="C2988" s="1" t="n">
        <v>45627</v>
      </c>
      <c r="D2988" t="inlineStr">
        <is>
          <t>HALLANDS LÄN</t>
        </is>
      </c>
      <c r="E2988" t="inlineStr">
        <is>
          <t>HALMSTAD</t>
        </is>
      </c>
      <c r="G2988" t="n">
        <v>1.3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40616-2023</t>
        </is>
      </c>
      <c r="B2989" s="1" t="n">
        <v>45169</v>
      </c>
      <c r="C2989" s="1" t="n">
        <v>45627</v>
      </c>
      <c r="D2989" t="inlineStr">
        <is>
          <t>HALLANDS LÄN</t>
        </is>
      </c>
      <c r="E2989" t="inlineStr">
        <is>
          <t>FALKENBERG</t>
        </is>
      </c>
      <c r="G2989" t="n">
        <v>1.1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40562-2023</t>
        </is>
      </c>
      <c r="B2990" s="1" t="n">
        <v>45170</v>
      </c>
      <c r="C2990" s="1" t="n">
        <v>45627</v>
      </c>
      <c r="D2990" t="inlineStr">
        <is>
          <t>HALLANDS LÄN</t>
        </is>
      </c>
      <c r="E2990" t="inlineStr">
        <is>
          <t>HYLTE</t>
        </is>
      </c>
      <c r="G2990" t="n">
        <v>0.6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40544-2023</t>
        </is>
      </c>
      <c r="B2991" s="1" t="n">
        <v>45170</v>
      </c>
      <c r="C2991" s="1" t="n">
        <v>45627</v>
      </c>
      <c r="D2991" t="inlineStr">
        <is>
          <t>HALLANDS LÄN</t>
        </is>
      </c>
      <c r="E2991" t="inlineStr">
        <is>
          <t>HYLTE</t>
        </is>
      </c>
      <c r="G2991" t="n">
        <v>2.5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40725-2023</t>
        </is>
      </c>
      <c r="B2992" s="1" t="n">
        <v>45170</v>
      </c>
      <c r="C2992" s="1" t="n">
        <v>45627</v>
      </c>
      <c r="D2992" t="inlineStr">
        <is>
          <t>HALLANDS LÄN</t>
        </is>
      </c>
      <c r="E2992" t="inlineStr">
        <is>
          <t>HYLTE</t>
        </is>
      </c>
      <c r="G2992" t="n">
        <v>1.4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40737-2023</t>
        </is>
      </c>
      <c r="B2993" s="1" t="n">
        <v>45170</v>
      </c>
      <c r="C2993" s="1" t="n">
        <v>45627</v>
      </c>
      <c r="D2993" t="inlineStr">
        <is>
          <t>HALLANDS LÄN</t>
        </is>
      </c>
      <c r="E2993" t="inlineStr">
        <is>
          <t>HALMSTAD</t>
        </is>
      </c>
      <c r="G2993" t="n">
        <v>2.4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40741-2023</t>
        </is>
      </c>
      <c r="B2994" s="1" t="n">
        <v>45170</v>
      </c>
      <c r="C2994" s="1" t="n">
        <v>45627</v>
      </c>
      <c r="D2994" t="inlineStr">
        <is>
          <t>HALLANDS LÄN</t>
        </is>
      </c>
      <c r="E2994" t="inlineStr">
        <is>
          <t>HALMSTAD</t>
        </is>
      </c>
      <c r="G2994" t="n">
        <v>4.1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40481-2023</t>
        </is>
      </c>
      <c r="B2995" s="1" t="n">
        <v>45170</v>
      </c>
      <c r="C2995" s="1" t="n">
        <v>45627</v>
      </c>
      <c r="D2995" t="inlineStr">
        <is>
          <t>HALLANDS LÄN</t>
        </is>
      </c>
      <c r="E2995" t="inlineStr">
        <is>
          <t>LAHOLM</t>
        </is>
      </c>
      <c r="G2995" t="n">
        <v>1.6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40730-2023</t>
        </is>
      </c>
      <c r="B2996" s="1" t="n">
        <v>45170</v>
      </c>
      <c r="C2996" s="1" t="n">
        <v>45627</v>
      </c>
      <c r="D2996" t="inlineStr">
        <is>
          <t>HALLANDS LÄN</t>
        </is>
      </c>
      <c r="E2996" t="inlineStr">
        <is>
          <t>HALMSTAD</t>
        </is>
      </c>
      <c r="G2996" t="n">
        <v>2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40734-2023</t>
        </is>
      </c>
      <c r="B2997" s="1" t="n">
        <v>45170</v>
      </c>
      <c r="C2997" s="1" t="n">
        <v>45627</v>
      </c>
      <c r="D2997" t="inlineStr">
        <is>
          <t>HALLANDS LÄN</t>
        </is>
      </c>
      <c r="E2997" t="inlineStr">
        <is>
          <t>HALMSTAD</t>
        </is>
      </c>
      <c r="G2997" t="n">
        <v>5.2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40732-2023</t>
        </is>
      </c>
      <c r="B2998" s="1" t="n">
        <v>45170</v>
      </c>
      <c r="C2998" s="1" t="n">
        <v>45627</v>
      </c>
      <c r="D2998" t="inlineStr">
        <is>
          <t>HALLANDS LÄN</t>
        </is>
      </c>
      <c r="E2998" t="inlineStr">
        <is>
          <t>HALMSTAD</t>
        </is>
      </c>
      <c r="G2998" t="n">
        <v>5.4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40731-2023</t>
        </is>
      </c>
      <c r="B2999" s="1" t="n">
        <v>45170</v>
      </c>
      <c r="C2999" s="1" t="n">
        <v>45627</v>
      </c>
      <c r="D2999" t="inlineStr">
        <is>
          <t>HALLANDS LÄN</t>
        </is>
      </c>
      <c r="E2999" t="inlineStr">
        <is>
          <t>HYLTE</t>
        </is>
      </c>
      <c r="G2999" t="n">
        <v>1.8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40735-2023</t>
        </is>
      </c>
      <c r="B3000" s="1" t="n">
        <v>45170</v>
      </c>
      <c r="C3000" s="1" t="n">
        <v>45627</v>
      </c>
      <c r="D3000" t="inlineStr">
        <is>
          <t>HALLANDS LÄN</t>
        </is>
      </c>
      <c r="E3000" t="inlineStr">
        <is>
          <t>HALMSTAD</t>
        </is>
      </c>
      <c r="G3000" t="n">
        <v>1.3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40739-2023</t>
        </is>
      </c>
      <c r="B3001" s="1" t="n">
        <v>45170</v>
      </c>
      <c r="C3001" s="1" t="n">
        <v>45627</v>
      </c>
      <c r="D3001" t="inlineStr">
        <is>
          <t>HALLANDS LÄN</t>
        </is>
      </c>
      <c r="E3001" t="inlineStr">
        <is>
          <t>HALMSTAD</t>
        </is>
      </c>
      <c r="G3001" t="n">
        <v>0.6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40810-2023</t>
        </is>
      </c>
      <c r="B3002" s="1" t="n">
        <v>45171</v>
      </c>
      <c r="C3002" s="1" t="n">
        <v>45627</v>
      </c>
      <c r="D3002" t="inlineStr">
        <is>
          <t>HALLANDS LÄN</t>
        </is>
      </c>
      <c r="E3002" t="inlineStr">
        <is>
          <t>LAHOLM</t>
        </is>
      </c>
      <c r="G3002" t="n">
        <v>2.1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40809-2023</t>
        </is>
      </c>
      <c r="B3003" s="1" t="n">
        <v>45171</v>
      </c>
      <c r="C3003" s="1" t="n">
        <v>45627</v>
      </c>
      <c r="D3003" t="inlineStr">
        <is>
          <t>HALLANDS LÄN</t>
        </is>
      </c>
      <c r="E3003" t="inlineStr">
        <is>
          <t>LAHOLM</t>
        </is>
      </c>
      <c r="G3003" t="n">
        <v>1.2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40845-2023</t>
        </is>
      </c>
      <c r="B3004" s="1" t="n">
        <v>45173</v>
      </c>
      <c r="C3004" s="1" t="n">
        <v>45627</v>
      </c>
      <c r="D3004" t="inlineStr">
        <is>
          <t>HALLANDS LÄN</t>
        </is>
      </c>
      <c r="E3004" t="inlineStr">
        <is>
          <t>HALMSTAD</t>
        </is>
      </c>
      <c r="G3004" t="n">
        <v>0.6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40846-2023</t>
        </is>
      </c>
      <c r="B3005" s="1" t="n">
        <v>45173</v>
      </c>
      <c r="C3005" s="1" t="n">
        <v>45627</v>
      </c>
      <c r="D3005" t="inlineStr">
        <is>
          <t>HALLANDS LÄN</t>
        </is>
      </c>
      <c r="E3005" t="inlineStr">
        <is>
          <t>HALMSTAD</t>
        </is>
      </c>
      <c r="G3005" t="n">
        <v>0.6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41012-2023</t>
        </is>
      </c>
      <c r="B3006" s="1" t="n">
        <v>45173</v>
      </c>
      <c r="C3006" s="1" t="n">
        <v>45627</v>
      </c>
      <c r="D3006" t="inlineStr">
        <is>
          <t>HALLANDS LÄN</t>
        </is>
      </c>
      <c r="E3006" t="inlineStr">
        <is>
          <t>HYLTE</t>
        </is>
      </c>
      <c r="G3006" t="n">
        <v>3.3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40994-2023</t>
        </is>
      </c>
      <c r="B3007" s="1" t="n">
        <v>45173</v>
      </c>
      <c r="C3007" s="1" t="n">
        <v>45627</v>
      </c>
      <c r="D3007" t="inlineStr">
        <is>
          <t>HALLANDS LÄN</t>
        </is>
      </c>
      <c r="E3007" t="inlineStr">
        <is>
          <t>FALKENBERG</t>
        </is>
      </c>
      <c r="G3007" t="n">
        <v>3.4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41238-2023</t>
        </is>
      </c>
      <c r="B3008" s="1" t="n">
        <v>45174</v>
      </c>
      <c r="C3008" s="1" t="n">
        <v>45627</v>
      </c>
      <c r="D3008" t="inlineStr">
        <is>
          <t>HALLANDS LÄN</t>
        </is>
      </c>
      <c r="E3008" t="inlineStr">
        <is>
          <t>FALKENBERG</t>
        </is>
      </c>
      <c r="G3008" t="n">
        <v>1.8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41235-2023</t>
        </is>
      </c>
      <c r="B3009" s="1" t="n">
        <v>45174</v>
      </c>
      <c r="C3009" s="1" t="n">
        <v>45627</v>
      </c>
      <c r="D3009" t="inlineStr">
        <is>
          <t>HALLANDS LÄN</t>
        </is>
      </c>
      <c r="E3009" t="inlineStr">
        <is>
          <t>FALKENBERG</t>
        </is>
      </c>
      <c r="G3009" t="n">
        <v>2.1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41244-2023</t>
        </is>
      </c>
      <c r="B3010" s="1" t="n">
        <v>45174</v>
      </c>
      <c r="C3010" s="1" t="n">
        <v>45627</v>
      </c>
      <c r="D3010" t="inlineStr">
        <is>
          <t>HALLANDS LÄN</t>
        </is>
      </c>
      <c r="E3010" t="inlineStr">
        <is>
          <t>FALKENBERG</t>
        </is>
      </c>
      <c r="G3010" t="n">
        <v>0.4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41233-2023</t>
        </is>
      </c>
      <c r="B3011" s="1" t="n">
        <v>45174</v>
      </c>
      <c r="C3011" s="1" t="n">
        <v>45627</v>
      </c>
      <c r="D3011" t="inlineStr">
        <is>
          <t>HALLANDS LÄN</t>
        </is>
      </c>
      <c r="E3011" t="inlineStr">
        <is>
          <t>FALKENBERG</t>
        </is>
      </c>
      <c r="G3011" t="n">
        <v>1.8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41242-2023</t>
        </is>
      </c>
      <c r="B3012" s="1" t="n">
        <v>45174</v>
      </c>
      <c r="C3012" s="1" t="n">
        <v>45627</v>
      </c>
      <c r="D3012" t="inlineStr">
        <is>
          <t>HALLANDS LÄN</t>
        </is>
      </c>
      <c r="E3012" t="inlineStr">
        <is>
          <t>FALKENBERG</t>
        </is>
      </c>
      <c r="G3012" t="n">
        <v>0.6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41289-2023</t>
        </is>
      </c>
      <c r="B3013" s="1" t="n">
        <v>45174</v>
      </c>
      <c r="C3013" s="1" t="n">
        <v>45627</v>
      </c>
      <c r="D3013" t="inlineStr">
        <is>
          <t>HALLANDS LÄN</t>
        </is>
      </c>
      <c r="E3013" t="inlineStr">
        <is>
          <t>LAHOLM</t>
        </is>
      </c>
      <c r="G3013" t="n">
        <v>0.4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41372-2023</t>
        </is>
      </c>
      <c r="B3014" s="1" t="n">
        <v>45174</v>
      </c>
      <c r="C3014" s="1" t="n">
        <v>45627</v>
      </c>
      <c r="D3014" t="inlineStr">
        <is>
          <t>HALLANDS LÄN</t>
        </is>
      </c>
      <c r="E3014" t="inlineStr">
        <is>
          <t>FALKENBERG</t>
        </is>
      </c>
      <c r="G3014" t="n">
        <v>2.7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41425-2023</t>
        </is>
      </c>
      <c r="B3015" s="1" t="n">
        <v>45175</v>
      </c>
      <c r="C3015" s="1" t="n">
        <v>45627</v>
      </c>
      <c r="D3015" t="inlineStr">
        <is>
          <t>HALLANDS LÄN</t>
        </is>
      </c>
      <c r="E3015" t="inlineStr">
        <is>
          <t>FALKENBERG</t>
        </is>
      </c>
      <c r="G3015" t="n">
        <v>0.6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41493-2023</t>
        </is>
      </c>
      <c r="B3016" s="1" t="n">
        <v>45175</v>
      </c>
      <c r="C3016" s="1" t="n">
        <v>45627</v>
      </c>
      <c r="D3016" t="inlineStr">
        <is>
          <t>HALLANDS LÄN</t>
        </is>
      </c>
      <c r="E3016" t="inlineStr">
        <is>
          <t>FALKENBERG</t>
        </is>
      </c>
      <c r="G3016" t="n">
        <v>2.9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41667-2023</t>
        </is>
      </c>
      <c r="B3017" s="1" t="n">
        <v>45176</v>
      </c>
      <c r="C3017" s="1" t="n">
        <v>45627</v>
      </c>
      <c r="D3017" t="inlineStr">
        <is>
          <t>HALLANDS LÄN</t>
        </is>
      </c>
      <c r="E3017" t="inlineStr">
        <is>
          <t>LAHOLM</t>
        </is>
      </c>
      <c r="G3017" t="n">
        <v>1.9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41800-2023</t>
        </is>
      </c>
      <c r="B3018" s="1" t="n">
        <v>45176</v>
      </c>
      <c r="C3018" s="1" t="n">
        <v>45627</v>
      </c>
      <c r="D3018" t="inlineStr">
        <is>
          <t>HALLANDS LÄN</t>
        </is>
      </c>
      <c r="E3018" t="inlineStr">
        <is>
          <t>LAHOLM</t>
        </is>
      </c>
      <c r="G3018" t="n">
        <v>0.7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41835-2023</t>
        </is>
      </c>
      <c r="B3019" s="1" t="n">
        <v>45176</v>
      </c>
      <c r="C3019" s="1" t="n">
        <v>45627</v>
      </c>
      <c r="D3019" t="inlineStr">
        <is>
          <t>HALLANDS LÄN</t>
        </is>
      </c>
      <c r="E3019" t="inlineStr">
        <is>
          <t>FALKENBERG</t>
        </is>
      </c>
      <c r="G3019" t="n">
        <v>8.9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42582-2023</t>
        </is>
      </c>
      <c r="B3020" s="1" t="n">
        <v>45176</v>
      </c>
      <c r="C3020" s="1" t="n">
        <v>45627</v>
      </c>
      <c r="D3020" t="inlineStr">
        <is>
          <t>HALLANDS LÄN</t>
        </is>
      </c>
      <c r="E3020" t="inlineStr">
        <is>
          <t>HYLTE</t>
        </is>
      </c>
      <c r="G3020" t="n">
        <v>4.7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42657-2023</t>
        </is>
      </c>
      <c r="B3021" s="1" t="n">
        <v>45176</v>
      </c>
      <c r="C3021" s="1" t="n">
        <v>45627</v>
      </c>
      <c r="D3021" t="inlineStr">
        <is>
          <t>HALLANDS LÄN</t>
        </is>
      </c>
      <c r="E3021" t="inlineStr">
        <is>
          <t>HYLTE</t>
        </is>
      </c>
      <c r="F3021" t="inlineStr">
        <is>
          <t>Kyrkan</t>
        </is>
      </c>
      <c r="G3021" t="n">
        <v>1.5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42659-2023</t>
        </is>
      </c>
      <c r="B3022" s="1" t="n">
        <v>45176</v>
      </c>
      <c r="C3022" s="1" t="n">
        <v>45627</v>
      </c>
      <c r="D3022" t="inlineStr">
        <is>
          <t>HALLANDS LÄN</t>
        </is>
      </c>
      <c r="E3022" t="inlineStr">
        <is>
          <t>HYLTE</t>
        </is>
      </c>
      <c r="F3022" t="inlineStr">
        <is>
          <t>Kyrkan</t>
        </is>
      </c>
      <c r="G3022" t="n">
        <v>1.2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41961-2023</t>
        </is>
      </c>
      <c r="B3023" s="1" t="n">
        <v>45177</v>
      </c>
      <c r="C3023" s="1" t="n">
        <v>45627</v>
      </c>
      <c r="D3023" t="inlineStr">
        <is>
          <t>HALLANDS LÄN</t>
        </is>
      </c>
      <c r="E3023" t="inlineStr">
        <is>
          <t>VARBERG</t>
        </is>
      </c>
      <c r="G3023" t="n">
        <v>2.3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42189-2023</t>
        </is>
      </c>
      <c r="B3024" s="1" t="n">
        <v>45179</v>
      </c>
      <c r="C3024" s="1" t="n">
        <v>45627</v>
      </c>
      <c r="D3024" t="inlineStr">
        <is>
          <t>HALLANDS LÄN</t>
        </is>
      </c>
      <c r="E3024" t="inlineStr">
        <is>
          <t>LAHOLM</t>
        </is>
      </c>
      <c r="G3024" t="n">
        <v>3.2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42269-2023</t>
        </is>
      </c>
      <c r="B3025" s="1" t="n">
        <v>45180</v>
      </c>
      <c r="C3025" s="1" t="n">
        <v>45627</v>
      </c>
      <c r="D3025" t="inlineStr">
        <is>
          <t>HALLANDS LÄN</t>
        </is>
      </c>
      <c r="E3025" t="inlineStr">
        <is>
          <t>HALMSTAD</t>
        </is>
      </c>
      <c r="G3025" t="n">
        <v>3.2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42455-2023</t>
        </is>
      </c>
      <c r="B3026" s="1" t="n">
        <v>45180</v>
      </c>
      <c r="C3026" s="1" t="n">
        <v>45627</v>
      </c>
      <c r="D3026" t="inlineStr">
        <is>
          <t>HALLANDS LÄN</t>
        </is>
      </c>
      <c r="E3026" t="inlineStr">
        <is>
          <t>LAHOLM</t>
        </is>
      </c>
      <c r="F3026" t="inlineStr">
        <is>
          <t>Sveaskog</t>
        </is>
      </c>
      <c r="G3026" t="n">
        <v>3.6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42524-2023</t>
        </is>
      </c>
      <c r="B3027" s="1" t="n">
        <v>45181</v>
      </c>
      <c r="C3027" s="1" t="n">
        <v>45627</v>
      </c>
      <c r="D3027" t="inlineStr">
        <is>
          <t>HALLANDS LÄN</t>
        </is>
      </c>
      <c r="E3027" t="inlineStr">
        <is>
          <t>FALKENBERG</t>
        </is>
      </c>
      <c r="G3027" t="n">
        <v>1.1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42605-2023</t>
        </is>
      </c>
      <c r="B3028" s="1" t="n">
        <v>45181</v>
      </c>
      <c r="C3028" s="1" t="n">
        <v>45627</v>
      </c>
      <c r="D3028" t="inlineStr">
        <is>
          <t>HALLANDS LÄN</t>
        </is>
      </c>
      <c r="E3028" t="inlineStr">
        <is>
          <t>LAHOLM</t>
        </is>
      </c>
      <c r="G3028" t="n">
        <v>0.7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42723-2023</t>
        </is>
      </c>
      <c r="B3029" s="1" t="n">
        <v>45181</v>
      </c>
      <c r="C3029" s="1" t="n">
        <v>45627</v>
      </c>
      <c r="D3029" t="inlineStr">
        <is>
          <t>HALLANDS LÄN</t>
        </is>
      </c>
      <c r="E3029" t="inlineStr">
        <is>
          <t>VARBERG</t>
        </is>
      </c>
      <c r="G3029" t="n">
        <v>1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42653-2023</t>
        </is>
      </c>
      <c r="B3030" s="1" t="n">
        <v>45181</v>
      </c>
      <c r="C3030" s="1" t="n">
        <v>45627</v>
      </c>
      <c r="D3030" t="inlineStr">
        <is>
          <t>HALLANDS LÄN</t>
        </is>
      </c>
      <c r="E3030" t="inlineStr">
        <is>
          <t>HYLTE</t>
        </is>
      </c>
      <c r="G3030" t="n">
        <v>0.5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42570-2023</t>
        </is>
      </c>
      <c r="B3031" s="1" t="n">
        <v>45181</v>
      </c>
      <c r="C3031" s="1" t="n">
        <v>45627</v>
      </c>
      <c r="D3031" t="inlineStr">
        <is>
          <t>HALLANDS LÄN</t>
        </is>
      </c>
      <c r="E3031" t="inlineStr">
        <is>
          <t>FALKENBERG</t>
        </is>
      </c>
      <c r="G3031" t="n">
        <v>1.9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42606-2023</t>
        </is>
      </c>
      <c r="B3032" s="1" t="n">
        <v>45181</v>
      </c>
      <c r="C3032" s="1" t="n">
        <v>45627</v>
      </c>
      <c r="D3032" t="inlineStr">
        <is>
          <t>HALLANDS LÄN</t>
        </is>
      </c>
      <c r="E3032" t="inlineStr">
        <is>
          <t>FALKENBERG</t>
        </is>
      </c>
      <c r="G3032" t="n">
        <v>4.1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42665-2023</t>
        </is>
      </c>
      <c r="B3033" s="1" t="n">
        <v>45181</v>
      </c>
      <c r="C3033" s="1" t="n">
        <v>45627</v>
      </c>
      <c r="D3033" t="inlineStr">
        <is>
          <t>HALLANDS LÄN</t>
        </is>
      </c>
      <c r="E3033" t="inlineStr">
        <is>
          <t>FALKENBERG</t>
        </is>
      </c>
      <c r="G3033" t="n">
        <v>4.9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42869-2023</t>
        </is>
      </c>
      <c r="B3034" s="1" t="n">
        <v>45182</v>
      </c>
      <c r="C3034" s="1" t="n">
        <v>45627</v>
      </c>
      <c r="D3034" t="inlineStr">
        <is>
          <t>HALLANDS LÄN</t>
        </is>
      </c>
      <c r="E3034" t="inlineStr">
        <is>
          <t>HYLTE</t>
        </is>
      </c>
      <c r="G3034" t="n">
        <v>0.7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43046-2023</t>
        </is>
      </c>
      <c r="B3035" s="1" t="n">
        <v>45182</v>
      </c>
      <c r="C3035" s="1" t="n">
        <v>45627</v>
      </c>
      <c r="D3035" t="inlineStr">
        <is>
          <t>HALLANDS LÄN</t>
        </is>
      </c>
      <c r="E3035" t="inlineStr">
        <is>
          <t>FALKENBERG</t>
        </is>
      </c>
      <c r="G3035" t="n">
        <v>0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42993-2023</t>
        </is>
      </c>
      <c r="B3036" s="1" t="n">
        <v>45182</v>
      </c>
      <c r="C3036" s="1" t="n">
        <v>45627</v>
      </c>
      <c r="D3036" t="inlineStr">
        <is>
          <t>HALLANDS LÄN</t>
        </is>
      </c>
      <c r="E3036" t="inlineStr">
        <is>
          <t>LAHOLM</t>
        </is>
      </c>
      <c r="G3036" t="n">
        <v>0.6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42915-2023</t>
        </is>
      </c>
      <c r="B3037" s="1" t="n">
        <v>45182</v>
      </c>
      <c r="C3037" s="1" t="n">
        <v>45627</v>
      </c>
      <c r="D3037" t="inlineStr">
        <is>
          <t>HALLANDS LÄN</t>
        </is>
      </c>
      <c r="E3037" t="inlineStr">
        <is>
          <t>FALKENBERG</t>
        </is>
      </c>
      <c r="G3037" t="n">
        <v>0.6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42868-2023</t>
        </is>
      </c>
      <c r="B3038" s="1" t="n">
        <v>45182</v>
      </c>
      <c r="C3038" s="1" t="n">
        <v>45627</v>
      </c>
      <c r="D3038" t="inlineStr">
        <is>
          <t>HALLANDS LÄN</t>
        </is>
      </c>
      <c r="E3038" t="inlineStr">
        <is>
          <t>HYLTE</t>
        </is>
      </c>
      <c r="G3038" t="n">
        <v>0.8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42815-2023</t>
        </is>
      </c>
      <c r="B3039" s="1" t="n">
        <v>45182</v>
      </c>
      <c r="C3039" s="1" t="n">
        <v>45627</v>
      </c>
      <c r="D3039" t="inlineStr">
        <is>
          <t>HALLANDS LÄN</t>
        </is>
      </c>
      <c r="E3039" t="inlineStr">
        <is>
          <t>HYLTE</t>
        </is>
      </c>
      <c r="G3039" t="n">
        <v>1.8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43037-2023</t>
        </is>
      </c>
      <c r="B3040" s="1" t="n">
        <v>45182</v>
      </c>
      <c r="C3040" s="1" t="n">
        <v>45627</v>
      </c>
      <c r="D3040" t="inlineStr">
        <is>
          <t>HALLANDS LÄN</t>
        </is>
      </c>
      <c r="E3040" t="inlineStr">
        <is>
          <t>VARBERG</t>
        </is>
      </c>
      <c r="G3040" t="n">
        <v>3.2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43045-2023</t>
        </is>
      </c>
      <c r="B3041" s="1" t="n">
        <v>45182</v>
      </c>
      <c r="C3041" s="1" t="n">
        <v>45627</v>
      </c>
      <c r="D3041" t="inlineStr">
        <is>
          <t>HALLANDS LÄN</t>
        </is>
      </c>
      <c r="E3041" t="inlineStr">
        <is>
          <t>FALKENBERG</t>
        </is>
      </c>
      <c r="G3041" t="n">
        <v>0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43269-2023</t>
        </is>
      </c>
      <c r="B3042" s="1" t="n">
        <v>45183</v>
      </c>
      <c r="C3042" s="1" t="n">
        <v>45627</v>
      </c>
      <c r="D3042" t="inlineStr">
        <is>
          <t>HALLANDS LÄN</t>
        </is>
      </c>
      <c r="E3042" t="inlineStr">
        <is>
          <t>HALMSTAD</t>
        </is>
      </c>
      <c r="G3042" t="n">
        <v>0.6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43349-2023</t>
        </is>
      </c>
      <c r="B3043" s="1" t="n">
        <v>45183</v>
      </c>
      <c r="C3043" s="1" t="n">
        <v>45627</v>
      </c>
      <c r="D3043" t="inlineStr">
        <is>
          <t>HALLANDS LÄN</t>
        </is>
      </c>
      <c r="E3043" t="inlineStr">
        <is>
          <t>FALKENBERG</t>
        </is>
      </c>
      <c r="G3043" t="n">
        <v>8.9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43393-2023</t>
        </is>
      </c>
      <c r="B3044" s="1" t="n">
        <v>45183</v>
      </c>
      <c r="C3044" s="1" t="n">
        <v>45627</v>
      </c>
      <c r="D3044" t="inlineStr">
        <is>
          <t>HALLANDS LÄN</t>
        </is>
      </c>
      <c r="E3044" t="inlineStr">
        <is>
          <t>HALMSTAD</t>
        </is>
      </c>
      <c r="G3044" t="n">
        <v>1.1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43264-2023</t>
        </is>
      </c>
      <c r="B3045" s="1" t="n">
        <v>45183</v>
      </c>
      <c r="C3045" s="1" t="n">
        <v>45627</v>
      </c>
      <c r="D3045" t="inlineStr">
        <is>
          <t>HALLANDS LÄN</t>
        </is>
      </c>
      <c r="E3045" t="inlineStr">
        <is>
          <t>HALMSTAD</t>
        </is>
      </c>
      <c r="G3045" t="n">
        <v>2.3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43268-2023</t>
        </is>
      </c>
      <c r="B3046" s="1" t="n">
        <v>45183</v>
      </c>
      <c r="C3046" s="1" t="n">
        <v>45627</v>
      </c>
      <c r="D3046" t="inlineStr">
        <is>
          <t>HALLANDS LÄN</t>
        </is>
      </c>
      <c r="E3046" t="inlineStr">
        <is>
          <t>HALMSTAD</t>
        </is>
      </c>
      <c r="G3046" t="n">
        <v>4.6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43437-2023</t>
        </is>
      </c>
      <c r="B3047" s="1" t="n">
        <v>45184</v>
      </c>
      <c r="C3047" s="1" t="n">
        <v>45627</v>
      </c>
      <c r="D3047" t="inlineStr">
        <is>
          <t>HALLANDS LÄN</t>
        </is>
      </c>
      <c r="E3047" t="inlineStr">
        <is>
          <t>LAHOLM</t>
        </is>
      </c>
      <c r="G3047" t="n">
        <v>2.6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43610-2023</t>
        </is>
      </c>
      <c r="B3048" s="1" t="n">
        <v>45184</v>
      </c>
      <c r="C3048" s="1" t="n">
        <v>45627</v>
      </c>
      <c r="D3048" t="inlineStr">
        <is>
          <t>HALLANDS LÄN</t>
        </is>
      </c>
      <c r="E3048" t="inlineStr">
        <is>
          <t>FALKENBERG</t>
        </is>
      </c>
      <c r="G3048" t="n">
        <v>3.2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43576-2023</t>
        </is>
      </c>
      <c r="B3049" s="1" t="n">
        <v>45184</v>
      </c>
      <c r="C3049" s="1" t="n">
        <v>45627</v>
      </c>
      <c r="D3049" t="inlineStr">
        <is>
          <t>HALLANDS LÄN</t>
        </is>
      </c>
      <c r="E3049" t="inlineStr">
        <is>
          <t>FALKENBERG</t>
        </is>
      </c>
      <c r="G3049" t="n">
        <v>5.6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43581-2023</t>
        </is>
      </c>
      <c r="B3050" s="1" t="n">
        <v>45184</v>
      </c>
      <c r="C3050" s="1" t="n">
        <v>45627</v>
      </c>
      <c r="D3050" t="inlineStr">
        <is>
          <t>HALLANDS LÄN</t>
        </is>
      </c>
      <c r="E3050" t="inlineStr">
        <is>
          <t>FALKENBERG</t>
        </is>
      </c>
      <c r="G3050" t="n">
        <v>2.2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43628-2023</t>
        </is>
      </c>
      <c r="B3051" s="1" t="n">
        <v>45184</v>
      </c>
      <c r="C3051" s="1" t="n">
        <v>45627</v>
      </c>
      <c r="D3051" t="inlineStr">
        <is>
          <t>HALLANDS LÄN</t>
        </is>
      </c>
      <c r="E3051" t="inlineStr">
        <is>
          <t>FALKENBERG</t>
        </is>
      </c>
      <c r="G3051" t="n">
        <v>2.1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43526-2023</t>
        </is>
      </c>
      <c r="B3052" s="1" t="n">
        <v>45184</v>
      </c>
      <c r="C3052" s="1" t="n">
        <v>45627</v>
      </c>
      <c r="D3052" t="inlineStr">
        <is>
          <t>HALLANDS LÄN</t>
        </is>
      </c>
      <c r="E3052" t="inlineStr">
        <is>
          <t>KUNGSBACKA</t>
        </is>
      </c>
      <c r="G3052" t="n">
        <v>1.2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44740-2023</t>
        </is>
      </c>
      <c r="B3053" s="1" t="n">
        <v>45184</v>
      </c>
      <c r="C3053" s="1" t="n">
        <v>45627</v>
      </c>
      <c r="D3053" t="inlineStr">
        <is>
          <t>HALLANDS LÄN</t>
        </is>
      </c>
      <c r="E3053" t="inlineStr">
        <is>
          <t>VARBERG</t>
        </is>
      </c>
      <c r="G3053" t="n">
        <v>6.7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43634-2023</t>
        </is>
      </c>
      <c r="B3054" s="1" t="n">
        <v>45186</v>
      </c>
      <c r="C3054" s="1" t="n">
        <v>45627</v>
      </c>
      <c r="D3054" t="inlineStr">
        <is>
          <t>HALLANDS LÄN</t>
        </is>
      </c>
      <c r="E3054" t="inlineStr">
        <is>
          <t>HYLTE</t>
        </is>
      </c>
      <c r="G3054" t="n">
        <v>1.7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43897-2023</t>
        </is>
      </c>
      <c r="B3055" s="1" t="n">
        <v>45187</v>
      </c>
      <c r="C3055" s="1" t="n">
        <v>45627</v>
      </c>
      <c r="D3055" t="inlineStr">
        <is>
          <t>HALLANDS LÄN</t>
        </is>
      </c>
      <c r="E3055" t="inlineStr">
        <is>
          <t>FALKENBERG</t>
        </is>
      </c>
      <c r="G3055" t="n">
        <v>1.8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43866-2023</t>
        </is>
      </c>
      <c r="B3056" s="1" t="n">
        <v>45187</v>
      </c>
      <c r="C3056" s="1" t="n">
        <v>45627</v>
      </c>
      <c r="D3056" t="inlineStr">
        <is>
          <t>HALLANDS LÄN</t>
        </is>
      </c>
      <c r="E3056" t="inlineStr">
        <is>
          <t>HALMSTAD</t>
        </is>
      </c>
      <c r="F3056" t="inlineStr">
        <is>
          <t>Kyrkan</t>
        </is>
      </c>
      <c r="G3056" t="n">
        <v>1.1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43883-2023</t>
        </is>
      </c>
      <c r="B3057" s="1" t="n">
        <v>45187</v>
      </c>
      <c r="C3057" s="1" t="n">
        <v>45627</v>
      </c>
      <c r="D3057" t="inlineStr">
        <is>
          <t>HALLANDS LÄN</t>
        </is>
      </c>
      <c r="E3057" t="inlineStr">
        <is>
          <t>FALKENBERG</t>
        </is>
      </c>
      <c r="G3057" t="n">
        <v>3.7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44024-2023</t>
        </is>
      </c>
      <c r="B3058" s="1" t="n">
        <v>45188</v>
      </c>
      <c r="C3058" s="1" t="n">
        <v>45627</v>
      </c>
      <c r="D3058" t="inlineStr">
        <is>
          <t>HALLANDS LÄN</t>
        </is>
      </c>
      <c r="E3058" t="inlineStr">
        <is>
          <t>HALMSTAD</t>
        </is>
      </c>
      <c r="G3058" t="n">
        <v>1.6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44260-2023</t>
        </is>
      </c>
      <c r="B3059" s="1" t="n">
        <v>45188</v>
      </c>
      <c r="C3059" s="1" t="n">
        <v>45627</v>
      </c>
      <c r="D3059" t="inlineStr">
        <is>
          <t>HALLANDS LÄN</t>
        </is>
      </c>
      <c r="E3059" t="inlineStr">
        <is>
          <t>LAHOLM</t>
        </is>
      </c>
      <c r="G3059" t="n">
        <v>0.8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44040-2023</t>
        </is>
      </c>
      <c r="B3060" s="1" t="n">
        <v>45188</v>
      </c>
      <c r="C3060" s="1" t="n">
        <v>45627</v>
      </c>
      <c r="D3060" t="inlineStr">
        <is>
          <t>HALLANDS LÄN</t>
        </is>
      </c>
      <c r="E3060" t="inlineStr">
        <is>
          <t>FALKENBERG</t>
        </is>
      </c>
      <c r="G3060" t="n">
        <v>1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44087-2023</t>
        </is>
      </c>
      <c r="B3061" s="1" t="n">
        <v>45188</v>
      </c>
      <c r="C3061" s="1" t="n">
        <v>45627</v>
      </c>
      <c r="D3061" t="inlineStr">
        <is>
          <t>HALLANDS LÄN</t>
        </is>
      </c>
      <c r="E3061" t="inlineStr">
        <is>
          <t>FALKENBERG</t>
        </is>
      </c>
      <c r="G3061" t="n">
        <v>1.1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44133-2023</t>
        </is>
      </c>
      <c r="B3062" s="1" t="n">
        <v>45188</v>
      </c>
      <c r="C3062" s="1" t="n">
        <v>45627</v>
      </c>
      <c r="D3062" t="inlineStr">
        <is>
          <t>HALLANDS LÄN</t>
        </is>
      </c>
      <c r="E3062" t="inlineStr">
        <is>
          <t>FALKENBERG</t>
        </is>
      </c>
      <c r="G3062" t="n">
        <v>5.1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44073-2023</t>
        </is>
      </c>
      <c r="B3063" s="1" t="n">
        <v>45188</v>
      </c>
      <c r="C3063" s="1" t="n">
        <v>45627</v>
      </c>
      <c r="D3063" t="inlineStr">
        <is>
          <t>HALLANDS LÄN</t>
        </is>
      </c>
      <c r="E3063" t="inlineStr">
        <is>
          <t>HALMSTAD</t>
        </is>
      </c>
      <c r="G3063" t="n">
        <v>2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44086-2023</t>
        </is>
      </c>
      <c r="B3064" s="1" t="n">
        <v>45188</v>
      </c>
      <c r="C3064" s="1" t="n">
        <v>45627</v>
      </c>
      <c r="D3064" t="inlineStr">
        <is>
          <t>HALLANDS LÄN</t>
        </is>
      </c>
      <c r="E3064" t="inlineStr">
        <is>
          <t>FALKENBERG</t>
        </is>
      </c>
      <c r="G3064" t="n">
        <v>2.1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44090-2023</t>
        </is>
      </c>
      <c r="B3065" s="1" t="n">
        <v>45188</v>
      </c>
      <c r="C3065" s="1" t="n">
        <v>45627</v>
      </c>
      <c r="D3065" t="inlineStr">
        <is>
          <t>HALLANDS LÄN</t>
        </is>
      </c>
      <c r="E3065" t="inlineStr">
        <is>
          <t>FALKENBERG</t>
        </is>
      </c>
      <c r="G3065" t="n">
        <v>0.5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44353-2023</t>
        </is>
      </c>
      <c r="B3066" s="1" t="n">
        <v>45188</v>
      </c>
      <c r="C3066" s="1" t="n">
        <v>45627</v>
      </c>
      <c r="D3066" t="inlineStr">
        <is>
          <t>HALLANDS LÄN</t>
        </is>
      </c>
      <c r="E3066" t="inlineStr">
        <is>
          <t>KUNGSBACKA</t>
        </is>
      </c>
      <c r="G3066" t="n">
        <v>4.8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44345-2023</t>
        </is>
      </c>
      <c r="B3067" s="1" t="n">
        <v>45188</v>
      </c>
      <c r="C3067" s="1" t="n">
        <v>45627</v>
      </c>
      <c r="D3067" t="inlineStr">
        <is>
          <t>HALLANDS LÄN</t>
        </is>
      </c>
      <c r="E3067" t="inlineStr">
        <is>
          <t>FALKENBERG</t>
        </is>
      </c>
      <c r="G3067" t="n">
        <v>2.6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44261-2023</t>
        </is>
      </c>
      <c r="B3068" s="1" t="n">
        <v>45188</v>
      </c>
      <c r="C3068" s="1" t="n">
        <v>45627</v>
      </c>
      <c r="D3068" t="inlineStr">
        <is>
          <t>HALLANDS LÄN</t>
        </is>
      </c>
      <c r="E3068" t="inlineStr">
        <is>
          <t>LAHOLM</t>
        </is>
      </c>
      <c r="G3068" t="n">
        <v>0.9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44528-2023</t>
        </is>
      </c>
      <c r="B3069" s="1" t="n">
        <v>45189</v>
      </c>
      <c r="C3069" s="1" t="n">
        <v>45627</v>
      </c>
      <c r="D3069" t="inlineStr">
        <is>
          <t>HALLANDS LÄN</t>
        </is>
      </c>
      <c r="E3069" t="inlineStr">
        <is>
          <t>KUNGSBACKA</t>
        </is>
      </c>
      <c r="G3069" t="n">
        <v>5.2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44532-2023</t>
        </is>
      </c>
      <c r="B3070" s="1" t="n">
        <v>45189</v>
      </c>
      <c r="C3070" s="1" t="n">
        <v>45627</v>
      </c>
      <c r="D3070" t="inlineStr">
        <is>
          <t>HALLANDS LÄN</t>
        </is>
      </c>
      <c r="E3070" t="inlineStr">
        <is>
          <t>FALKENBERG</t>
        </is>
      </c>
      <c r="G3070" t="n">
        <v>5.9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44537-2023</t>
        </is>
      </c>
      <c r="B3071" s="1" t="n">
        <v>45189</v>
      </c>
      <c r="C3071" s="1" t="n">
        <v>45627</v>
      </c>
      <c r="D3071" t="inlineStr">
        <is>
          <t>HALLANDS LÄN</t>
        </is>
      </c>
      <c r="E3071" t="inlineStr">
        <is>
          <t>FALKENBERG</t>
        </is>
      </c>
      <c r="G3071" t="n">
        <v>1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44666-2023</t>
        </is>
      </c>
      <c r="B3072" s="1" t="n">
        <v>45189</v>
      </c>
      <c r="C3072" s="1" t="n">
        <v>45627</v>
      </c>
      <c r="D3072" t="inlineStr">
        <is>
          <t>HALLANDS LÄN</t>
        </is>
      </c>
      <c r="E3072" t="inlineStr">
        <is>
          <t>KUNGSBACKA</t>
        </is>
      </c>
      <c r="G3072" t="n">
        <v>3.5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44734-2023</t>
        </is>
      </c>
      <c r="B3073" s="1" t="n">
        <v>45190</v>
      </c>
      <c r="C3073" s="1" t="n">
        <v>45627</v>
      </c>
      <c r="D3073" t="inlineStr">
        <is>
          <t>HALLANDS LÄN</t>
        </is>
      </c>
      <c r="E3073" t="inlineStr">
        <is>
          <t>HYLTE</t>
        </is>
      </c>
      <c r="G3073" t="n">
        <v>0.6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44866-2023</t>
        </is>
      </c>
      <c r="B3074" s="1" t="n">
        <v>45190</v>
      </c>
      <c r="C3074" s="1" t="n">
        <v>45627</v>
      </c>
      <c r="D3074" t="inlineStr">
        <is>
          <t>HALLANDS LÄN</t>
        </is>
      </c>
      <c r="E3074" t="inlineStr">
        <is>
          <t>HYLTE</t>
        </is>
      </c>
      <c r="G3074" t="n">
        <v>1.4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44954-2023</t>
        </is>
      </c>
      <c r="B3075" s="1" t="n">
        <v>45190</v>
      </c>
      <c r="C3075" s="1" t="n">
        <v>45627</v>
      </c>
      <c r="D3075" t="inlineStr">
        <is>
          <t>HALLANDS LÄN</t>
        </is>
      </c>
      <c r="E3075" t="inlineStr">
        <is>
          <t>FALKENBERG</t>
        </is>
      </c>
      <c r="G3075" t="n">
        <v>0.8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44931-2023</t>
        </is>
      </c>
      <c r="B3076" s="1" t="n">
        <v>45190</v>
      </c>
      <c r="C3076" s="1" t="n">
        <v>45627</v>
      </c>
      <c r="D3076" t="inlineStr">
        <is>
          <t>HALLANDS LÄN</t>
        </is>
      </c>
      <c r="E3076" t="inlineStr">
        <is>
          <t>KUNGSBACKA</t>
        </is>
      </c>
      <c r="G3076" t="n">
        <v>10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46150-2023</t>
        </is>
      </c>
      <c r="B3077" s="1" t="n">
        <v>45190</v>
      </c>
      <c r="C3077" s="1" t="n">
        <v>45627</v>
      </c>
      <c r="D3077" t="inlineStr">
        <is>
          <t>HALLANDS LÄN</t>
        </is>
      </c>
      <c r="E3077" t="inlineStr">
        <is>
          <t>HYLTE</t>
        </is>
      </c>
      <c r="F3077" t="inlineStr">
        <is>
          <t>Kommuner</t>
        </is>
      </c>
      <c r="G3077" t="n">
        <v>1.6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46148-2023</t>
        </is>
      </c>
      <c r="B3078" s="1" t="n">
        <v>45190</v>
      </c>
      <c r="C3078" s="1" t="n">
        <v>45627</v>
      </c>
      <c r="D3078" t="inlineStr">
        <is>
          <t>HALLANDS LÄN</t>
        </is>
      </c>
      <c r="E3078" t="inlineStr">
        <is>
          <t>HYLTE</t>
        </is>
      </c>
      <c r="F3078" t="inlineStr">
        <is>
          <t>Bergvik skog väst AB</t>
        </is>
      </c>
      <c r="G3078" t="n">
        <v>1.5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45209-2023</t>
        </is>
      </c>
      <c r="B3079" s="1" t="n">
        <v>45191</v>
      </c>
      <c r="C3079" s="1" t="n">
        <v>45627</v>
      </c>
      <c r="D3079" t="inlineStr">
        <is>
          <t>HALLANDS LÄN</t>
        </is>
      </c>
      <c r="E3079" t="inlineStr">
        <is>
          <t>LAHOLM</t>
        </is>
      </c>
      <c r="G3079" t="n">
        <v>0.6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45515-2023</t>
        </is>
      </c>
      <c r="B3080" s="1" t="n">
        <v>45194</v>
      </c>
      <c r="C3080" s="1" t="n">
        <v>45627</v>
      </c>
      <c r="D3080" t="inlineStr">
        <is>
          <t>HALLANDS LÄN</t>
        </is>
      </c>
      <c r="E3080" t="inlineStr">
        <is>
          <t>HYLTE</t>
        </is>
      </c>
      <c r="G3080" t="n">
        <v>2.8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45513-2023</t>
        </is>
      </c>
      <c r="B3081" s="1" t="n">
        <v>45194</v>
      </c>
      <c r="C3081" s="1" t="n">
        <v>45627</v>
      </c>
      <c r="D3081" t="inlineStr">
        <is>
          <t>HALLANDS LÄN</t>
        </is>
      </c>
      <c r="E3081" t="inlineStr">
        <is>
          <t>HYLTE</t>
        </is>
      </c>
      <c r="G3081" t="n">
        <v>1.6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45542-2023</t>
        </is>
      </c>
      <c r="B3082" s="1" t="n">
        <v>45194</v>
      </c>
      <c r="C3082" s="1" t="n">
        <v>45627</v>
      </c>
      <c r="D3082" t="inlineStr">
        <is>
          <t>HALLANDS LÄN</t>
        </is>
      </c>
      <c r="E3082" t="inlineStr">
        <is>
          <t>HALMSTAD</t>
        </is>
      </c>
      <c r="G3082" t="n">
        <v>1.5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45653-2023</t>
        </is>
      </c>
      <c r="B3083" s="1" t="n">
        <v>45194</v>
      </c>
      <c r="C3083" s="1" t="n">
        <v>45627</v>
      </c>
      <c r="D3083" t="inlineStr">
        <is>
          <t>HALLANDS LÄN</t>
        </is>
      </c>
      <c r="E3083" t="inlineStr">
        <is>
          <t>VARBERG</t>
        </is>
      </c>
      <c r="G3083" t="n">
        <v>1.4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45508-2023</t>
        </is>
      </c>
      <c r="B3084" s="1" t="n">
        <v>45194</v>
      </c>
      <c r="C3084" s="1" t="n">
        <v>45627</v>
      </c>
      <c r="D3084" t="inlineStr">
        <is>
          <t>HALLANDS LÄN</t>
        </is>
      </c>
      <c r="E3084" t="inlineStr">
        <is>
          <t>HALMSTAD</t>
        </is>
      </c>
      <c r="G3084" t="n">
        <v>4.6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45586-2023</t>
        </is>
      </c>
      <c r="B3085" s="1" t="n">
        <v>45194</v>
      </c>
      <c r="C3085" s="1" t="n">
        <v>45627</v>
      </c>
      <c r="D3085" t="inlineStr">
        <is>
          <t>HALLANDS LÄN</t>
        </is>
      </c>
      <c r="E3085" t="inlineStr">
        <is>
          <t>HALMSTAD</t>
        </is>
      </c>
      <c r="G3085" t="n">
        <v>1.5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45681-2023</t>
        </is>
      </c>
      <c r="B3086" s="1" t="n">
        <v>45195</v>
      </c>
      <c r="C3086" s="1" t="n">
        <v>45627</v>
      </c>
      <c r="D3086" t="inlineStr">
        <is>
          <t>HALLANDS LÄN</t>
        </is>
      </c>
      <c r="E3086" t="inlineStr">
        <is>
          <t>LAHOLM</t>
        </is>
      </c>
      <c r="G3086" t="n">
        <v>1.4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45829-2023</t>
        </is>
      </c>
      <c r="B3087" s="1" t="n">
        <v>45195</v>
      </c>
      <c r="C3087" s="1" t="n">
        <v>45627</v>
      </c>
      <c r="D3087" t="inlineStr">
        <is>
          <t>HALLANDS LÄN</t>
        </is>
      </c>
      <c r="E3087" t="inlineStr">
        <is>
          <t>FALKENBERG</t>
        </is>
      </c>
      <c r="G3087" t="n">
        <v>1.8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45858-2023</t>
        </is>
      </c>
      <c r="B3088" s="1" t="n">
        <v>45195</v>
      </c>
      <c r="C3088" s="1" t="n">
        <v>45627</v>
      </c>
      <c r="D3088" t="inlineStr">
        <is>
          <t>HALLANDS LÄN</t>
        </is>
      </c>
      <c r="E3088" t="inlineStr">
        <is>
          <t>LAHOLM</t>
        </is>
      </c>
      <c r="G3088" t="n">
        <v>0.9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45699-2023</t>
        </is>
      </c>
      <c r="B3089" s="1" t="n">
        <v>45195</v>
      </c>
      <c r="C3089" s="1" t="n">
        <v>45627</v>
      </c>
      <c r="D3089" t="inlineStr">
        <is>
          <t>HALLANDS LÄN</t>
        </is>
      </c>
      <c r="E3089" t="inlineStr">
        <is>
          <t>LAHOLM</t>
        </is>
      </c>
      <c r="G3089" t="n">
        <v>3.4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46655-2023</t>
        </is>
      </c>
      <c r="B3090" s="1" t="n">
        <v>45195</v>
      </c>
      <c r="C3090" s="1" t="n">
        <v>45627</v>
      </c>
      <c r="D3090" t="inlineStr">
        <is>
          <t>HALLANDS LÄN</t>
        </is>
      </c>
      <c r="E3090" t="inlineStr">
        <is>
          <t>LAHOLM</t>
        </is>
      </c>
      <c r="G3090" t="n">
        <v>3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45855-2023</t>
        </is>
      </c>
      <c r="B3091" s="1" t="n">
        <v>45195</v>
      </c>
      <c r="C3091" s="1" t="n">
        <v>45627</v>
      </c>
      <c r="D3091" t="inlineStr">
        <is>
          <t>HALLANDS LÄN</t>
        </is>
      </c>
      <c r="E3091" t="inlineStr">
        <is>
          <t>LAHOLM</t>
        </is>
      </c>
      <c r="G3091" t="n">
        <v>2.3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46643-2023</t>
        </is>
      </c>
      <c r="B3092" s="1" t="n">
        <v>45195</v>
      </c>
      <c r="C3092" s="1" t="n">
        <v>45627</v>
      </c>
      <c r="D3092" t="inlineStr">
        <is>
          <t>HALLANDS LÄN</t>
        </is>
      </c>
      <c r="E3092" t="inlineStr">
        <is>
          <t>LAHOLM</t>
        </is>
      </c>
      <c r="G3092" t="n">
        <v>2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46026-2023</t>
        </is>
      </c>
      <c r="B3093" s="1" t="n">
        <v>45196</v>
      </c>
      <c r="C3093" s="1" t="n">
        <v>45627</v>
      </c>
      <c r="D3093" t="inlineStr">
        <is>
          <t>HALLANDS LÄN</t>
        </is>
      </c>
      <c r="E3093" t="inlineStr">
        <is>
          <t>VARBERG</t>
        </is>
      </c>
      <c r="G3093" t="n">
        <v>0.9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46104-2023</t>
        </is>
      </c>
      <c r="B3094" s="1" t="n">
        <v>45196</v>
      </c>
      <c r="C3094" s="1" t="n">
        <v>45627</v>
      </c>
      <c r="D3094" t="inlineStr">
        <is>
          <t>HALLANDS LÄN</t>
        </is>
      </c>
      <c r="E3094" t="inlineStr">
        <is>
          <t>HALMSTAD</t>
        </is>
      </c>
      <c r="G3094" t="n">
        <v>2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46242-2023</t>
        </is>
      </c>
      <c r="B3095" s="1" t="n">
        <v>45196</v>
      </c>
      <c r="C3095" s="1" t="n">
        <v>45627</v>
      </c>
      <c r="D3095" t="inlineStr">
        <is>
          <t>HALLANDS LÄN</t>
        </is>
      </c>
      <c r="E3095" t="inlineStr">
        <is>
          <t>FALKENBERG</t>
        </is>
      </c>
      <c r="G3095" t="n">
        <v>1.8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46062-2023</t>
        </is>
      </c>
      <c r="B3096" s="1" t="n">
        <v>45196</v>
      </c>
      <c r="C3096" s="1" t="n">
        <v>45627</v>
      </c>
      <c r="D3096" t="inlineStr">
        <is>
          <t>HALLANDS LÄN</t>
        </is>
      </c>
      <c r="E3096" t="inlineStr">
        <is>
          <t>FALKENBERG</t>
        </is>
      </c>
      <c r="G3096" t="n">
        <v>2.6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46059-2023</t>
        </is>
      </c>
      <c r="B3097" s="1" t="n">
        <v>45196</v>
      </c>
      <c r="C3097" s="1" t="n">
        <v>45627</v>
      </c>
      <c r="D3097" t="inlineStr">
        <is>
          <t>HALLANDS LÄN</t>
        </is>
      </c>
      <c r="E3097" t="inlineStr">
        <is>
          <t>FALKENBERG</t>
        </is>
      </c>
      <c r="G3097" t="n">
        <v>1.7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46236-2023</t>
        </is>
      </c>
      <c r="B3098" s="1" t="n">
        <v>45196</v>
      </c>
      <c r="C3098" s="1" t="n">
        <v>45627</v>
      </c>
      <c r="D3098" t="inlineStr">
        <is>
          <t>HALLANDS LÄN</t>
        </is>
      </c>
      <c r="E3098" t="inlineStr">
        <is>
          <t>VARBERG</t>
        </is>
      </c>
      <c r="G3098" t="n">
        <v>8.300000000000001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46421-2023</t>
        </is>
      </c>
      <c r="B3099" s="1" t="n">
        <v>45197</v>
      </c>
      <c r="C3099" s="1" t="n">
        <v>45627</v>
      </c>
      <c r="D3099" t="inlineStr">
        <is>
          <t>HALLANDS LÄN</t>
        </is>
      </c>
      <c r="E3099" t="inlineStr">
        <is>
          <t>VARBERG</t>
        </is>
      </c>
      <c r="G3099" t="n">
        <v>2.3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46395-2023</t>
        </is>
      </c>
      <c r="B3100" s="1" t="n">
        <v>45197</v>
      </c>
      <c r="C3100" s="1" t="n">
        <v>45627</v>
      </c>
      <c r="D3100" t="inlineStr">
        <is>
          <t>HALLANDS LÄN</t>
        </is>
      </c>
      <c r="E3100" t="inlineStr">
        <is>
          <t>VARBERG</t>
        </is>
      </c>
      <c r="G3100" t="n">
        <v>2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46692-2023</t>
        </is>
      </c>
      <c r="B3101" s="1" t="n">
        <v>45198</v>
      </c>
      <c r="C3101" s="1" t="n">
        <v>45627</v>
      </c>
      <c r="D3101" t="inlineStr">
        <is>
          <t>HALLANDS LÄN</t>
        </is>
      </c>
      <c r="E3101" t="inlineStr">
        <is>
          <t>HYLTE</t>
        </is>
      </c>
      <c r="G3101" t="n">
        <v>0.7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46737-2023</t>
        </is>
      </c>
      <c r="B3102" s="1" t="n">
        <v>45198</v>
      </c>
      <c r="C3102" s="1" t="n">
        <v>45627</v>
      </c>
      <c r="D3102" t="inlineStr">
        <is>
          <t>HALLANDS LÄN</t>
        </is>
      </c>
      <c r="E3102" t="inlineStr">
        <is>
          <t>VARBERG</t>
        </is>
      </c>
      <c r="G3102" t="n">
        <v>1.7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46777-2023</t>
        </is>
      </c>
      <c r="B3103" s="1" t="n">
        <v>45198</v>
      </c>
      <c r="C3103" s="1" t="n">
        <v>45627</v>
      </c>
      <c r="D3103" t="inlineStr">
        <is>
          <t>HALLANDS LÄN</t>
        </is>
      </c>
      <c r="E3103" t="inlineStr">
        <is>
          <t>FALKENBERG</t>
        </is>
      </c>
      <c r="G3103" t="n">
        <v>1.8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46782-2023</t>
        </is>
      </c>
      <c r="B3104" s="1" t="n">
        <v>45198</v>
      </c>
      <c r="C3104" s="1" t="n">
        <v>45627</v>
      </c>
      <c r="D3104" t="inlineStr">
        <is>
          <t>HALLANDS LÄN</t>
        </is>
      </c>
      <c r="E3104" t="inlineStr">
        <is>
          <t>FALKENBERG</t>
        </is>
      </c>
      <c r="G3104" t="n">
        <v>2.1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46828-2023</t>
        </is>
      </c>
      <c r="B3105" s="1" t="n">
        <v>45199</v>
      </c>
      <c r="C3105" s="1" t="n">
        <v>45627</v>
      </c>
      <c r="D3105" t="inlineStr">
        <is>
          <t>HALLANDS LÄN</t>
        </is>
      </c>
      <c r="E3105" t="inlineStr">
        <is>
          <t>LAHOLM</t>
        </is>
      </c>
      <c r="G3105" t="n">
        <v>9.5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46827-2023</t>
        </is>
      </c>
      <c r="B3106" s="1" t="n">
        <v>45199</v>
      </c>
      <c r="C3106" s="1" t="n">
        <v>45627</v>
      </c>
      <c r="D3106" t="inlineStr">
        <is>
          <t>HALLANDS LÄN</t>
        </is>
      </c>
      <c r="E3106" t="inlineStr">
        <is>
          <t>LAHOLM</t>
        </is>
      </c>
      <c r="G3106" t="n">
        <v>1.2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46829-2023</t>
        </is>
      </c>
      <c r="B3107" s="1" t="n">
        <v>45199</v>
      </c>
      <c r="C3107" s="1" t="n">
        <v>45627</v>
      </c>
      <c r="D3107" t="inlineStr">
        <is>
          <t>HALLANDS LÄN</t>
        </is>
      </c>
      <c r="E3107" t="inlineStr">
        <is>
          <t>LAHOLM</t>
        </is>
      </c>
      <c r="G3107" t="n">
        <v>6.1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46845-2023</t>
        </is>
      </c>
      <c r="B3108" s="1" t="n">
        <v>45199</v>
      </c>
      <c r="C3108" s="1" t="n">
        <v>45627</v>
      </c>
      <c r="D3108" t="inlineStr">
        <is>
          <t>HALLANDS LÄN</t>
        </is>
      </c>
      <c r="E3108" t="inlineStr">
        <is>
          <t>HYLTE</t>
        </is>
      </c>
      <c r="G3108" t="n">
        <v>2.1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46846-2023</t>
        </is>
      </c>
      <c r="B3109" s="1" t="n">
        <v>45199</v>
      </c>
      <c r="C3109" s="1" t="n">
        <v>45627</v>
      </c>
      <c r="D3109" t="inlineStr">
        <is>
          <t>HALLANDS LÄN</t>
        </is>
      </c>
      <c r="E3109" t="inlineStr">
        <is>
          <t>HYLTE</t>
        </is>
      </c>
      <c r="G3109" t="n">
        <v>2.1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46877-2023</t>
        </is>
      </c>
      <c r="B3110" s="1" t="n">
        <v>45200</v>
      </c>
      <c r="C3110" s="1" t="n">
        <v>45627</v>
      </c>
      <c r="D3110" t="inlineStr">
        <is>
          <t>HALLANDS LÄN</t>
        </is>
      </c>
      <c r="E3110" t="inlineStr">
        <is>
          <t>VARBERG</t>
        </is>
      </c>
      <c r="G3110" t="n">
        <v>8.800000000000001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46924-2023</t>
        </is>
      </c>
      <c r="B3111" s="1" t="n">
        <v>45201</v>
      </c>
      <c r="C3111" s="1" t="n">
        <v>45627</v>
      </c>
      <c r="D3111" t="inlineStr">
        <is>
          <t>HALLANDS LÄN</t>
        </is>
      </c>
      <c r="E3111" t="inlineStr">
        <is>
          <t>FALKENBERG</t>
        </is>
      </c>
      <c r="F3111" t="inlineStr">
        <is>
          <t>Kyrkan</t>
        </is>
      </c>
      <c r="G3111" t="n">
        <v>4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47101-2023</t>
        </is>
      </c>
      <c r="B3112" s="1" t="n">
        <v>45201</v>
      </c>
      <c r="C3112" s="1" t="n">
        <v>45627</v>
      </c>
      <c r="D3112" t="inlineStr">
        <is>
          <t>HALLANDS LÄN</t>
        </is>
      </c>
      <c r="E3112" t="inlineStr">
        <is>
          <t>LAHOLM</t>
        </is>
      </c>
      <c r="G3112" t="n">
        <v>2.1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47395-2023</t>
        </is>
      </c>
      <c r="B3113" s="1" t="n">
        <v>45202</v>
      </c>
      <c r="C3113" s="1" t="n">
        <v>45627</v>
      </c>
      <c r="D3113" t="inlineStr">
        <is>
          <t>HALLANDS LÄN</t>
        </is>
      </c>
      <c r="E3113" t="inlineStr">
        <is>
          <t>KUNGSBACKA</t>
        </is>
      </c>
      <c r="G3113" t="n">
        <v>1.3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47393-2023</t>
        </is>
      </c>
      <c r="B3114" s="1" t="n">
        <v>45202</v>
      </c>
      <c r="C3114" s="1" t="n">
        <v>45627</v>
      </c>
      <c r="D3114" t="inlineStr">
        <is>
          <t>HALLANDS LÄN</t>
        </is>
      </c>
      <c r="E3114" t="inlineStr">
        <is>
          <t>KUNGSBACKA</t>
        </is>
      </c>
      <c r="G3114" t="n">
        <v>0.7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47423-2023</t>
        </is>
      </c>
      <c r="B3115" s="1" t="n">
        <v>45202</v>
      </c>
      <c r="C3115" s="1" t="n">
        <v>45627</v>
      </c>
      <c r="D3115" t="inlineStr">
        <is>
          <t>HALLANDS LÄN</t>
        </is>
      </c>
      <c r="E3115" t="inlineStr">
        <is>
          <t>FALKENBERG</t>
        </is>
      </c>
      <c r="G3115" t="n">
        <v>0.5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47422-2023</t>
        </is>
      </c>
      <c r="B3116" s="1" t="n">
        <v>45202</v>
      </c>
      <c r="C3116" s="1" t="n">
        <v>45627</v>
      </c>
      <c r="D3116" t="inlineStr">
        <is>
          <t>HALLANDS LÄN</t>
        </is>
      </c>
      <c r="E3116" t="inlineStr">
        <is>
          <t>FALKENBERG</t>
        </is>
      </c>
      <c r="G3116" t="n">
        <v>1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47362-2023</t>
        </is>
      </c>
      <c r="B3117" s="1" t="n">
        <v>45202</v>
      </c>
      <c r="C3117" s="1" t="n">
        <v>45627</v>
      </c>
      <c r="D3117" t="inlineStr">
        <is>
          <t>HALLANDS LÄN</t>
        </is>
      </c>
      <c r="E3117" t="inlineStr">
        <is>
          <t>KUNGSBACKA</t>
        </is>
      </c>
      <c r="G3117" t="n">
        <v>10.8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47412-2023</t>
        </is>
      </c>
      <c r="B3118" s="1" t="n">
        <v>45202</v>
      </c>
      <c r="C3118" s="1" t="n">
        <v>45627</v>
      </c>
      <c r="D3118" t="inlineStr">
        <is>
          <t>HALLANDS LÄN</t>
        </is>
      </c>
      <c r="E3118" t="inlineStr">
        <is>
          <t>FALKENBERG</t>
        </is>
      </c>
      <c r="G3118" t="n">
        <v>2.6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47463-2023</t>
        </is>
      </c>
      <c r="B3119" s="1" t="n">
        <v>45202</v>
      </c>
      <c r="C3119" s="1" t="n">
        <v>45627</v>
      </c>
      <c r="D3119" t="inlineStr">
        <is>
          <t>HALLANDS LÄN</t>
        </is>
      </c>
      <c r="E3119" t="inlineStr">
        <is>
          <t>HALMSTAD</t>
        </is>
      </c>
      <c r="F3119" t="inlineStr">
        <is>
          <t>Kyrkan</t>
        </is>
      </c>
      <c r="G3119" t="n">
        <v>7.7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47589-2023</t>
        </is>
      </c>
      <c r="B3120" s="1" t="n">
        <v>45203</v>
      </c>
      <c r="C3120" s="1" t="n">
        <v>45627</v>
      </c>
      <c r="D3120" t="inlineStr">
        <is>
          <t>HALLANDS LÄN</t>
        </is>
      </c>
      <c r="E3120" t="inlineStr">
        <is>
          <t>FALKENBERG</t>
        </is>
      </c>
      <c r="G3120" t="n">
        <v>0.6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47668-2023</t>
        </is>
      </c>
      <c r="B3121" s="1" t="n">
        <v>45203</v>
      </c>
      <c r="C3121" s="1" t="n">
        <v>45627</v>
      </c>
      <c r="D3121" t="inlineStr">
        <is>
          <t>HALLANDS LÄN</t>
        </is>
      </c>
      <c r="E3121" t="inlineStr">
        <is>
          <t>HALMSTAD</t>
        </is>
      </c>
      <c r="G3121" t="n">
        <v>0.5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47671-2023</t>
        </is>
      </c>
      <c r="B3122" s="1" t="n">
        <v>45203</v>
      </c>
      <c r="C3122" s="1" t="n">
        <v>45627</v>
      </c>
      <c r="D3122" t="inlineStr">
        <is>
          <t>HALLANDS LÄN</t>
        </is>
      </c>
      <c r="E3122" t="inlineStr">
        <is>
          <t>HALMSTAD</t>
        </is>
      </c>
      <c r="G3122" t="n">
        <v>1.2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47749-2023</t>
        </is>
      </c>
      <c r="B3123" s="1" t="n">
        <v>45203</v>
      </c>
      <c r="C3123" s="1" t="n">
        <v>45627</v>
      </c>
      <c r="D3123" t="inlineStr">
        <is>
          <t>HALLANDS LÄN</t>
        </is>
      </c>
      <c r="E3123" t="inlineStr">
        <is>
          <t>FALKENBERG</t>
        </is>
      </c>
      <c r="G3123" t="n">
        <v>4.4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47622-2023</t>
        </is>
      </c>
      <c r="B3124" s="1" t="n">
        <v>45203</v>
      </c>
      <c r="C3124" s="1" t="n">
        <v>45627</v>
      </c>
      <c r="D3124" t="inlineStr">
        <is>
          <t>HALLANDS LÄN</t>
        </is>
      </c>
      <c r="E3124" t="inlineStr">
        <is>
          <t>HYLTE</t>
        </is>
      </c>
      <c r="G3124" t="n">
        <v>1.3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47662-2023</t>
        </is>
      </c>
      <c r="B3125" s="1" t="n">
        <v>45203</v>
      </c>
      <c r="C3125" s="1" t="n">
        <v>45627</v>
      </c>
      <c r="D3125" t="inlineStr">
        <is>
          <t>HALLANDS LÄN</t>
        </is>
      </c>
      <c r="E3125" t="inlineStr">
        <is>
          <t>FALKENBERG</t>
        </is>
      </c>
      <c r="F3125" t="inlineStr">
        <is>
          <t>Bergvik skog väst AB</t>
        </is>
      </c>
      <c r="G3125" t="n">
        <v>10.4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47771-2023</t>
        </is>
      </c>
      <c r="B3126" s="1" t="n">
        <v>45203</v>
      </c>
      <c r="C3126" s="1" t="n">
        <v>45627</v>
      </c>
      <c r="D3126" t="inlineStr">
        <is>
          <t>HALLANDS LÄN</t>
        </is>
      </c>
      <c r="E3126" t="inlineStr">
        <is>
          <t>HALMSTAD</t>
        </is>
      </c>
      <c r="G3126" t="n">
        <v>1.8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47832-2023</t>
        </is>
      </c>
      <c r="B3127" s="1" t="n">
        <v>45204</v>
      </c>
      <c r="C3127" s="1" t="n">
        <v>45627</v>
      </c>
      <c r="D3127" t="inlineStr">
        <is>
          <t>HALLANDS LÄN</t>
        </is>
      </c>
      <c r="E3127" t="inlineStr">
        <is>
          <t>KUNGSBACKA</t>
        </is>
      </c>
      <c r="G3127" t="n">
        <v>2.9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47996-2023</t>
        </is>
      </c>
      <c r="B3128" s="1" t="n">
        <v>45204</v>
      </c>
      <c r="C3128" s="1" t="n">
        <v>45627</v>
      </c>
      <c r="D3128" t="inlineStr">
        <is>
          <t>HALLANDS LÄN</t>
        </is>
      </c>
      <c r="E3128" t="inlineStr">
        <is>
          <t>HYLTE</t>
        </is>
      </c>
      <c r="G3128" t="n">
        <v>0.5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47994-2023</t>
        </is>
      </c>
      <c r="B3129" s="1" t="n">
        <v>45204</v>
      </c>
      <c r="C3129" s="1" t="n">
        <v>45627</v>
      </c>
      <c r="D3129" t="inlineStr">
        <is>
          <t>HALLANDS LÄN</t>
        </is>
      </c>
      <c r="E3129" t="inlineStr">
        <is>
          <t>HYLTE</t>
        </is>
      </c>
      <c r="G3129" t="n">
        <v>1.2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47998-2023</t>
        </is>
      </c>
      <c r="B3130" s="1" t="n">
        <v>45204</v>
      </c>
      <c r="C3130" s="1" t="n">
        <v>45627</v>
      </c>
      <c r="D3130" t="inlineStr">
        <is>
          <t>HALLANDS LÄN</t>
        </is>
      </c>
      <c r="E3130" t="inlineStr">
        <is>
          <t>HYLTE</t>
        </is>
      </c>
      <c r="G3130" t="n">
        <v>1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48002-2023</t>
        </is>
      </c>
      <c r="B3131" s="1" t="n">
        <v>45204</v>
      </c>
      <c r="C3131" s="1" t="n">
        <v>45627</v>
      </c>
      <c r="D3131" t="inlineStr">
        <is>
          <t>HALLANDS LÄN</t>
        </is>
      </c>
      <c r="E3131" t="inlineStr">
        <is>
          <t>HALMSTAD</t>
        </is>
      </c>
      <c r="G3131" t="n">
        <v>10.9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47997-2023</t>
        </is>
      </c>
      <c r="B3132" s="1" t="n">
        <v>45204</v>
      </c>
      <c r="C3132" s="1" t="n">
        <v>45627</v>
      </c>
      <c r="D3132" t="inlineStr">
        <is>
          <t>HALLANDS LÄN</t>
        </is>
      </c>
      <c r="E3132" t="inlineStr">
        <is>
          <t>HALMSTAD</t>
        </is>
      </c>
      <c r="G3132" t="n">
        <v>4.5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48044-2023</t>
        </is>
      </c>
      <c r="B3133" s="1" t="n">
        <v>45204</v>
      </c>
      <c r="C3133" s="1" t="n">
        <v>45627</v>
      </c>
      <c r="D3133" t="inlineStr">
        <is>
          <t>HALLANDS LÄN</t>
        </is>
      </c>
      <c r="E3133" t="inlineStr">
        <is>
          <t>HYLTE</t>
        </is>
      </c>
      <c r="G3133" t="n">
        <v>0.6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48907-2023</t>
        </is>
      </c>
      <c r="B3134" s="1" t="n">
        <v>45204</v>
      </c>
      <c r="C3134" s="1" t="n">
        <v>45627</v>
      </c>
      <c r="D3134" t="inlineStr">
        <is>
          <t>HALLANDS LÄN</t>
        </is>
      </c>
      <c r="E3134" t="inlineStr">
        <is>
          <t>HALMSTAD</t>
        </is>
      </c>
      <c r="G3134" t="n">
        <v>2.5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48120-2023</t>
        </is>
      </c>
      <c r="B3135" s="1" t="n">
        <v>45205</v>
      </c>
      <c r="C3135" s="1" t="n">
        <v>45627</v>
      </c>
      <c r="D3135" t="inlineStr">
        <is>
          <t>HALLANDS LÄN</t>
        </is>
      </c>
      <c r="E3135" t="inlineStr">
        <is>
          <t>FALKENBERG</t>
        </is>
      </c>
      <c r="G3135" t="n">
        <v>3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48221-2023</t>
        </is>
      </c>
      <c r="B3136" s="1" t="n">
        <v>45205</v>
      </c>
      <c r="C3136" s="1" t="n">
        <v>45627</v>
      </c>
      <c r="D3136" t="inlineStr">
        <is>
          <t>HALLANDS LÄN</t>
        </is>
      </c>
      <c r="E3136" t="inlineStr">
        <is>
          <t>FALKENBERG</t>
        </is>
      </c>
      <c r="G3136" t="n">
        <v>1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48295-2023</t>
        </is>
      </c>
      <c r="B3137" s="1" t="n">
        <v>45205</v>
      </c>
      <c r="C3137" s="1" t="n">
        <v>45627</v>
      </c>
      <c r="D3137" t="inlineStr">
        <is>
          <t>HALLANDS LÄN</t>
        </is>
      </c>
      <c r="E3137" t="inlineStr">
        <is>
          <t>LAHOLM</t>
        </is>
      </c>
      <c r="G3137" t="n">
        <v>4.9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48222-2023</t>
        </is>
      </c>
      <c r="B3138" s="1" t="n">
        <v>45205</v>
      </c>
      <c r="C3138" s="1" t="n">
        <v>45627</v>
      </c>
      <c r="D3138" t="inlineStr">
        <is>
          <t>HALLANDS LÄN</t>
        </is>
      </c>
      <c r="E3138" t="inlineStr">
        <is>
          <t>FALKENBERG</t>
        </is>
      </c>
      <c r="G3138" t="n">
        <v>0.5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48329-2023</t>
        </is>
      </c>
      <c r="B3139" s="1" t="n">
        <v>45205</v>
      </c>
      <c r="C3139" s="1" t="n">
        <v>45627</v>
      </c>
      <c r="D3139" t="inlineStr">
        <is>
          <t>HALLANDS LÄN</t>
        </is>
      </c>
      <c r="E3139" t="inlineStr">
        <is>
          <t>FALKENBERG</t>
        </is>
      </c>
      <c r="G3139" t="n">
        <v>1.4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48406-2023</t>
        </is>
      </c>
      <c r="B3140" s="1" t="n">
        <v>45205</v>
      </c>
      <c r="C3140" s="1" t="n">
        <v>45627</v>
      </c>
      <c r="D3140" t="inlineStr">
        <is>
          <t>HALLANDS LÄN</t>
        </is>
      </c>
      <c r="E3140" t="inlineStr">
        <is>
          <t>KUNGSBACKA</t>
        </is>
      </c>
      <c r="G3140" t="n">
        <v>1.4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48375-2023</t>
        </is>
      </c>
      <c r="B3141" s="1" t="n">
        <v>45205</v>
      </c>
      <c r="C3141" s="1" t="n">
        <v>45627</v>
      </c>
      <c r="D3141" t="inlineStr">
        <is>
          <t>HALLANDS LÄN</t>
        </is>
      </c>
      <c r="E3141" t="inlineStr">
        <is>
          <t>HYLTE</t>
        </is>
      </c>
      <c r="G3141" t="n">
        <v>1.3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48378-2023</t>
        </is>
      </c>
      <c r="B3142" s="1" t="n">
        <v>45205</v>
      </c>
      <c r="C3142" s="1" t="n">
        <v>45627</v>
      </c>
      <c r="D3142" t="inlineStr">
        <is>
          <t>HALLANDS LÄN</t>
        </is>
      </c>
      <c r="E3142" t="inlineStr">
        <is>
          <t>HYLTE</t>
        </is>
      </c>
      <c r="G3142" t="n">
        <v>1.4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48445-2023</t>
        </is>
      </c>
      <c r="B3143" s="1" t="n">
        <v>45206</v>
      </c>
      <c r="C3143" s="1" t="n">
        <v>45627</v>
      </c>
      <c r="D3143" t="inlineStr">
        <is>
          <t>HALLANDS LÄN</t>
        </is>
      </c>
      <c r="E3143" t="inlineStr">
        <is>
          <t>LAHOLM</t>
        </is>
      </c>
      <c r="G3143" t="n">
        <v>14.3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48446-2023</t>
        </is>
      </c>
      <c r="B3144" s="1" t="n">
        <v>45206</v>
      </c>
      <c r="C3144" s="1" t="n">
        <v>45627</v>
      </c>
      <c r="D3144" t="inlineStr">
        <is>
          <t>HALLANDS LÄN</t>
        </is>
      </c>
      <c r="E3144" t="inlineStr">
        <is>
          <t>LAHOLM</t>
        </is>
      </c>
      <c r="G3144" t="n">
        <v>6.5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48638-2023</t>
        </is>
      </c>
      <c r="B3145" s="1" t="n">
        <v>45208</v>
      </c>
      <c r="C3145" s="1" t="n">
        <v>45627</v>
      </c>
      <c r="D3145" t="inlineStr">
        <is>
          <t>HALLANDS LÄN</t>
        </is>
      </c>
      <c r="E3145" t="inlineStr">
        <is>
          <t>HALMSTAD</t>
        </is>
      </c>
      <c r="G3145" t="n">
        <v>1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48682-2023</t>
        </is>
      </c>
      <c r="B3146" s="1" t="n">
        <v>45208</v>
      </c>
      <c r="C3146" s="1" t="n">
        <v>45627</v>
      </c>
      <c r="D3146" t="inlineStr">
        <is>
          <t>HALLANDS LÄN</t>
        </is>
      </c>
      <c r="E3146" t="inlineStr">
        <is>
          <t>LAHOLM</t>
        </is>
      </c>
      <c r="G3146" t="n">
        <v>2.4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48679-2023</t>
        </is>
      </c>
      <c r="B3147" s="1" t="n">
        <v>45208</v>
      </c>
      <c r="C3147" s="1" t="n">
        <v>45627</v>
      </c>
      <c r="D3147" t="inlineStr">
        <is>
          <t>HALLANDS LÄN</t>
        </is>
      </c>
      <c r="E3147" t="inlineStr">
        <is>
          <t>VARBERG</t>
        </is>
      </c>
      <c r="G3147" t="n">
        <v>1.7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48754-2023</t>
        </is>
      </c>
      <c r="B3148" s="1" t="n">
        <v>45208</v>
      </c>
      <c r="C3148" s="1" t="n">
        <v>45627</v>
      </c>
      <c r="D3148" t="inlineStr">
        <is>
          <t>HALLANDS LÄN</t>
        </is>
      </c>
      <c r="E3148" t="inlineStr">
        <is>
          <t>KUNGSBACKA</t>
        </is>
      </c>
      <c r="G3148" t="n">
        <v>1.6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48734-2023</t>
        </is>
      </c>
      <c r="B3149" s="1" t="n">
        <v>45208</v>
      </c>
      <c r="C3149" s="1" t="n">
        <v>45627</v>
      </c>
      <c r="D3149" t="inlineStr">
        <is>
          <t>HALLANDS LÄN</t>
        </is>
      </c>
      <c r="E3149" t="inlineStr">
        <is>
          <t>HYLTE</t>
        </is>
      </c>
      <c r="G3149" t="n">
        <v>2.6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48859-2023</t>
        </is>
      </c>
      <c r="B3150" s="1" t="n">
        <v>45209</v>
      </c>
      <c r="C3150" s="1" t="n">
        <v>45627</v>
      </c>
      <c r="D3150" t="inlineStr">
        <is>
          <t>HALLANDS LÄN</t>
        </is>
      </c>
      <c r="E3150" t="inlineStr">
        <is>
          <t>HALMSTAD</t>
        </is>
      </c>
      <c r="G3150" t="n">
        <v>1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48865-2023</t>
        </is>
      </c>
      <c r="B3151" s="1" t="n">
        <v>45209</v>
      </c>
      <c r="C3151" s="1" t="n">
        <v>45627</v>
      </c>
      <c r="D3151" t="inlineStr">
        <is>
          <t>HALLANDS LÄN</t>
        </is>
      </c>
      <c r="E3151" t="inlineStr">
        <is>
          <t>LAHOLM</t>
        </is>
      </c>
      <c r="G3151" t="n">
        <v>0.8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48873-2023</t>
        </is>
      </c>
      <c r="B3152" s="1" t="n">
        <v>45209</v>
      </c>
      <c r="C3152" s="1" t="n">
        <v>45627</v>
      </c>
      <c r="D3152" t="inlineStr">
        <is>
          <t>HALLANDS LÄN</t>
        </is>
      </c>
      <c r="E3152" t="inlineStr">
        <is>
          <t>LAHOLM</t>
        </is>
      </c>
      <c r="G3152" t="n">
        <v>1.6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48972-2023</t>
        </is>
      </c>
      <c r="B3153" s="1" t="n">
        <v>45209</v>
      </c>
      <c r="C3153" s="1" t="n">
        <v>45627</v>
      </c>
      <c r="D3153" t="inlineStr">
        <is>
          <t>HALLANDS LÄN</t>
        </is>
      </c>
      <c r="E3153" t="inlineStr">
        <is>
          <t>LAHOLM</t>
        </is>
      </c>
      <c r="G3153" t="n">
        <v>1.2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48934-2023</t>
        </is>
      </c>
      <c r="B3154" s="1" t="n">
        <v>45209</v>
      </c>
      <c r="C3154" s="1" t="n">
        <v>45627</v>
      </c>
      <c r="D3154" t="inlineStr">
        <is>
          <t>HALLANDS LÄN</t>
        </is>
      </c>
      <c r="E3154" t="inlineStr">
        <is>
          <t>FALKENBERG</t>
        </is>
      </c>
      <c r="G3154" t="n">
        <v>1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48862-2023</t>
        </is>
      </c>
      <c r="B3155" s="1" t="n">
        <v>45209</v>
      </c>
      <c r="C3155" s="1" t="n">
        <v>45627</v>
      </c>
      <c r="D3155" t="inlineStr">
        <is>
          <t>HALLANDS LÄN</t>
        </is>
      </c>
      <c r="E3155" t="inlineStr">
        <is>
          <t>HALMSTAD</t>
        </is>
      </c>
      <c r="G3155" t="n">
        <v>0.6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49182-2023</t>
        </is>
      </c>
      <c r="B3156" s="1" t="n">
        <v>45210</v>
      </c>
      <c r="C3156" s="1" t="n">
        <v>45627</v>
      </c>
      <c r="D3156" t="inlineStr">
        <is>
          <t>HALLANDS LÄN</t>
        </is>
      </c>
      <c r="E3156" t="inlineStr">
        <is>
          <t>VARBERG</t>
        </is>
      </c>
      <c r="G3156" t="n">
        <v>5.6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50595-2023</t>
        </is>
      </c>
      <c r="B3157" s="1" t="n">
        <v>45210</v>
      </c>
      <c r="C3157" s="1" t="n">
        <v>45627</v>
      </c>
      <c r="D3157" t="inlineStr">
        <is>
          <t>HALLANDS LÄN</t>
        </is>
      </c>
      <c r="E3157" t="inlineStr">
        <is>
          <t>HALMSTAD</t>
        </is>
      </c>
      <c r="G3157" t="n">
        <v>1.8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49393-2023</t>
        </is>
      </c>
      <c r="B3158" s="1" t="n">
        <v>45211</v>
      </c>
      <c r="C3158" s="1" t="n">
        <v>45627</v>
      </c>
      <c r="D3158" t="inlineStr">
        <is>
          <t>HALLANDS LÄN</t>
        </is>
      </c>
      <c r="E3158" t="inlineStr">
        <is>
          <t>HYLTE</t>
        </is>
      </c>
      <c r="G3158" t="n">
        <v>0.7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49400-2023</t>
        </is>
      </c>
      <c r="B3159" s="1" t="n">
        <v>45211</v>
      </c>
      <c r="C3159" s="1" t="n">
        <v>45627</v>
      </c>
      <c r="D3159" t="inlineStr">
        <is>
          <t>HALLANDS LÄN</t>
        </is>
      </c>
      <c r="E3159" t="inlineStr">
        <is>
          <t>HYLTE</t>
        </is>
      </c>
      <c r="G3159" t="n">
        <v>4.4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49569-2023</t>
        </is>
      </c>
      <c r="B3160" s="1" t="n">
        <v>45211</v>
      </c>
      <c r="C3160" s="1" t="n">
        <v>45627</v>
      </c>
      <c r="D3160" t="inlineStr">
        <is>
          <t>HALLANDS LÄN</t>
        </is>
      </c>
      <c r="E3160" t="inlineStr">
        <is>
          <t>LAHOLM</t>
        </is>
      </c>
      <c r="G3160" t="n">
        <v>0.5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49549-2023</t>
        </is>
      </c>
      <c r="B3161" s="1" t="n">
        <v>45211</v>
      </c>
      <c r="C3161" s="1" t="n">
        <v>45627</v>
      </c>
      <c r="D3161" t="inlineStr">
        <is>
          <t>HALLANDS LÄN</t>
        </is>
      </c>
      <c r="E3161" t="inlineStr">
        <is>
          <t>LAHOLM</t>
        </is>
      </c>
      <c r="G3161" t="n">
        <v>3.2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49610-2023</t>
        </is>
      </c>
      <c r="B3162" s="1" t="n">
        <v>45211</v>
      </c>
      <c r="C3162" s="1" t="n">
        <v>45627</v>
      </c>
      <c r="D3162" t="inlineStr">
        <is>
          <t>HALLANDS LÄN</t>
        </is>
      </c>
      <c r="E3162" t="inlineStr">
        <is>
          <t>FALKENBERG</t>
        </is>
      </c>
      <c r="G3162" t="n">
        <v>1.6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49600-2023</t>
        </is>
      </c>
      <c r="B3163" s="1" t="n">
        <v>45211</v>
      </c>
      <c r="C3163" s="1" t="n">
        <v>45627</v>
      </c>
      <c r="D3163" t="inlineStr">
        <is>
          <t>HALLANDS LÄN</t>
        </is>
      </c>
      <c r="E3163" t="inlineStr">
        <is>
          <t>FALKENBERG</t>
        </is>
      </c>
      <c r="G3163" t="n">
        <v>3.4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49609-2023</t>
        </is>
      </c>
      <c r="B3164" s="1" t="n">
        <v>45211</v>
      </c>
      <c r="C3164" s="1" t="n">
        <v>45627</v>
      </c>
      <c r="D3164" t="inlineStr">
        <is>
          <t>HALLANDS LÄN</t>
        </is>
      </c>
      <c r="E3164" t="inlineStr">
        <is>
          <t>FALKENBERG</t>
        </is>
      </c>
      <c r="G3164" t="n">
        <v>0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49608-2023</t>
        </is>
      </c>
      <c r="B3165" s="1" t="n">
        <v>45211</v>
      </c>
      <c r="C3165" s="1" t="n">
        <v>45627</v>
      </c>
      <c r="D3165" t="inlineStr">
        <is>
          <t>HALLANDS LÄN</t>
        </is>
      </c>
      <c r="E3165" t="inlineStr">
        <is>
          <t>FALKENBERG</t>
        </is>
      </c>
      <c r="G3165" t="n">
        <v>0.9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49760-2023</t>
        </is>
      </c>
      <c r="B3166" s="1" t="n">
        <v>45212</v>
      </c>
      <c r="C3166" s="1" t="n">
        <v>45627</v>
      </c>
      <c r="D3166" t="inlineStr">
        <is>
          <t>HALLANDS LÄN</t>
        </is>
      </c>
      <c r="E3166" t="inlineStr">
        <is>
          <t>FALKENBERG</t>
        </is>
      </c>
      <c r="G3166" t="n">
        <v>3.6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49731-2023</t>
        </is>
      </c>
      <c r="B3167" s="1" t="n">
        <v>45212</v>
      </c>
      <c r="C3167" s="1" t="n">
        <v>45627</v>
      </c>
      <c r="D3167" t="inlineStr">
        <is>
          <t>HALLANDS LÄN</t>
        </is>
      </c>
      <c r="E3167" t="inlineStr">
        <is>
          <t>HYLTE</t>
        </is>
      </c>
      <c r="G3167" t="n">
        <v>3.2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49764-2023</t>
        </is>
      </c>
      <c r="B3168" s="1" t="n">
        <v>45212</v>
      </c>
      <c r="C3168" s="1" t="n">
        <v>45627</v>
      </c>
      <c r="D3168" t="inlineStr">
        <is>
          <t>HALLANDS LÄN</t>
        </is>
      </c>
      <c r="E3168" t="inlineStr">
        <is>
          <t>FALKENBERG</t>
        </is>
      </c>
      <c r="G3168" t="n">
        <v>4.5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50133-2023</t>
        </is>
      </c>
      <c r="B3169" s="1" t="n">
        <v>45215</v>
      </c>
      <c r="C3169" s="1" t="n">
        <v>45627</v>
      </c>
      <c r="D3169" t="inlineStr">
        <is>
          <t>HALLANDS LÄN</t>
        </is>
      </c>
      <c r="E3169" t="inlineStr">
        <is>
          <t>FALKENBERG</t>
        </is>
      </c>
      <c r="G3169" t="n">
        <v>1.4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50100-2023</t>
        </is>
      </c>
      <c r="B3170" s="1" t="n">
        <v>45215</v>
      </c>
      <c r="C3170" s="1" t="n">
        <v>45627</v>
      </c>
      <c r="D3170" t="inlineStr">
        <is>
          <t>HALLANDS LÄN</t>
        </is>
      </c>
      <c r="E3170" t="inlineStr">
        <is>
          <t>LAHOLM</t>
        </is>
      </c>
      <c r="G3170" t="n">
        <v>0.8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50113-2023</t>
        </is>
      </c>
      <c r="B3171" s="1" t="n">
        <v>45215</v>
      </c>
      <c r="C3171" s="1" t="n">
        <v>45627</v>
      </c>
      <c r="D3171" t="inlineStr">
        <is>
          <t>HALLANDS LÄN</t>
        </is>
      </c>
      <c r="E3171" t="inlineStr">
        <is>
          <t>HALMSTAD</t>
        </is>
      </c>
      <c r="G3171" t="n">
        <v>1.9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50099-2023</t>
        </is>
      </c>
      <c r="B3172" s="1" t="n">
        <v>45215</v>
      </c>
      <c r="C3172" s="1" t="n">
        <v>45627</v>
      </c>
      <c r="D3172" t="inlineStr">
        <is>
          <t>HALLANDS LÄN</t>
        </is>
      </c>
      <c r="E3172" t="inlineStr">
        <is>
          <t>LAHOLM</t>
        </is>
      </c>
      <c r="G3172" t="n">
        <v>0.7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50466-2023</t>
        </is>
      </c>
      <c r="B3173" s="1" t="n">
        <v>45216</v>
      </c>
      <c r="C3173" s="1" t="n">
        <v>45627</v>
      </c>
      <c r="D3173" t="inlineStr">
        <is>
          <t>HALLANDS LÄN</t>
        </is>
      </c>
      <c r="E3173" t="inlineStr">
        <is>
          <t>VARBERG</t>
        </is>
      </c>
      <c r="G3173" t="n">
        <v>0.7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50448-2023</t>
        </is>
      </c>
      <c r="B3174" s="1" t="n">
        <v>45216</v>
      </c>
      <c r="C3174" s="1" t="n">
        <v>45627</v>
      </c>
      <c r="D3174" t="inlineStr">
        <is>
          <t>HALLANDS LÄN</t>
        </is>
      </c>
      <c r="E3174" t="inlineStr">
        <is>
          <t>LAHOLM</t>
        </is>
      </c>
      <c r="G3174" t="n">
        <v>1.4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50387-2023</t>
        </is>
      </c>
      <c r="B3175" s="1" t="n">
        <v>45216</v>
      </c>
      <c r="C3175" s="1" t="n">
        <v>45627</v>
      </c>
      <c r="D3175" t="inlineStr">
        <is>
          <t>HALLANDS LÄN</t>
        </is>
      </c>
      <c r="E3175" t="inlineStr">
        <is>
          <t>HALMSTAD</t>
        </is>
      </c>
      <c r="G3175" t="n">
        <v>0.6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50682-2023</t>
        </is>
      </c>
      <c r="B3176" s="1" t="n">
        <v>45217</v>
      </c>
      <c r="C3176" s="1" t="n">
        <v>45627</v>
      </c>
      <c r="D3176" t="inlineStr">
        <is>
          <t>HALLANDS LÄN</t>
        </is>
      </c>
      <c r="E3176" t="inlineStr">
        <is>
          <t>VARBERG</t>
        </is>
      </c>
      <c r="G3176" t="n">
        <v>1.7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50593-2023</t>
        </is>
      </c>
      <c r="B3177" s="1" t="n">
        <v>45217</v>
      </c>
      <c r="C3177" s="1" t="n">
        <v>45627</v>
      </c>
      <c r="D3177" t="inlineStr">
        <is>
          <t>HALLANDS LÄN</t>
        </is>
      </c>
      <c r="E3177" t="inlineStr">
        <is>
          <t>HALMSTAD</t>
        </is>
      </c>
      <c r="G3177" t="n">
        <v>0.3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50603-2023</t>
        </is>
      </c>
      <c r="B3178" s="1" t="n">
        <v>45217</v>
      </c>
      <c r="C3178" s="1" t="n">
        <v>45627</v>
      </c>
      <c r="D3178" t="inlineStr">
        <is>
          <t>HALLANDS LÄN</t>
        </is>
      </c>
      <c r="E3178" t="inlineStr">
        <is>
          <t>HALMSTAD</t>
        </is>
      </c>
      <c r="G3178" t="n">
        <v>1.4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50681-2023</t>
        </is>
      </c>
      <c r="B3179" s="1" t="n">
        <v>45217</v>
      </c>
      <c r="C3179" s="1" t="n">
        <v>45627</v>
      </c>
      <c r="D3179" t="inlineStr">
        <is>
          <t>HALLANDS LÄN</t>
        </is>
      </c>
      <c r="E3179" t="inlineStr">
        <is>
          <t>VARBERG</t>
        </is>
      </c>
      <c r="G3179" t="n">
        <v>1.7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50791-2023</t>
        </is>
      </c>
      <c r="B3180" s="1" t="n">
        <v>45217</v>
      </c>
      <c r="C3180" s="1" t="n">
        <v>45627</v>
      </c>
      <c r="D3180" t="inlineStr">
        <is>
          <t>HALLANDS LÄN</t>
        </is>
      </c>
      <c r="E3180" t="inlineStr">
        <is>
          <t>HALMSTAD</t>
        </is>
      </c>
      <c r="G3180" t="n">
        <v>0.8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50883-2023</t>
        </is>
      </c>
      <c r="B3181" s="1" t="n">
        <v>45218</v>
      </c>
      <c r="C3181" s="1" t="n">
        <v>45627</v>
      </c>
      <c r="D3181" t="inlineStr">
        <is>
          <t>HALLANDS LÄN</t>
        </is>
      </c>
      <c r="E3181" t="inlineStr">
        <is>
          <t>HYLTE</t>
        </is>
      </c>
      <c r="G3181" t="n">
        <v>3.1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51036-2023</t>
        </is>
      </c>
      <c r="B3182" s="1" t="n">
        <v>45218</v>
      </c>
      <c r="C3182" s="1" t="n">
        <v>45627</v>
      </c>
      <c r="D3182" t="inlineStr">
        <is>
          <t>HALLANDS LÄN</t>
        </is>
      </c>
      <c r="E3182" t="inlineStr">
        <is>
          <t>VARBERG</t>
        </is>
      </c>
      <c r="G3182" t="n">
        <v>3.5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51141-2023</t>
        </is>
      </c>
      <c r="B3183" s="1" t="n">
        <v>45219</v>
      </c>
      <c r="C3183" s="1" t="n">
        <v>45627</v>
      </c>
      <c r="D3183" t="inlineStr">
        <is>
          <t>HALLANDS LÄN</t>
        </is>
      </c>
      <c r="E3183" t="inlineStr">
        <is>
          <t>LAHOLM</t>
        </is>
      </c>
      <c r="G3183" t="n">
        <v>0.8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51398-2023</t>
        </is>
      </c>
      <c r="B3184" s="1" t="n">
        <v>45219</v>
      </c>
      <c r="C3184" s="1" t="n">
        <v>45627</v>
      </c>
      <c r="D3184" t="inlineStr">
        <is>
          <t>HALLANDS LÄN</t>
        </is>
      </c>
      <c r="E3184" t="inlineStr">
        <is>
          <t>FALKENBERG</t>
        </is>
      </c>
      <c r="G3184" t="n">
        <v>2.9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51139-2023</t>
        </is>
      </c>
      <c r="B3185" s="1" t="n">
        <v>45219</v>
      </c>
      <c r="C3185" s="1" t="n">
        <v>45627</v>
      </c>
      <c r="D3185" t="inlineStr">
        <is>
          <t>HALLANDS LÄN</t>
        </is>
      </c>
      <c r="E3185" t="inlineStr">
        <is>
          <t>LAHOLM</t>
        </is>
      </c>
      <c r="G3185" t="n">
        <v>4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51420-2023</t>
        </is>
      </c>
      <c r="B3186" s="1" t="n">
        <v>45219</v>
      </c>
      <c r="C3186" s="1" t="n">
        <v>45627</v>
      </c>
      <c r="D3186" t="inlineStr">
        <is>
          <t>HALLANDS LÄN</t>
        </is>
      </c>
      <c r="E3186" t="inlineStr">
        <is>
          <t>FALKENBERG</t>
        </is>
      </c>
      <c r="G3186" t="n">
        <v>2.3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51403-2023</t>
        </is>
      </c>
      <c r="B3187" s="1" t="n">
        <v>45219</v>
      </c>
      <c r="C3187" s="1" t="n">
        <v>45627</v>
      </c>
      <c r="D3187" t="inlineStr">
        <is>
          <t>HALLANDS LÄN</t>
        </is>
      </c>
      <c r="E3187" t="inlineStr">
        <is>
          <t>FALKENBERG</t>
        </is>
      </c>
      <c r="G3187" t="n">
        <v>1.1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51138-2023</t>
        </is>
      </c>
      <c r="B3188" s="1" t="n">
        <v>45219</v>
      </c>
      <c r="C3188" s="1" t="n">
        <v>45627</v>
      </c>
      <c r="D3188" t="inlineStr">
        <is>
          <t>HALLANDS LÄN</t>
        </is>
      </c>
      <c r="E3188" t="inlineStr">
        <is>
          <t>LAHOLM</t>
        </is>
      </c>
      <c r="G3188" t="n">
        <v>1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51134-2023</t>
        </is>
      </c>
      <c r="B3189" s="1" t="n">
        <v>45219</v>
      </c>
      <c r="C3189" s="1" t="n">
        <v>45627</v>
      </c>
      <c r="D3189" t="inlineStr">
        <is>
          <t>HALLANDS LÄN</t>
        </is>
      </c>
      <c r="E3189" t="inlineStr">
        <is>
          <t>LAHOLM</t>
        </is>
      </c>
      <c r="G3189" t="n">
        <v>1.6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51266-2023</t>
        </is>
      </c>
      <c r="B3190" s="1" t="n">
        <v>45219</v>
      </c>
      <c r="C3190" s="1" t="n">
        <v>45627</v>
      </c>
      <c r="D3190" t="inlineStr">
        <is>
          <t>HALLANDS LÄN</t>
        </is>
      </c>
      <c r="E3190" t="inlineStr">
        <is>
          <t>VARBERG</t>
        </is>
      </c>
      <c r="G3190" t="n">
        <v>6.2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51316-2023</t>
        </is>
      </c>
      <c r="B3191" s="1" t="n">
        <v>45219</v>
      </c>
      <c r="C3191" s="1" t="n">
        <v>45627</v>
      </c>
      <c r="D3191" t="inlineStr">
        <is>
          <t>HALLANDS LÄN</t>
        </is>
      </c>
      <c r="E3191" t="inlineStr">
        <is>
          <t>KUNGSBACKA</t>
        </is>
      </c>
      <c r="G3191" t="n">
        <v>1.2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51391-2023</t>
        </is>
      </c>
      <c r="B3192" s="1" t="n">
        <v>45219</v>
      </c>
      <c r="C3192" s="1" t="n">
        <v>45627</v>
      </c>
      <c r="D3192" t="inlineStr">
        <is>
          <t>HALLANDS LÄN</t>
        </is>
      </c>
      <c r="E3192" t="inlineStr">
        <is>
          <t>FALKENBERG</t>
        </is>
      </c>
      <c r="G3192" t="n">
        <v>3.1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51131-2023</t>
        </is>
      </c>
      <c r="B3193" s="1" t="n">
        <v>45219</v>
      </c>
      <c r="C3193" s="1" t="n">
        <v>45627</v>
      </c>
      <c r="D3193" t="inlineStr">
        <is>
          <t>HALLANDS LÄN</t>
        </is>
      </c>
      <c r="E3193" t="inlineStr">
        <is>
          <t>LAHOLM</t>
        </is>
      </c>
      <c r="G3193" t="n">
        <v>3.6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51400-2023</t>
        </is>
      </c>
      <c r="B3194" s="1" t="n">
        <v>45219</v>
      </c>
      <c r="C3194" s="1" t="n">
        <v>45627</v>
      </c>
      <c r="D3194" t="inlineStr">
        <is>
          <t>HALLANDS LÄN</t>
        </is>
      </c>
      <c r="E3194" t="inlineStr">
        <is>
          <t>FALKENBERG</t>
        </is>
      </c>
      <c r="G3194" t="n">
        <v>1.1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51445-2023</t>
        </is>
      </c>
      <c r="B3195" s="1" t="n">
        <v>45220</v>
      </c>
      <c r="C3195" s="1" t="n">
        <v>45627</v>
      </c>
      <c r="D3195" t="inlineStr">
        <is>
          <t>HALLANDS LÄN</t>
        </is>
      </c>
      <c r="E3195" t="inlineStr">
        <is>
          <t>HALMSTAD</t>
        </is>
      </c>
      <c r="G3195" t="n">
        <v>4.9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51497-2023</t>
        </is>
      </c>
      <c r="B3196" s="1" t="n">
        <v>45222</v>
      </c>
      <c r="C3196" s="1" t="n">
        <v>45627</v>
      </c>
      <c r="D3196" t="inlineStr">
        <is>
          <t>HALLANDS LÄN</t>
        </is>
      </c>
      <c r="E3196" t="inlineStr">
        <is>
          <t>HYLTE</t>
        </is>
      </c>
      <c r="G3196" t="n">
        <v>0.8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51549-2023</t>
        </is>
      </c>
      <c r="B3197" s="1" t="n">
        <v>45222</v>
      </c>
      <c r="C3197" s="1" t="n">
        <v>45627</v>
      </c>
      <c r="D3197" t="inlineStr">
        <is>
          <t>HALLANDS LÄN</t>
        </is>
      </c>
      <c r="E3197" t="inlineStr">
        <is>
          <t>LAHOLM</t>
        </is>
      </c>
      <c r="G3197" t="n">
        <v>1.1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51535-2023</t>
        </is>
      </c>
      <c r="B3198" s="1" t="n">
        <v>45222</v>
      </c>
      <c r="C3198" s="1" t="n">
        <v>45627</v>
      </c>
      <c r="D3198" t="inlineStr">
        <is>
          <t>HALLANDS LÄN</t>
        </is>
      </c>
      <c r="E3198" t="inlineStr">
        <is>
          <t>VARBERG</t>
        </is>
      </c>
      <c r="G3198" t="n">
        <v>1.1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51566-2023</t>
        </is>
      </c>
      <c r="B3199" s="1" t="n">
        <v>45222</v>
      </c>
      <c r="C3199" s="1" t="n">
        <v>45627</v>
      </c>
      <c r="D3199" t="inlineStr">
        <is>
          <t>HALLANDS LÄN</t>
        </is>
      </c>
      <c r="E3199" t="inlineStr">
        <is>
          <t>HYLTE</t>
        </is>
      </c>
      <c r="G3199" t="n">
        <v>1.2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51917-2023</t>
        </is>
      </c>
      <c r="B3200" s="1" t="n">
        <v>45223</v>
      </c>
      <c r="C3200" s="1" t="n">
        <v>45627</v>
      </c>
      <c r="D3200" t="inlineStr">
        <is>
          <t>HALLANDS LÄN</t>
        </is>
      </c>
      <c r="E3200" t="inlineStr">
        <is>
          <t>HYLTE</t>
        </is>
      </c>
      <c r="G3200" t="n">
        <v>0.8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52247-2023</t>
        </is>
      </c>
      <c r="B3201" s="1" t="n">
        <v>45224</v>
      </c>
      <c r="C3201" s="1" t="n">
        <v>45627</v>
      </c>
      <c r="D3201" t="inlineStr">
        <is>
          <t>HALLANDS LÄN</t>
        </is>
      </c>
      <c r="E3201" t="inlineStr">
        <is>
          <t>VARBERG</t>
        </is>
      </c>
      <c r="G3201" t="n">
        <v>1.3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52283-2023</t>
        </is>
      </c>
      <c r="B3202" s="1" t="n">
        <v>45224</v>
      </c>
      <c r="C3202" s="1" t="n">
        <v>45627</v>
      </c>
      <c r="D3202" t="inlineStr">
        <is>
          <t>HALLANDS LÄN</t>
        </is>
      </c>
      <c r="E3202" t="inlineStr">
        <is>
          <t>VARBERG</t>
        </is>
      </c>
      <c r="G3202" t="n">
        <v>0.7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52155-2023</t>
        </is>
      </c>
      <c r="B3203" s="1" t="n">
        <v>45224</v>
      </c>
      <c r="C3203" s="1" t="n">
        <v>45627</v>
      </c>
      <c r="D3203" t="inlineStr">
        <is>
          <t>HALLANDS LÄN</t>
        </is>
      </c>
      <c r="E3203" t="inlineStr">
        <is>
          <t>LAHOLM</t>
        </is>
      </c>
      <c r="G3203" t="n">
        <v>2.6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52253-2023</t>
        </is>
      </c>
      <c r="B3204" s="1" t="n">
        <v>45224</v>
      </c>
      <c r="C3204" s="1" t="n">
        <v>45627</v>
      </c>
      <c r="D3204" t="inlineStr">
        <is>
          <t>HALLANDS LÄN</t>
        </is>
      </c>
      <c r="E3204" t="inlineStr">
        <is>
          <t>HALMSTAD</t>
        </is>
      </c>
      <c r="G3204" t="n">
        <v>1.3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52285-2023</t>
        </is>
      </c>
      <c r="B3205" s="1" t="n">
        <v>45224</v>
      </c>
      <c r="C3205" s="1" t="n">
        <v>45627</v>
      </c>
      <c r="D3205" t="inlineStr">
        <is>
          <t>HALLANDS LÄN</t>
        </is>
      </c>
      <c r="E3205" t="inlineStr">
        <is>
          <t>VARBERG</t>
        </is>
      </c>
      <c r="G3205" t="n">
        <v>2.1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52251-2023</t>
        </is>
      </c>
      <c r="B3206" s="1" t="n">
        <v>45224</v>
      </c>
      <c r="C3206" s="1" t="n">
        <v>45627</v>
      </c>
      <c r="D3206" t="inlineStr">
        <is>
          <t>HALLANDS LÄN</t>
        </is>
      </c>
      <c r="E3206" t="inlineStr">
        <is>
          <t>VARBERG</t>
        </is>
      </c>
      <c r="G3206" t="n">
        <v>0.7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52467-2023</t>
        </is>
      </c>
      <c r="B3207" s="1" t="n">
        <v>45225</v>
      </c>
      <c r="C3207" s="1" t="n">
        <v>45627</v>
      </c>
      <c r="D3207" t="inlineStr">
        <is>
          <t>HALLANDS LÄN</t>
        </is>
      </c>
      <c r="E3207" t="inlineStr">
        <is>
          <t>HYLTE</t>
        </is>
      </c>
      <c r="G3207" t="n">
        <v>0.8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52520-2023</t>
        </is>
      </c>
      <c r="B3208" s="1" t="n">
        <v>45225</v>
      </c>
      <c r="C3208" s="1" t="n">
        <v>45627</v>
      </c>
      <c r="D3208" t="inlineStr">
        <is>
          <t>HALLANDS LÄN</t>
        </is>
      </c>
      <c r="E3208" t="inlineStr">
        <is>
          <t>LAHOLM</t>
        </is>
      </c>
      <c r="G3208" t="n">
        <v>2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52465-2023</t>
        </is>
      </c>
      <c r="B3209" s="1" t="n">
        <v>45225</v>
      </c>
      <c r="C3209" s="1" t="n">
        <v>45627</v>
      </c>
      <c r="D3209" t="inlineStr">
        <is>
          <t>HALLANDS LÄN</t>
        </is>
      </c>
      <c r="E3209" t="inlineStr">
        <is>
          <t>HYLTE</t>
        </is>
      </c>
      <c r="G3209" t="n">
        <v>8.800000000000001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52706-2023</t>
        </is>
      </c>
      <c r="B3210" s="1" t="n">
        <v>45225</v>
      </c>
      <c r="C3210" s="1" t="n">
        <v>45627</v>
      </c>
      <c r="D3210" t="inlineStr">
        <is>
          <t>HALLANDS LÄN</t>
        </is>
      </c>
      <c r="E3210" t="inlineStr">
        <is>
          <t>VARBERG</t>
        </is>
      </c>
      <c r="G3210" t="n">
        <v>0.8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52722-2023</t>
        </is>
      </c>
      <c r="B3211" s="1" t="n">
        <v>45226</v>
      </c>
      <c r="C3211" s="1" t="n">
        <v>45627</v>
      </c>
      <c r="D3211" t="inlineStr">
        <is>
          <t>HALLANDS LÄN</t>
        </is>
      </c>
      <c r="E3211" t="inlineStr">
        <is>
          <t>HYLTE</t>
        </is>
      </c>
      <c r="G3211" t="n">
        <v>2.3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52666-2023</t>
        </is>
      </c>
      <c r="B3212" s="1" t="n">
        <v>45225</v>
      </c>
      <c r="C3212" s="1" t="n">
        <v>45627</v>
      </c>
      <c r="D3212" t="inlineStr">
        <is>
          <t>HALLANDS LÄN</t>
        </is>
      </c>
      <c r="E3212" t="inlineStr">
        <is>
          <t>HYLTE</t>
        </is>
      </c>
      <c r="G3212" t="n">
        <v>4.9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52705-2023</t>
        </is>
      </c>
      <c r="B3213" s="1" t="n">
        <v>45225</v>
      </c>
      <c r="C3213" s="1" t="n">
        <v>45627</v>
      </c>
      <c r="D3213" t="inlineStr">
        <is>
          <t>HALLANDS LÄN</t>
        </is>
      </c>
      <c r="E3213" t="inlineStr">
        <is>
          <t>VARBERG</t>
        </is>
      </c>
      <c r="G3213" t="n">
        <v>2.9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52848-2023</t>
        </is>
      </c>
      <c r="B3214" s="1" t="n">
        <v>45226</v>
      </c>
      <c r="C3214" s="1" t="n">
        <v>45627</v>
      </c>
      <c r="D3214" t="inlineStr">
        <is>
          <t>HALLANDS LÄN</t>
        </is>
      </c>
      <c r="E3214" t="inlineStr">
        <is>
          <t>FALKENBERG</t>
        </is>
      </c>
      <c r="G3214" t="n">
        <v>0.8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52846-2023</t>
        </is>
      </c>
      <c r="B3215" s="1" t="n">
        <v>45226</v>
      </c>
      <c r="C3215" s="1" t="n">
        <v>45627</v>
      </c>
      <c r="D3215" t="inlineStr">
        <is>
          <t>HALLANDS LÄN</t>
        </is>
      </c>
      <c r="E3215" t="inlineStr">
        <is>
          <t>FALKENBERG</t>
        </is>
      </c>
      <c r="G3215" t="n">
        <v>1.7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52833-2023</t>
        </is>
      </c>
      <c r="B3216" s="1" t="n">
        <v>45226</v>
      </c>
      <c r="C3216" s="1" t="n">
        <v>45627</v>
      </c>
      <c r="D3216" t="inlineStr">
        <is>
          <t>HALLANDS LÄN</t>
        </is>
      </c>
      <c r="E3216" t="inlineStr">
        <is>
          <t>FALKENBERG</t>
        </is>
      </c>
      <c r="G3216" t="n">
        <v>1.2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52783-2023</t>
        </is>
      </c>
      <c r="B3217" s="1" t="n">
        <v>45226</v>
      </c>
      <c r="C3217" s="1" t="n">
        <v>45627</v>
      </c>
      <c r="D3217" t="inlineStr">
        <is>
          <t>HALLANDS LÄN</t>
        </is>
      </c>
      <c r="E3217" t="inlineStr">
        <is>
          <t>FALKENBERG</t>
        </is>
      </c>
      <c r="G3217" t="n">
        <v>2.5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52913-2023</t>
        </is>
      </c>
      <c r="B3218" s="1" t="n">
        <v>45226</v>
      </c>
      <c r="C3218" s="1" t="n">
        <v>45627</v>
      </c>
      <c r="D3218" t="inlineStr">
        <is>
          <t>HALLANDS LÄN</t>
        </is>
      </c>
      <c r="E3218" t="inlineStr">
        <is>
          <t>HALMSTAD</t>
        </is>
      </c>
      <c r="G3218" t="n">
        <v>2.6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52909-2023</t>
        </is>
      </c>
      <c r="B3219" s="1" t="n">
        <v>45226</v>
      </c>
      <c r="C3219" s="1" t="n">
        <v>45627</v>
      </c>
      <c r="D3219" t="inlineStr">
        <is>
          <t>HALLANDS LÄN</t>
        </is>
      </c>
      <c r="E3219" t="inlineStr">
        <is>
          <t>HALMSTAD</t>
        </is>
      </c>
      <c r="G3219" t="n">
        <v>0.8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52852-2023</t>
        </is>
      </c>
      <c r="B3220" s="1" t="n">
        <v>45226</v>
      </c>
      <c r="C3220" s="1" t="n">
        <v>45627</v>
      </c>
      <c r="D3220" t="inlineStr">
        <is>
          <t>HALLANDS LÄN</t>
        </is>
      </c>
      <c r="E3220" t="inlineStr">
        <is>
          <t>FALKENBERG</t>
        </is>
      </c>
      <c r="G3220" t="n">
        <v>4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53110-2023</t>
        </is>
      </c>
      <c r="B3221" s="1" t="n">
        <v>45228</v>
      </c>
      <c r="C3221" s="1" t="n">
        <v>45627</v>
      </c>
      <c r="D3221" t="inlineStr">
        <is>
          <t>HALLANDS LÄN</t>
        </is>
      </c>
      <c r="E3221" t="inlineStr">
        <is>
          <t>FALKENBERG</t>
        </is>
      </c>
      <c r="G3221" t="n">
        <v>1.5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53125-2023</t>
        </is>
      </c>
      <c r="B3222" s="1" t="n">
        <v>45229</v>
      </c>
      <c r="C3222" s="1" t="n">
        <v>45627</v>
      </c>
      <c r="D3222" t="inlineStr">
        <is>
          <t>HALLANDS LÄN</t>
        </is>
      </c>
      <c r="E3222" t="inlineStr">
        <is>
          <t>HALMSTAD</t>
        </is>
      </c>
      <c r="G3222" t="n">
        <v>1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53294-2023</t>
        </is>
      </c>
      <c r="B3223" s="1" t="n">
        <v>45229</v>
      </c>
      <c r="C3223" s="1" t="n">
        <v>45627</v>
      </c>
      <c r="D3223" t="inlineStr">
        <is>
          <t>HALLANDS LÄN</t>
        </is>
      </c>
      <c r="E3223" t="inlineStr">
        <is>
          <t>HYLTE</t>
        </is>
      </c>
      <c r="G3223" t="n">
        <v>1.8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53302-2023</t>
        </is>
      </c>
      <c r="B3224" s="1" t="n">
        <v>45229</v>
      </c>
      <c r="C3224" s="1" t="n">
        <v>45627</v>
      </c>
      <c r="D3224" t="inlineStr">
        <is>
          <t>HALLANDS LÄN</t>
        </is>
      </c>
      <c r="E3224" t="inlineStr">
        <is>
          <t>HYLTE</t>
        </is>
      </c>
      <c r="G3224" t="n">
        <v>2.8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53306-2023</t>
        </is>
      </c>
      <c r="B3225" s="1" t="n">
        <v>45229</v>
      </c>
      <c r="C3225" s="1" t="n">
        <v>45627</v>
      </c>
      <c r="D3225" t="inlineStr">
        <is>
          <t>HALLANDS LÄN</t>
        </is>
      </c>
      <c r="E3225" t="inlineStr">
        <is>
          <t>HYLTE</t>
        </is>
      </c>
      <c r="G3225" t="n">
        <v>1.9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53192-2023</t>
        </is>
      </c>
      <c r="B3226" s="1" t="n">
        <v>45229</v>
      </c>
      <c r="C3226" s="1" t="n">
        <v>45627</v>
      </c>
      <c r="D3226" t="inlineStr">
        <is>
          <t>HALLANDS LÄN</t>
        </is>
      </c>
      <c r="E3226" t="inlineStr">
        <is>
          <t>HYLTE</t>
        </is>
      </c>
      <c r="G3226" t="n">
        <v>4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53159-2023</t>
        </is>
      </c>
      <c r="B3227" s="1" t="n">
        <v>45229</v>
      </c>
      <c r="C3227" s="1" t="n">
        <v>45627</v>
      </c>
      <c r="D3227" t="inlineStr">
        <is>
          <t>HALLANDS LÄN</t>
        </is>
      </c>
      <c r="E3227" t="inlineStr">
        <is>
          <t>LAHOLM</t>
        </is>
      </c>
      <c r="G3227" t="n">
        <v>0.8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53207-2023</t>
        </is>
      </c>
      <c r="B3228" s="1" t="n">
        <v>45229</v>
      </c>
      <c r="C3228" s="1" t="n">
        <v>45627</v>
      </c>
      <c r="D3228" t="inlineStr">
        <is>
          <t>HALLANDS LÄN</t>
        </is>
      </c>
      <c r="E3228" t="inlineStr">
        <is>
          <t>HYLTE</t>
        </is>
      </c>
      <c r="G3228" t="n">
        <v>5.6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53293-2023</t>
        </is>
      </c>
      <c r="B3229" s="1" t="n">
        <v>45229</v>
      </c>
      <c r="C3229" s="1" t="n">
        <v>45627</v>
      </c>
      <c r="D3229" t="inlineStr">
        <is>
          <t>HALLANDS LÄN</t>
        </is>
      </c>
      <c r="E3229" t="inlineStr">
        <is>
          <t>HYLTE</t>
        </is>
      </c>
      <c r="G3229" t="n">
        <v>3.6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53402-2023</t>
        </is>
      </c>
      <c r="B3230" s="1" t="n">
        <v>45229</v>
      </c>
      <c r="C3230" s="1" t="n">
        <v>45627</v>
      </c>
      <c r="D3230" t="inlineStr">
        <is>
          <t>HALLANDS LÄN</t>
        </is>
      </c>
      <c r="E3230" t="inlineStr">
        <is>
          <t>FALKENBERG</t>
        </is>
      </c>
      <c r="G3230" t="n">
        <v>1.7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53427-2023</t>
        </is>
      </c>
      <c r="B3231" s="1" t="n">
        <v>45229</v>
      </c>
      <c r="C3231" s="1" t="n">
        <v>45627</v>
      </c>
      <c r="D3231" t="inlineStr">
        <is>
          <t>HALLANDS LÄN</t>
        </is>
      </c>
      <c r="E3231" t="inlineStr">
        <is>
          <t>FALKENBERG</t>
        </is>
      </c>
      <c r="G3231" t="n">
        <v>1.6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53126-2023</t>
        </is>
      </c>
      <c r="B3232" s="1" t="n">
        <v>45229</v>
      </c>
      <c r="C3232" s="1" t="n">
        <v>45627</v>
      </c>
      <c r="D3232" t="inlineStr">
        <is>
          <t>HALLANDS LÄN</t>
        </is>
      </c>
      <c r="E3232" t="inlineStr">
        <is>
          <t>HALMSTAD</t>
        </is>
      </c>
      <c r="G3232" t="n">
        <v>4.1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53182-2023</t>
        </is>
      </c>
      <c r="B3233" s="1" t="n">
        <v>45229</v>
      </c>
      <c r="C3233" s="1" t="n">
        <v>45627</v>
      </c>
      <c r="D3233" t="inlineStr">
        <is>
          <t>HALLANDS LÄN</t>
        </is>
      </c>
      <c r="E3233" t="inlineStr">
        <is>
          <t>HYLTE</t>
        </is>
      </c>
      <c r="G3233" t="n">
        <v>1.2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53211-2023</t>
        </is>
      </c>
      <c r="B3234" s="1" t="n">
        <v>45229</v>
      </c>
      <c r="C3234" s="1" t="n">
        <v>45627</v>
      </c>
      <c r="D3234" t="inlineStr">
        <is>
          <t>HALLANDS LÄN</t>
        </is>
      </c>
      <c r="E3234" t="inlineStr">
        <is>
          <t>HALMSTAD</t>
        </is>
      </c>
      <c r="G3234" t="n">
        <v>2.9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53331-2023</t>
        </is>
      </c>
      <c r="B3235" s="1" t="n">
        <v>45229</v>
      </c>
      <c r="C3235" s="1" t="n">
        <v>45627</v>
      </c>
      <c r="D3235" t="inlineStr">
        <is>
          <t>HALLANDS LÄN</t>
        </is>
      </c>
      <c r="E3235" t="inlineStr">
        <is>
          <t>HYLTE</t>
        </is>
      </c>
      <c r="G3235" t="n">
        <v>1.6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53400-2023</t>
        </is>
      </c>
      <c r="B3236" s="1" t="n">
        <v>45229</v>
      </c>
      <c r="C3236" s="1" t="n">
        <v>45627</v>
      </c>
      <c r="D3236" t="inlineStr">
        <is>
          <t>HALLANDS LÄN</t>
        </is>
      </c>
      <c r="E3236" t="inlineStr">
        <is>
          <t>FALKENBERG</t>
        </is>
      </c>
      <c r="G3236" t="n">
        <v>4.6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53609-2023</t>
        </is>
      </c>
      <c r="B3237" s="1" t="n">
        <v>45230</v>
      </c>
      <c r="C3237" s="1" t="n">
        <v>45627</v>
      </c>
      <c r="D3237" t="inlineStr">
        <is>
          <t>HALLANDS LÄN</t>
        </is>
      </c>
      <c r="E3237" t="inlineStr">
        <is>
          <t>LAHOLM</t>
        </is>
      </c>
      <c r="G3237" t="n">
        <v>0.8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53693-2023</t>
        </is>
      </c>
      <c r="B3238" s="1" t="n">
        <v>45230</v>
      </c>
      <c r="C3238" s="1" t="n">
        <v>45627</v>
      </c>
      <c r="D3238" t="inlineStr">
        <is>
          <t>HALLANDS LÄN</t>
        </is>
      </c>
      <c r="E3238" t="inlineStr">
        <is>
          <t>VARBERG</t>
        </is>
      </c>
      <c r="G3238" t="n">
        <v>2.8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53642-2023</t>
        </is>
      </c>
      <c r="B3239" s="1" t="n">
        <v>45230</v>
      </c>
      <c r="C3239" s="1" t="n">
        <v>45627</v>
      </c>
      <c r="D3239" t="inlineStr">
        <is>
          <t>HALLANDS LÄN</t>
        </is>
      </c>
      <c r="E3239" t="inlineStr">
        <is>
          <t>HALMSTAD</t>
        </is>
      </c>
      <c r="G3239" t="n">
        <v>1.1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55131-2023</t>
        </is>
      </c>
      <c r="B3240" s="1" t="n">
        <v>45230</v>
      </c>
      <c r="C3240" s="1" t="n">
        <v>45627</v>
      </c>
      <c r="D3240" t="inlineStr">
        <is>
          <t>HALLANDS LÄN</t>
        </is>
      </c>
      <c r="E3240" t="inlineStr">
        <is>
          <t>LAHOLM</t>
        </is>
      </c>
      <c r="F3240" t="inlineStr">
        <is>
          <t>Övriga statliga verk och myndigheter</t>
        </is>
      </c>
      <c r="G3240" t="n">
        <v>1.1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53605-2023</t>
        </is>
      </c>
      <c r="B3241" s="1" t="n">
        <v>45230</v>
      </c>
      <c r="C3241" s="1" t="n">
        <v>45627</v>
      </c>
      <c r="D3241" t="inlineStr">
        <is>
          <t>HALLANDS LÄN</t>
        </is>
      </c>
      <c r="E3241" t="inlineStr">
        <is>
          <t>LAHOLM</t>
        </is>
      </c>
      <c r="G3241" t="n">
        <v>1.4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55135-2023</t>
        </is>
      </c>
      <c r="B3242" s="1" t="n">
        <v>45230</v>
      </c>
      <c r="C3242" s="1" t="n">
        <v>45627</v>
      </c>
      <c r="D3242" t="inlineStr">
        <is>
          <t>HALLANDS LÄN</t>
        </is>
      </c>
      <c r="E3242" t="inlineStr">
        <is>
          <t>LAHOLM</t>
        </is>
      </c>
      <c r="F3242" t="inlineStr">
        <is>
          <t>Övriga statliga verk och myndigheter</t>
        </is>
      </c>
      <c r="G3242" t="n">
        <v>2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55116-2023</t>
        </is>
      </c>
      <c r="B3243" s="1" t="n">
        <v>45230</v>
      </c>
      <c r="C3243" s="1" t="n">
        <v>45627</v>
      </c>
      <c r="D3243" t="inlineStr">
        <is>
          <t>HALLANDS LÄN</t>
        </is>
      </c>
      <c r="E3243" t="inlineStr">
        <is>
          <t>HYLTE</t>
        </is>
      </c>
      <c r="G3243" t="n">
        <v>1.7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53778-2023</t>
        </is>
      </c>
      <c r="B3244" s="1" t="n">
        <v>45231</v>
      </c>
      <c r="C3244" s="1" t="n">
        <v>45627</v>
      </c>
      <c r="D3244" t="inlineStr">
        <is>
          <t>HALLANDS LÄN</t>
        </is>
      </c>
      <c r="E3244" t="inlineStr">
        <is>
          <t>LAHOLM</t>
        </is>
      </c>
      <c r="F3244" t="inlineStr">
        <is>
          <t>Sveaskog</t>
        </is>
      </c>
      <c r="G3244" t="n">
        <v>0.6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54008-2023</t>
        </is>
      </c>
      <c r="B3245" s="1" t="n">
        <v>45231</v>
      </c>
      <c r="C3245" s="1" t="n">
        <v>45627</v>
      </c>
      <c r="D3245" t="inlineStr">
        <is>
          <t>HALLANDS LÄN</t>
        </is>
      </c>
      <c r="E3245" t="inlineStr">
        <is>
          <t>HALMSTAD</t>
        </is>
      </c>
      <c r="G3245" t="n">
        <v>0.8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54021-2023</t>
        </is>
      </c>
      <c r="B3246" s="1" t="n">
        <v>45231</v>
      </c>
      <c r="C3246" s="1" t="n">
        <v>45627</v>
      </c>
      <c r="D3246" t="inlineStr">
        <is>
          <t>HALLANDS LÄN</t>
        </is>
      </c>
      <c r="E3246" t="inlineStr">
        <is>
          <t>LAHOLM</t>
        </is>
      </c>
      <c r="G3246" t="n">
        <v>1.4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54083-2023</t>
        </is>
      </c>
      <c r="B3247" s="1" t="n">
        <v>45232</v>
      </c>
      <c r="C3247" s="1" t="n">
        <v>45627</v>
      </c>
      <c r="D3247" t="inlineStr">
        <is>
          <t>HALLANDS LÄN</t>
        </is>
      </c>
      <c r="E3247" t="inlineStr">
        <is>
          <t>LAHOLM</t>
        </is>
      </c>
      <c r="G3247" t="n">
        <v>1.9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54108-2023</t>
        </is>
      </c>
      <c r="B3248" s="1" t="n">
        <v>45232</v>
      </c>
      <c r="C3248" s="1" t="n">
        <v>45627</v>
      </c>
      <c r="D3248" t="inlineStr">
        <is>
          <t>HALLANDS LÄN</t>
        </is>
      </c>
      <c r="E3248" t="inlineStr">
        <is>
          <t>FALKENBERG</t>
        </is>
      </c>
      <c r="G3248" t="n">
        <v>1.5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54170-2023</t>
        </is>
      </c>
      <c r="B3249" s="1" t="n">
        <v>45232</v>
      </c>
      <c r="C3249" s="1" t="n">
        <v>45627</v>
      </c>
      <c r="D3249" t="inlineStr">
        <is>
          <t>HALLANDS LÄN</t>
        </is>
      </c>
      <c r="E3249" t="inlineStr">
        <is>
          <t>FALKENBERG</t>
        </is>
      </c>
      <c r="G3249" t="n">
        <v>1.5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54309-2023</t>
        </is>
      </c>
      <c r="B3250" s="1" t="n">
        <v>45232</v>
      </c>
      <c r="C3250" s="1" t="n">
        <v>45627</v>
      </c>
      <c r="D3250" t="inlineStr">
        <is>
          <t>HALLANDS LÄN</t>
        </is>
      </c>
      <c r="E3250" t="inlineStr">
        <is>
          <t>LAHOLM</t>
        </is>
      </c>
      <c r="G3250" t="n">
        <v>3.7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54229-2023</t>
        </is>
      </c>
      <c r="B3251" s="1" t="n">
        <v>45232</v>
      </c>
      <c r="C3251" s="1" t="n">
        <v>45627</v>
      </c>
      <c r="D3251" t="inlineStr">
        <is>
          <t>HALLANDS LÄN</t>
        </is>
      </c>
      <c r="E3251" t="inlineStr">
        <is>
          <t>VARBERG</t>
        </is>
      </c>
      <c r="G3251" t="n">
        <v>16.3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55523-2023</t>
        </is>
      </c>
      <c r="B3252" s="1" t="n">
        <v>45232</v>
      </c>
      <c r="C3252" s="1" t="n">
        <v>45627</v>
      </c>
      <c r="D3252" t="inlineStr">
        <is>
          <t>HALLANDS LÄN</t>
        </is>
      </c>
      <c r="E3252" t="inlineStr">
        <is>
          <t>LAHOLM</t>
        </is>
      </c>
      <c r="G3252" t="n">
        <v>1.8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55893-2023</t>
        </is>
      </c>
      <c r="B3253" s="1" t="n">
        <v>45233</v>
      </c>
      <c r="C3253" s="1" t="n">
        <v>45627</v>
      </c>
      <c r="D3253" t="inlineStr">
        <is>
          <t>HALLANDS LÄN</t>
        </is>
      </c>
      <c r="E3253" t="inlineStr">
        <is>
          <t>LAHOLM</t>
        </is>
      </c>
      <c r="G3253" t="n">
        <v>1.8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55889-2023</t>
        </is>
      </c>
      <c r="B3254" s="1" t="n">
        <v>45233</v>
      </c>
      <c r="C3254" s="1" t="n">
        <v>45627</v>
      </c>
      <c r="D3254" t="inlineStr">
        <is>
          <t>HALLANDS LÄN</t>
        </is>
      </c>
      <c r="E3254" t="inlineStr">
        <is>
          <t>HYLTE</t>
        </is>
      </c>
      <c r="G3254" t="n">
        <v>5.1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54816-2023</t>
        </is>
      </c>
      <c r="B3255" s="1" t="n">
        <v>45236</v>
      </c>
      <c r="C3255" s="1" t="n">
        <v>45627</v>
      </c>
      <c r="D3255" t="inlineStr">
        <is>
          <t>HALLANDS LÄN</t>
        </is>
      </c>
      <c r="E3255" t="inlineStr">
        <is>
          <t>HYLTE</t>
        </is>
      </c>
      <c r="G3255" t="n">
        <v>3.6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54703-2023</t>
        </is>
      </c>
      <c r="B3256" s="1" t="n">
        <v>45236</v>
      </c>
      <c r="C3256" s="1" t="n">
        <v>45627</v>
      </c>
      <c r="D3256" t="inlineStr">
        <is>
          <t>HALLANDS LÄN</t>
        </is>
      </c>
      <c r="E3256" t="inlineStr">
        <is>
          <t>LAHOLM</t>
        </is>
      </c>
      <c r="G3256" t="n">
        <v>2.3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55312-2023</t>
        </is>
      </c>
      <c r="B3257" s="1" t="n">
        <v>45237</v>
      </c>
      <c r="C3257" s="1" t="n">
        <v>45627</v>
      </c>
      <c r="D3257" t="inlineStr">
        <is>
          <t>HALLANDS LÄN</t>
        </is>
      </c>
      <c r="E3257" t="inlineStr">
        <is>
          <t>LAHOLM</t>
        </is>
      </c>
      <c r="G3257" t="n">
        <v>1.1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55362-2023</t>
        </is>
      </c>
      <c r="B3258" s="1" t="n">
        <v>45238</v>
      </c>
      <c r="C3258" s="1" t="n">
        <v>45627</v>
      </c>
      <c r="D3258" t="inlineStr">
        <is>
          <t>HALLANDS LÄN</t>
        </is>
      </c>
      <c r="E3258" t="inlineStr">
        <is>
          <t>HALMSTAD</t>
        </is>
      </c>
      <c r="G3258" t="n">
        <v>3.7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55502-2023</t>
        </is>
      </c>
      <c r="B3259" s="1" t="n">
        <v>45238</v>
      </c>
      <c r="C3259" s="1" t="n">
        <v>45627</v>
      </c>
      <c r="D3259" t="inlineStr">
        <is>
          <t>HALLANDS LÄN</t>
        </is>
      </c>
      <c r="E3259" t="inlineStr">
        <is>
          <t>KUNGSBACKA</t>
        </is>
      </c>
      <c r="G3259" t="n">
        <v>2.3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55593-2023</t>
        </is>
      </c>
      <c r="B3260" s="1" t="n">
        <v>45238</v>
      </c>
      <c r="C3260" s="1" t="n">
        <v>45627</v>
      </c>
      <c r="D3260" t="inlineStr">
        <is>
          <t>HALLANDS LÄN</t>
        </is>
      </c>
      <c r="E3260" t="inlineStr">
        <is>
          <t>HYLTE</t>
        </is>
      </c>
      <c r="G3260" t="n">
        <v>5.6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55597-2023</t>
        </is>
      </c>
      <c r="B3261" s="1" t="n">
        <v>45238</v>
      </c>
      <c r="C3261" s="1" t="n">
        <v>45627</v>
      </c>
      <c r="D3261" t="inlineStr">
        <is>
          <t>HALLANDS LÄN</t>
        </is>
      </c>
      <c r="E3261" t="inlineStr">
        <is>
          <t>HALMSTAD</t>
        </is>
      </c>
      <c r="G3261" t="n">
        <v>0.6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55596-2023</t>
        </is>
      </c>
      <c r="B3262" s="1" t="n">
        <v>45238</v>
      </c>
      <c r="C3262" s="1" t="n">
        <v>45627</v>
      </c>
      <c r="D3262" t="inlineStr">
        <is>
          <t>HALLANDS LÄN</t>
        </is>
      </c>
      <c r="E3262" t="inlineStr">
        <is>
          <t>HALMSTAD</t>
        </is>
      </c>
      <c r="G3262" t="n">
        <v>0.6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55600-2023</t>
        </is>
      </c>
      <c r="B3263" s="1" t="n">
        <v>45238</v>
      </c>
      <c r="C3263" s="1" t="n">
        <v>45627</v>
      </c>
      <c r="D3263" t="inlineStr">
        <is>
          <t>HALLANDS LÄN</t>
        </is>
      </c>
      <c r="E3263" t="inlineStr">
        <is>
          <t>HYLTE</t>
        </is>
      </c>
      <c r="G3263" t="n">
        <v>1.1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56650-2023</t>
        </is>
      </c>
      <c r="B3264" s="1" t="n">
        <v>45238</v>
      </c>
      <c r="C3264" s="1" t="n">
        <v>45627</v>
      </c>
      <c r="D3264" t="inlineStr">
        <is>
          <t>HALLANDS LÄN</t>
        </is>
      </c>
      <c r="E3264" t="inlineStr">
        <is>
          <t>FALKENBERG</t>
        </is>
      </c>
      <c r="G3264" t="n">
        <v>29.4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55505-2023</t>
        </is>
      </c>
      <c r="B3265" s="1" t="n">
        <v>45238</v>
      </c>
      <c r="C3265" s="1" t="n">
        <v>45627</v>
      </c>
      <c r="D3265" t="inlineStr">
        <is>
          <t>HALLANDS LÄN</t>
        </is>
      </c>
      <c r="E3265" t="inlineStr">
        <is>
          <t>VARBERG</t>
        </is>
      </c>
      <c r="G3265" t="n">
        <v>0.5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55704-2023</t>
        </is>
      </c>
      <c r="B3266" s="1" t="n">
        <v>45239</v>
      </c>
      <c r="C3266" s="1" t="n">
        <v>45627</v>
      </c>
      <c r="D3266" t="inlineStr">
        <is>
          <t>HALLANDS LÄN</t>
        </is>
      </c>
      <c r="E3266" t="inlineStr">
        <is>
          <t>LAHOLM</t>
        </is>
      </c>
      <c r="G3266" t="n">
        <v>1.4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55724-2023</t>
        </is>
      </c>
      <c r="B3267" s="1" t="n">
        <v>45239</v>
      </c>
      <c r="C3267" s="1" t="n">
        <v>45627</v>
      </c>
      <c r="D3267" t="inlineStr">
        <is>
          <t>HALLANDS LÄN</t>
        </is>
      </c>
      <c r="E3267" t="inlineStr">
        <is>
          <t>LAHOLM</t>
        </is>
      </c>
      <c r="G3267" t="n">
        <v>0.5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55694-2023</t>
        </is>
      </c>
      <c r="B3268" s="1" t="n">
        <v>45239</v>
      </c>
      <c r="C3268" s="1" t="n">
        <v>45627</v>
      </c>
      <c r="D3268" t="inlineStr">
        <is>
          <t>HALLANDS LÄN</t>
        </is>
      </c>
      <c r="E3268" t="inlineStr">
        <is>
          <t>LAHOLM</t>
        </is>
      </c>
      <c r="G3268" t="n">
        <v>0.6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55699-2023</t>
        </is>
      </c>
      <c r="B3269" s="1" t="n">
        <v>45239</v>
      </c>
      <c r="C3269" s="1" t="n">
        <v>45627</v>
      </c>
      <c r="D3269" t="inlineStr">
        <is>
          <t>HALLANDS LÄN</t>
        </is>
      </c>
      <c r="E3269" t="inlineStr">
        <is>
          <t>LAHOLM</t>
        </is>
      </c>
      <c r="G3269" t="n">
        <v>2.1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55728-2023</t>
        </is>
      </c>
      <c r="B3270" s="1" t="n">
        <v>45239</v>
      </c>
      <c r="C3270" s="1" t="n">
        <v>45627</v>
      </c>
      <c r="D3270" t="inlineStr">
        <is>
          <t>HALLANDS LÄN</t>
        </is>
      </c>
      <c r="E3270" t="inlineStr">
        <is>
          <t>LAHOLM</t>
        </is>
      </c>
      <c r="G3270" t="n">
        <v>3.1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55779-2023</t>
        </is>
      </c>
      <c r="B3271" s="1" t="n">
        <v>45239</v>
      </c>
      <c r="C3271" s="1" t="n">
        <v>45627</v>
      </c>
      <c r="D3271" t="inlineStr">
        <is>
          <t>HALLANDS LÄN</t>
        </is>
      </c>
      <c r="E3271" t="inlineStr">
        <is>
          <t>LAHOLM</t>
        </is>
      </c>
      <c r="G3271" t="n">
        <v>4.1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55798-2023</t>
        </is>
      </c>
      <c r="B3272" s="1" t="n">
        <v>45239</v>
      </c>
      <c r="C3272" s="1" t="n">
        <v>45627</v>
      </c>
      <c r="D3272" t="inlineStr">
        <is>
          <t>HALLANDS LÄN</t>
        </is>
      </c>
      <c r="E3272" t="inlineStr">
        <is>
          <t>HALMSTAD</t>
        </is>
      </c>
      <c r="G3272" t="n">
        <v>1.8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55771-2023</t>
        </is>
      </c>
      <c r="B3273" s="1" t="n">
        <v>45239</v>
      </c>
      <c r="C3273" s="1" t="n">
        <v>45627</v>
      </c>
      <c r="D3273" t="inlineStr">
        <is>
          <t>HALLANDS LÄN</t>
        </is>
      </c>
      <c r="E3273" t="inlineStr">
        <is>
          <t>FALKENBERG</t>
        </is>
      </c>
      <c r="G3273" t="n">
        <v>3.8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55801-2023</t>
        </is>
      </c>
      <c r="B3274" s="1" t="n">
        <v>45239</v>
      </c>
      <c r="C3274" s="1" t="n">
        <v>45627</v>
      </c>
      <c r="D3274" t="inlineStr">
        <is>
          <t>HALLANDS LÄN</t>
        </is>
      </c>
      <c r="E3274" t="inlineStr">
        <is>
          <t>HALMSTAD</t>
        </is>
      </c>
      <c r="G3274" t="n">
        <v>0.9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55876-2023</t>
        </is>
      </c>
      <c r="B3275" s="1" t="n">
        <v>45239</v>
      </c>
      <c r="C3275" s="1" t="n">
        <v>45627</v>
      </c>
      <c r="D3275" t="inlineStr">
        <is>
          <t>HALLANDS LÄN</t>
        </is>
      </c>
      <c r="E3275" t="inlineStr">
        <is>
          <t>FALKENBERG</t>
        </is>
      </c>
      <c r="G3275" t="n">
        <v>1.4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55891-2023</t>
        </is>
      </c>
      <c r="B3276" s="1" t="n">
        <v>45239</v>
      </c>
      <c r="C3276" s="1" t="n">
        <v>45627</v>
      </c>
      <c r="D3276" t="inlineStr">
        <is>
          <t>HALLANDS LÄN</t>
        </is>
      </c>
      <c r="E3276" t="inlineStr">
        <is>
          <t>FALKENBERG</t>
        </is>
      </c>
      <c r="G3276" t="n">
        <v>4.7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56941-2023</t>
        </is>
      </c>
      <c r="B3277" s="1" t="n">
        <v>45239</v>
      </c>
      <c r="C3277" s="1" t="n">
        <v>45627</v>
      </c>
      <c r="D3277" t="inlineStr">
        <is>
          <t>HALLANDS LÄN</t>
        </is>
      </c>
      <c r="E3277" t="inlineStr">
        <is>
          <t>VARBERG</t>
        </is>
      </c>
      <c r="F3277" t="inlineStr">
        <is>
          <t>Övriga statliga verk och myndigheter</t>
        </is>
      </c>
      <c r="G3277" t="n">
        <v>3.6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55770-2023</t>
        </is>
      </c>
      <c r="B3278" s="1" t="n">
        <v>45239</v>
      </c>
      <c r="C3278" s="1" t="n">
        <v>45627</v>
      </c>
      <c r="D3278" t="inlineStr">
        <is>
          <t>HALLANDS LÄN</t>
        </is>
      </c>
      <c r="E3278" t="inlineStr">
        <is>
          <t>HALMSTAD</t>
        </is>
      </c>
      <c r="G3278" t="n">
        <v>0.8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55800-2023</t>
        </is>
      </c>
      <c r="B3279" s="1" t="n">
        <v>45239</v>
      </c>
      <c r="C3279" s="1" t="n">
        <v>45627</v>
      </c>
      <c r="D3279" t="inlineStr">
        <is>
          <t>HALLANDS LÄN</t>
        </is>
      </c>
      <c r="E3279" t="inlineStr">
        <is>
          <t>HALMSTAD</t>
        </is>
      </c>
      <c r="G3279" t="n">
        <v>2.2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55878-2023</t>
        </is>
      </c>
      <c r="B3280" s="1" t="n">
        <v>45239</v>
      </c>
      <c r="C3280" s="1" t="n">
        <v>45627</v>
      </c>
      <c r="D3280" t="inlineStr">
        <is>
          <t>HALLANDS LÄN</t>
        </is>
      </c>
      <c r="E3280" t="inlineStr">
        <is>
          <t>FALKENBERG</t>
        </is>
      </c>
      <c r="G3280" t="n">
        <v>2.1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55888-2023</t>
        </is>
      </c>
      <c r="B3281" s="1" t="n">
        <v>45239</v>
      </c>
      <c r="C3281" s="1" t="n">
        <v>45627</v>
      </c>
      <c r="D3281" t="inlineStr">
        <is>
          <t>HALLANDS LÄN</t>
        </is>
      </c>
      <c r="E3281" t="inlineStr">
        <is>
          <t>FALKENBERG</t>
        </is>
      </c>
      <c r="G3281" t="n">
        <v>3.3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56184-2023</t>
        </is>
      </c>
      <c r="B3282" s="1" t="n">
        <v>45240</v>
      </c>
      <c r="C3282" s="1" t="n">
        <v>45627</v>
      </c>
      <c r="D3282" t="inlineStr">
        <is>
          <t>HALLANDS LÄN</t>
        </is>
      </c>
      <c r="E3282" t="inlineStr">
        <is>
          <t>HALMSTAD</t>
        </is>
      </c>
      <c r="G3282" t="n">
        <v>0.9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56174-2023</t>
        </is>
      </c>
      <c r="B3283" s="1" t="n">
        <v>45240</v>
      </c>
      <c r="C3283" s="1" t="n">
        <v>45627</v>
      </c>
      <c r="D3283" t="inlineStr">
        <is>
          <t>HALLANDS LÄN</t>
        </is>
      </c>
      <c r="E3283" t="inlineStr">
        <is>
          <t>HALMSTAD</t>
        </is>
      </c>
      <c r="G3283" t="n">
        <v>1.3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56180-2023</t>
        </is>
      </c>
      <c r="B3284" s="1" t="n">
        <v>45240</v>
      </c>
      <c r="C3284" s="1" t="n">
        <v>45627</v>
      </c>
      <c r="D3284" t="inlineStr">
        <is>
          <t>HALLANDS LÄN</t>
        </is>
      </c>
      <c r="E3284" t="inlineStr">
        <is>
          <t>HALMSTAD</t>
        </is>
      </c>
      <c r="G3284" t="n">
        <v>2.3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56175-2023</t>
        </is>
      </c>
      <c r="B3285" s="1" t="n">
        <v>45240</v>
      </c>
      <c r="C3285" s="1" t="n">
        <v>45627</v>
      </c>
      <c r="D3285" t="inlineStr">
        <is>
          <t>HALLANDS LÄN</t>
        </is>
      </c>
      <c r="E3285" t="inlineStr">
        <is>
          <t>HALMSTAD</t>
        </is>
      </c>
      <c r="G3285" t="n">
        <v>1.9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56167-2023</t>
        </is>
      </c>
      <c r="B3286" s="1" t="n">
        <v>45240</v>
      </c>
      <c r="C3286" s="1" t="n">
        <v>45627</v>
      </c>
      <c r="D3286" t="inlineStr">
        <is>
          <t>HALLANDS LÄN</t>
        </is>
      </c>
      <c r="E3286" t="inlineStr">
        <is>
          <t>HALMSTAD</t>
        </is>
      </c>
      <c r="G3286" t="n">
        <v>1.6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56120-2023</t>
        </is>
      </c>
      <c r="B3287" s="1" t="n">
        <v>45240</v>
      </c>
      <c r="C3287" s="1" t="n">
        <v>45627</v>
      </c>
      <c r="D3287" t="inlineStr">
        <is>
          <t>HALLANDS LÄN</t>
        </is>
      </c>
      <c r="E3287" t="inlineStr">
        <is>
          <t>FALKENBERG</t>
        </is>
      </c>
      <c r="G3287" t="n">
        <v>5.6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56011-2023</t>
        </is>
      </c>
      <c r="B3288" s="1" t="n">
        <v>45240</v>
      </c>
      <c r="C3288" s="1" t="n">
        <v>45627</v>
      </c>
      <c r="D3288" t="inlineStr">
        <is>
          <t>HALLANDS LÄN</t>
        </is>
      </c>
      <c r="E3288" t="inlineStr">
        <is>
          <t>HALMSTAD</t>
        </is>
      </c>
      <c r="G3288" t="n">
        <v>1.7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56028-2023</t>
        </is>
      </c>
      <c r="B3289" s="1" t="n">
        <v>45240</v>
      </c>
      <c r="C3289" s="1" t="n">
        <v>45627</v>
      </c>
      <c r="D3289" t="inlineStr">
        <is>
          <t>HALLANDS LÄN</t>
        </is>
      </c>
      <c r="E3289" t="inlineStr">
        <is>
          <t>HALMSTAD</t>
        </is>
      </c>
      <c r="G3289" t="n">
        <v>1.7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56293-2023</t>
        </is>
      </c>
      <c r="B3290" s="1" t="n">
        <v>45242</v>
      </c>
      <c r="C3290" s="1" t="n">
        <v>45627</v>
      </c>
      <c r="D3290" t="inlineStr">
        <is>
          <t>HALLANDS LÄN</t>
        </is>
      </c>
      <c r="E3290" t="inlineStr">
        <is>
          <t>KUNGSBACKA</t>
        </is>
      </c>
      <c r="G3290" t="n">
        <v>1.1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56294-2023</t>
        </is>
      </c>
      <c r="B3291" s="1" t="n">
        <v>45242</v>
      </c>
      <c r="C3291" s="1" t="n">
        <v>45627</v>
      </c>
      <c r="D3291" t="inlineStr">
        <is>
          <t>HALLANDS LÄN</t>
        </is>
      </c>
      <c r="E3291" t="inlineStr">
        <is>
          <t>KUNGSBACKA</t>
        </is>
      </c>
      <c r="G3291" t="n">
        <v>0.7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56336-2023</t>
        </is>
      </c>
      <c r="B3292" s="1" t="n">
        <v>45243</v>
      </c>
      <c r="C3292" s="1" t="n">
        <v>45627</v>
      </c>
      <c r="D3292" t="inlineStr">
        <is>
          <t>HALLANDS LÄN</t>
        </is>
      </c>
      <c r="E3292" t="inlineStr">
        <is>
          <t>FALKENBERG</t>
        </is>
      </c>
      <c r="G3292" t="n">
        <v>1.3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56652-2023</t>
        </is>
      </c>
      <c r="B3293" s="1" t="n">
        <v>45243</v>
      </c>
      <c r="C3293" s="1" t="n">
        <v>45627</v>
      </c>
      <c r="D3293" t="inlineStr">
        <is>
          <t>HALLANDS LÄN</t>
        </is>
      </c>
      <c r="E3293" t="inlineStr">
        <is>
          <t>FALKENBERG</t>
        </is>
      </c>
      <c r="G3293" t="n">
        <v>1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56656-2023</t>
        </is>
      </c>
      <c r="B3294" s="1" t="n">
        <v>45243</v>
      </c>
      <c r="C3294" s="1" t="n">
        <v>45627</v>
      </c>
      <c r="D3294" t="inlineStr">
        <is>
          <t>HALLANDS LÄN</t>
        </is>
      </c>
      <c r="E3294" t="inlineStr">
        <is>
          <t>FALKENBERG</t>
        </is>
      </c>
      <c r="G3294" t="n">
        <v>5.1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56676-2023</t>
        </is>
      </c>
      <c r="B3295" s="1" t="n">
        <v>45243</v>
      </c>
      <c r="C3295" s="1" t="n">
        <v>45627</v>
      </c>
      <c r="D3295" t="inlineStr">
        <is>
          <t>HALLANDS LÄN</t>
        </is>
      </c>
      <c r="E3295" t="inlineStr">
        <is>
          <t>HALMSTAD</t>
        </is>
      </c>
      <c r="G3295" t="n">
        <v>1.1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56337-2023</t>
        </is>
      </c>
      <c r="B3296" s="1" t="n">
        <v>45243</v>
      </c>
      <c r="C3296" s="1" t="n">
        <v>45627</v>
      </c>
      <c r="D3296" t="inlineStr">
        <is>
          <t>HALLANDS LÄN</t>
        </is>
      </c>
      <c r="E3296" t="inlineStr">
        <is>
          <t>FALKENBERG</t>
        </is>
      </c>
      <c r="G3296" t="n">
        <v>1.8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56581-2023</t>
        </is>
      </c>
      <c r="B3297" s="1" t="n">
        <v>45243</v>
      </c>
      <c r="C3297" s="1" t="n">
        <v>45627</v>
      </c>
      <c r="D3297" t="inlineStr">
        <is>
          <t>HALLANDS LÄN</t>
        </is>
      </c>
      <c r="E3297" t="inlineStr">
        <is>
          <t>FALKENBERG</t>
        </is>
      </c>
      <c r="F3297" t="inlineStr">
        <is>
          <t>Bergvik skog väst AB</t>
        </is>
      </c>
      <c r="G3297" t="n">
        <v>3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56605-2023</t>
        </is>
      </c>
      <c r="B3298" s="1" t="n">
        <v>45243</v>
      </c>
      <c r="C3298" s="1" t="n">
        <v>45627</v>
      </c>
      <c r="D3298" t="inlineStr">
        <is>
          <t>HALLANDS LÄN</t>
        </is>
      </c>
      <c r="E3298" t="inlineStr">
        <is>
          <t>KUNGSBACKA</t>
        </is>
      </c>
      <c r="G3298" t="n">
        <v>2.1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56675-2023</t>
        </is>
      </c>
      <c r="B3299" s="1" t="n">
        <v>45243</v>
      </c>
      <c r="C3299" s="1" t="n">
        <v>45627</v>
      </c>
      <c r="D3299" t="inlineStr">
        <is>
          <t>HALLANDS LÄN</t>
        </is>
      </c>
      <c r="E3299" t="inlineStr">
        <is>
          <t>HYLTE</t>
        </is>
      </c>
      <c r="G3299" t="n">
        <v>1.3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56953-2023</t>
        </is>
      </c>
      <c r="B3300" s="1" t="n">
        <v>45244</v>
      </c>
      <c r="C3300" s="1" t="n">
        <v>45627</v>
      </c>
      <c r="D3300" t="inlineStr">
        <is>
          <t>HALLANDS LÄN</t>
        </is>
      </c>
      <c r="E3300" t="inlineStr">
        <is>
          <t>LAHOLM</t>
        </is>
      </c>
      <c r="G3300" t="n">
        <v>1.6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57020-2023</t>
        </is>
      </c>
      <c r="B3301" s="1" t="n">
        <v>45244</v>
      </c>
      <c r="C3301" s="1" t="n">
        <v>45627</v>
      </c>
      <c r="D3301" t="inlineStr">
        <is>
          <t>HALLANDS LÄN</t>
        </is>
      </c>
      <c r="E3301" t="inlineStr">
        <is>
          <t>FALKENBERG</t>
        </is>
      </c>
      <c r="G3301" t="n">
        <v>3.1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56955-2023</t>
        </is>
      </c>
      <c r="B3302" s="1" t="n">
        <v>45244</v>
      </c>
      <c r="C3302" s="1" t="n">
        <v>45627</v>
      </c>
      <c r="D3302" t="inlineStr">
        <is>
          <t>HALLANDS LÄN</t>
        </is>
      </c>
      <c r="E3302" t="inlineStr">
        <is>
          <t>HYLTE</t>
        </is>
      </c>
      <c r="G3302" t="n">
        <v>0.8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57261-2023</t>
        </is>
      </c>
      <c r="B3303" s="1" t="n">
        <v>45245</v>
      </c>
      <c r="C3303" s="1" t="n">
        <v>45627</v>
      </c>
      <c r="D3303" t="inlineStr">
        <is>
          <t>HALLANDS LÄN</t>
        </is>
      </c>
      <c r="E3303" t="inlineStr">
        <is>
          <t>HYLTE</t>
        </is>
      </c>
      <c r="G3303" t="n">
        <v>1.4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57150-2023</t>
        </is>
      </c>
      <c r="B3304" s="1" t="n">
        <v>45245</v>
      </c>
      <c r="C3304" s="1" t="n">
        <v>45627</v>
      </c>
      <c r="D3304" t="inlineStr">
        <is>
          <t>HALLANDS LÄN</t>
        </is>
      </c>
      <c r="E3304" t="inlineStr">
        <is>
          <t>HYLTE</t>
        </is>
      </c>
      <c r="G3304" t="n">
        <v>2.7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57291-2023</t>
        </is>
      </c>
      <c r="B3305" s="1" t="n">
        <v>45245</v>
      </c>
      <c r="C3305" s="1" t="n">
        <v>45627</v>
      </c>
      <c r="D3305" t="inlineStr">
        <is>
          <t>HALLANDS LÄN</t>
        </is>
      </c>
      <c r="E3305" t="inlineStr">
        <is>
          <t>HYLTE</t>
        </is>
      </c>
      <c r="G3305" t="n">
        <v>1.7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57134-2023</t>
        </is>
      </c>
      <c r="B3306" s="1" t="n">
        <v>45245</v>
      </c>
      <c r="C3306" s="1" t="n">
        <v>45627</v>
      </c>
      <c r="D3306" t="inlineStr">
        <is>
          <t>HALLANDS LÄN</t>
        </is>
      </c>
      <c r="E3306" t="inlineStr">
        <is>
          <t>HYLTE</t>
        </is>
      </c>
      <c r="G3306" t="n">
        <v>2.2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57283-2023</t>
        </is>
      </c>
      <c r="B3307" s="1" t="n">
        <v>45245</v>
      </c>
      <c r="C3307" s="1" t="n">
        <v>45627</v>
      </c>
      <c r="D3307" t="inlineStr">
        <is>
          <t>HALLANDS LÄN</t>
        </is>
      </c>
      <c r="E3307" t="inlineStr">
        <is>
          <t>FALKENBERG</t>
        </is>
      </c>
      <c r="G3307" t="n">
        <v>2.3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57289-2023</t>
        </is>
      </c>
      <c r="B3308" s="1" t="n">
        <v>45245</v>
      </c>
      <c r="C3308" s="1" t="n">
        <v>45627</v>
      </c>
      <c r="D3308" t="inlineStr">
        <is>
          <t>HALLANDS LÄN</t>
        </is>
      </c>
      <c r="E3308" t="inlineStr">
        <is>
          <t>HYLTE</t>
        </is>
      </c>
      <c r="G3308" t="n">
        <v>1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57378-2023</t>
        </is>
      </c>
      <c r="B3309" s="1" t="n">
        <v>45245</v>
      </c>
      <c r="C3309" s="1" t="n">
        <v>45627</v>
      </c>
      <c r="D3309" t="inlineStr">
        <is>
          <t>HALLANDS LÄN</t>
        </is>
      </c>
      <c r="E3309" t="inlineStr">
        <is>
          <t>HYLTE</t>
        </is>
      </c>
      <c r="G3309" t="n">
        <v>1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58241-2023</t>
        </is>
      </c>
      <c r="B3310" s="1" t="n">
        <v>45245</v>
      </c>
      <c r="C3310" s="1" t="n">
        <v>45627</v>
      </c>
      <c r="D3310" t="inlineStr">
        <is>
          <t>HALLANDS LÄN</t>
        </is>
      </c>
      <c r="E3310" t="inlineStr">
        <is>
          <t>HYLTE</t>
        </is>
      </c>
      <c r="G3310" t="n">
        <v>0.8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57355-2023</t>
        </is>
      </c>
      <c r="B3311" s="1" t="n">
        <v>45245</v>
      </c>
      <c r="C3311" s="1" t="n">
        <v>45627</v>
      </c>
      <c r="D3311" t="inlineStr">
        <is>
          <t>HALLANDS LÄN</t>
        </is>
      </c>
      <c r="E3311" t="inlineStr">
        <is>
          <t>LAHOLM</t>
        </is>
      </c>
      <c r="G3311" t="n">
        <v>2.7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57543-2023</t>
        </is>
      </c>
      <c r="B3312" s="1" t="n">
        <v>45246</v>
      </c>
      <c r="C3312" s="1" t="n">
        <v>45627</v>
      </c>
      <c r="D3312" t="inlineStr">
        <is>
          <t>HALLANDS LÄN</t>
        </is>
      </c>
      <c r="E3312" t="inlineStr">
        <is>
          <t>LAHOLM</t>
        </is>
      </c>
      <c r="F3312" t="inlineStr">
        <is>
          <t>Kommuner</t>
        </is>
      </c>
      <c r="G3312" t="n">
        <v>1.1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57459-2023</t>
        </is>
      </c>
      <c r="B3313" s="1" t="n">
        <v>45246</v>
      </c>
      <c r="C3313" s="1" t="n">
        <v>45627</v>
      </c>
      <c r="D3313" t="inlineStr">
        <is>
          <t>HALLANDS LÄN</t>
        </is>
      </c>
      <c r="E3313" t="inlineStr">
        <is>
          <t>HYLTE</t>
        </is>
      </c>
      <c r="G3313" t="n">
        <v>3.8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57493-2023</t>
        </is>
      </c>
      <c r="B3314" s="1" t="n">
        <v>45246</v>
      </c>
      <c r="C3314" s="1" t="n">
        <v>45627</v>
      </c>
      <c r="D3314" t="inlineStr">
        <is>
          <t>HALLANDS LÄN</t>
        </is>
      </c>
      <c r="E3314" t="inlineStr">
        <is>
          <t>FALKENBERG</t>
        </is>
      </c>
      <c r="G3314" t="n">
        <v>1.6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57519-2023</t>
        </is>
      </c>
      <c r="B3315" s="1" t="n">
        <v>45246</v>
      </c>
      <c r="C3315" s="1" t="n">
        <v>45627</v>
      </c>
      <c r="D3315" t="inlineStr">
        <is>
          <t>HALLANDS LÄN</t>
        </is>
      </c>
      <c r="E3315" t="inlineStr">
        <is>
          <t>LAHOLM</t>
        </is>
      </c>
      <c r="G3315" t="n">
        <v>1.6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57536-2023</t>
        </is>
      </c>
      <c r="B3316" s="1" t="n">
        <v>45246</v>
      </c>
      <c r="C3316" s="1" t="n">
        <v>45627</v>
      </c>
      <c r="D3316" t="inlineStr">
        <is>
          <t>HALLANDS LÄN</t>
        </is>
      </c>
      <c r="E3316" t="inlineStr">
        <is>
          <t>LAHOLM</t>
        </is>
      </c>
      <c r="F3316" t="inlineStr">
        <is>
          <t>Kommuner</t>
        </is>
      </c>
      <c r="G3316" t="n">
        <v>1.4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57659-2023</t>
        </is>
      </c>
      <c r="B3317" s="1" t="n">
        <v>45246</v>
      </c>
      <c r="C3317" s="1" t="n">
        <v>45627</v>
      </c>
      <c r="D3317" t="inlineStr">
        <is>
          <t>HALLANDS LÄN</t>
        </is>
      </c>
      <c r="E3317" t="inlineStr">
        <is>
          <t>VARBERG</t>
        </is>
      </c>
      <c r="G3317" t="n">
        <v>3.4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57578-2023</t>
        </is>
      </c>
      <c r="B3318" s="1" t="n">
        <v>45246</v>
      </c>
      <c r="C3318" s="1" t="n">
        <v>45627</v>
      </c>
      <c r="D3318" t="inlineStr">
        <is>
          <t>HALLANDS LÄN</t>
        </is>
      </c>
      <c r="E3318" t="inlineStr">
        <is>
          <t>LAHOLM</t>
        </is>
      </c>
      <c r="F3318" t="inlineStr">
        <is>
          <t>Kommuner</t>
        </is>
      </c>
      <c r="G3318" t="n">
        <v>1.6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57575-2023</t>
        </is>
      </c>
      <c r="B3319" s="1" t="n">
        <v>45246</v>
      </c>
      <c r="C3319" s="1" t="n">
        <v>45627</v>
      </c>
      <c r="D3319" t="inlineStr">
        <is>
          <t>HALLANDS LÄN</t>
        </is>
      </c>
      <c r="E3319" t="inlineStr">
        <is>
          <t>LAHOLM</t>
        </is>
      </c>
      <c r="F3319" t="inlineStr">
        <is>
          <t>Kommuner</t>
        </is>
      </c>
      <c r="G3319" t="n">
        <v>2.3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57621-2023</t>
        </is>
      </c>
      <c r="B3320" s="1" t="n">
        <v>45246</v>
      </c>
      <c r="C3320" s="1" t="n">
        <v>45627</v>
      </c>
      <c r="D3320" t="inlineStr">
        <is>
          <t>HALLANDS LÄN</t>
        </is>
      </c>
      <c r="E3320" t="inlineStr">
        <is>
          <t>FALKENBERG</t>
        </is>
      </c>
      <c r="G3320" t="n">
        <v>1.4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57461-2023</t>
        </is>
      </c>
      <c r="B3321" s="1" t="n">
        <v>45246</v>
      </c>
      <c r="C3321" s="1" t="n">
        <v>45627</v>
      </c>
      <c r="D3321" t="inlineStr">
        <is>
          <t>HALLANDS LÄN</t>
        </is>
      </c>
      <c r="E3321" t="inlineStr">
        <is>
          <t>HYLTE</t>
        </is>
      </c>
      <c r="G3321" t="n">
        <v>3.3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57466-2023</t>
        </is>
      </c>
      <c r="B3322" s="1" t="n">
        <v>45246</v>
      </c>
      <c r="C3322" s="1" t="n">
        <v>45627</v>
      </c>
      <c r="D3322" t="inlineStr">
        <is>
          <t>HALLANDS LÄN</t>
        </is>
      </c>
      <c r="E3322" t="inlineStr">
        <is>
          <t>HYLTE</t>
        </is>
      </c>
      <c r="G3322" t="n">
        <v>0.6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57657-2023</t>
        </is>
      </c>
      <c r="B3323" s="1" t="n">
        <v>45246</v>
      </c>
      <c r="C3323" s="1" t="n">
        <v>45627</v>
      </c>
      <c r="D3323" t="inlineStr">
        <is>
          <t>HALLANDS LÄN</t>
        </is>
      </c>
      <c r="E3323" t="inlineStr">
        <is>
          <t>VARBERG</t>
        </is>
      </c>
      <c r="G3323" t="n">
        <v>2.9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57706-2023</t>
        </is>
      </c>
      <c r="B3324" s="1" t="n">
        <v>45246</v>
      </c>
      <c r="C3324" s="1" t="n">
        <v>45627</v>
      </c>
      <c r="D3324" t="inlineStr">
        <is>
          <t>HALLANDS LÄN</t>
        </is>
      </c>
      <c r="E3324" t="inlineStr">
        <is>
          <t>VARBERG</t>
        </is>
      </c>
      <c r="G3324" t="n">
        <v>2.7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57660-2023</t>
        </is>
      </c>
      <c r="B3325" s="1" t="n">
        <v>45246</v>
      </c>
      <c r="C3325" s="1" t="n">
        <v>45627</v>
      </c>
      <c r="D3325" t="inlineStr">
        <is>
          <t>HALLANDS LÄN</t>
        </is>
      </c>
      <c r="E3325" t="inlineStr">
        <is>
          <t>VARBERG</t>
        </is>
      </c>
      <c r="G3325" t="n">
        <v>1.2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57669-2023</t>
        </is>
      </c>
      <c r="B3326" s="1" t="n">
        <v>45246</v>
      </c>
      <c r="C3326" s="1" t="n">
        <v>45627</v>
      </c>
      <c r="D3326" t="inlineStr">
        <is>
          <t>HALLANDS LÄN</t>
        </is>
      </c>
      <c r="E3326" t="inlineStr">
        <is>
          <t>VARBERG</t>
        </is>
      </c>
      <c r="G3326" t="n">
        <v>2.8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57685-2023</t>
        </is>
      </c>
      <c r="B3327" s="1" t="n">
        <v>45246</v>
      </c>
      <c r="C3327" s="1" t="n">
        <v>45627</v>
      </c>
      <c r="D3327" t="inlineStr">
        <is>
          <t>HALLANDS LÄN</t>
        </is>
      </c>
      <c r="E3327" t="inlineStr">
        <is>
          <t>LAHOLM</t>
        </is>
      </c>
      <c r="G3327" t="n">
        <v>1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57704-2023</t>
        </is>
      </c>
      <c r="B3328" s="1" t="n">
        <v>45246</v>
      </c>
      <c r="C3328" s="1" t="n">
        <v>45627</v>
      </c>
      <c r="D3328" t="inlineStr">
        <is>
          <t>HALLANDS LÄN</t>
        </is>
      </c>
      <c r="E3328" t="inlineStr">
        <is>
          <t>HYLTE</t>
        </is>
      </c>
      <c r="G3328" t="n">
        <v>2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57709-2023</t>
        </is>
      </c>
      <c r="B3329" s="1" t="n">
        <v>45246</v>
      </c>
      <c r="C3329" s="1" t="n">
        <v>45627</v>
      </c>
      <c r="D3329" t="inlineStr">
        <is>
          <t>HALLANDS LÄN</t>
        </is>
      </c>
      <c r="E3329" t="inlineStr">
        <is>
          <t>KUNGSBACKA</t>
        </is>
      </c>
      <c r="G3329" t="n">
        <v>6.6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58557-2023</t>
        </is>
      </c>
      <c r="B3330" s="1" t="n">
        <v>45246</v>
      </c>
      <c r="C3330" s="1" t="n">
        <v>45627</v>
      </c>
      <c r="D3330" t="inlineStr">
        <is>
          <t>HALLANDS LÄN</t>
        </is>
      </c>
      <c r="E3330" t="inlineStr">
        <is>
          <t>HYLTE</t>
        </is>
      </c>
      <c r="G3330" t="n">
        <v>0.9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57667-2023</t>
        </is>
      </c>
      <c r="B3331" s="1" t="n">
        <v>45246</v>
      </c>
      <c r="C3331" s="1" t="n">
        <v>45627</v>
      </c>
      <c r="D3331" t="inlineStr">
        <is>
          <t>HALLANDS LÄN</t>
        </is>
      </c>
      <c r="E3331" t="inlineStr">
        <is>
          <t>VARBERG</t>
        </is>
      </c>
      <c r="G3331" t="n">
        <v>6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58534-2023</t>
        </is>
      </c>
      <c r="B3332" s="1" t="n">
        <v>45246</v>
      </c>
      <c r="C3332" s="1" t="n">
        <v>45627</v>
      </c>
      <c r="D3332" t="inlineStr">
        <is>
          <t>HALLANDS LÄN</t>
        </is>
      </c>
      <c r="E3332" t="inlineStr">
        <is>
          <t>HALMSTAD</t>
        </is>
      </c>
      <c r="G3332" t="n">
        <v>2.3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58030-2023</t>
        </is>
      </c>
      <c r="B3333" s="1" t="n">
        <v>45247</v>
      </c>
      <c r="C3333" s="1" t="n">
        <v>45627</v>
      </c>
      <c r="D3333" t="inlineStr">
        <is>
          <t>HALLANDS LÄN</t>
        </is>
      </c>
      <c r="E3333" t="inlineStr">
        <is>
          <t>FALKENBERG</t>
        </is>
      </c>
      <c r="G3333" t="n">
        <v>1.9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58091-2023</t>
        </is>
      </c>
      <c r="B3334" s="1" t="n">
        <v>45248</v>
      </c>
      <c r="C3334" s="1" t="n">
        <v>45627</v>
      </c>
      <c r="D3334" t="inlineStr">
        <is>
          <t>HALLANDS LÄN</t>
        </is>
      </c>
      <c r="E3334" t="inlineStr">
        <is>
          <t>FALKENBERG</t>
        </is>
      </c>
      <c r="F3334" t="inlineStr">
        <is>
          <t>Bergvik skog väst AB</t>
        </is>
      </c>
      <c r="G3334" t="n">
        <v>0.8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58089-2023</t>
        </is>
      </c>
      <c r="B3335" s="1" t="n">
        <v>45248</v>
      </c>
      <c r="C3335" s="1" t="n">
        <v>45627</v>
      </c>
      <c r="D3335" t="inlineStr">
        <is>
          <t>HALLANDS LÄN</t>
        </is>
      </c>
      <c r="E3335" t="inlineStr">
        <is>
          <t>FALKENBERG</t>
        </is>
      </c>
      <c r="F3335" t="inlineStr">
        <is>
          <t>Bergvik skog väst AB</t>
        </is>
      </c>
      <c r="G3335" t="n">
        <v>2.2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58090-2023</t>
        </is>
      </c>
      <c r="B3336" s="1" t="n">
        <v>45248</v>
      </c>
      <c r="C3336" s="1" t="n">
        <v>45627</v>
      </c>
      <c r="D3336" t="inlineStr">
        <is>
          <t>HALLANDS LÄN</t>
        </is>
      </c>
      <c r="E3336" t="inlineStr">
        <is>
          <t>FALKENBERG</t>
        </is>
      </c>
      <c r="F3336" t="inlineStr">
        <is>
          <t>Bergvik skog väst AB</t>
        </is>
      </c>
      <c r="G3336" t="n">
        <v>4.7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58107-2023</t>
        </is>
      </c>
      <c r="B3337" s="1" t="n">
        <v>45249</v>
      </c>
      <c r="C3337" s="1" t="n">
        <v>45627</v>
      </c>
      <c r="D3337" t="inlineStr">
        <is>
          <t>HALLANDS LÄN</t>
        </is>
      </c>
      <c r="E3337" t="inlineStr">
        <is>
          <t>FALKENBERG</t>
        </is>
      </c>
      <c r="G3337" t="n">
        <v>2.7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58108-2023</t>
        </is>
      </c>
      <c r="B3338" s="1" t="n">
        <v>45249</v>
      </c>
      <c r="C3338" s="1" t="n">
        <v>45627</v>
      </c>
      <c r="D3338" t="inlineStr">
        <is>
          <t>HALLANDS LÄN</t>
        </is>
      </c>
      <c r="E3338" t="inlineStr">
        <is>
          <t>FALKENBERG</t>
        </is>
      </c>
      <c r="G3338" t="n">
        <v>1.3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58106-2023</t>
        </is>
      </c>
      <c r="B3339" s="1" t="n">
        <v>45249</v>
      </c>
      <c r="C3339" s="1" t="n">
        <v>45627</v>
      </c>
      <c r="D3339" t="inlineStr">
        <is>
          <t>HALLANDS LÄN</t>
        </is>
      </c>
      <c r="E3339" t="inlineStr">
        <is>
          <t>FALKENBERG</t>
        </is>
      </c>
      <c r="G3339" t="n">
        <v>3.6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58110-2023</t>
        </is>
      </c>
      <c r="B3340" s="1" t="n">
        <v>45249</v>
      </c>
      <c r="C3340" s="1" t="n">
        <v>45627</v>
      </c>
      <c r="D3340" t="inlineStr">
        <is>
          <t>HALLANDS LÄN</t>
        </is>
      </c>
      <c r="E3340" t="inlineStr">
        <is>
          <t>FALKENBERG</t>
        </is>
      </c>
      <c r="G3340" t="n">
        <v>2.5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58109-2023</t>
        </is>
      </c>
      <c r="B3341" s="1" t="n">
        <v>45249</v>
      </c>
      <c r="C3341" s="1" t="n">
        <v>45627</v>
      </c>
      <c r="D3341" t="inlineStr">
        <is>
          <t>HALLANDS LÄN</t>
        </is>
      </c>
      <c r="E3341" t="inlineStr">
        <is>
          <t>FALKENBERG</t>
        </is>
      </c>
      <c r="G3341" t="n">
        <v>0.8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58319-2023</t>
        </is>
      </c>
      <c r="B3342" s="1" t="n">
        <v>45250</v>
      </c>
      <c r="C3342" s="1" t="n">
        <v>45627</v>
      </c>
      <c r="D3342" t="inlineStr">
        <is>
          <t>HALLANDS LÄN</t>
        </is>
      </c>
      <c r="E3342" t="inlineStr">
        <is>
          <t>HYLTE</t>
        </is>
      </c>
      <c r="G3342" t="n">
        <v>2.4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58417-2023</t>
        </is>
      </c>
      <c r="B3343" s="1" t="n">
        <v>45250</v>
      </c>
      <c r="C3343" s="1" t="n">
        <v>45627</v>
      </c>
      <c r="D3343" t="inlineStr">
        <is>
          <t>HALLANDS LÄN</t>
        </is>
      </c>
      <c r="E3343" t="inlineStr">
        <is>
          <t>FALKENBERG</t>
        </is>
      </c>
      <c r="G3343" t="n">
        <v>5.4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58540-2023</t>
        </is>
      </c>
      <c r="B3344" s="1" t="n">
        <v>45251</v>
      </c>
      <c r="C3344" s="1" t="n">
        <v>45627</v>
      </c>
      <c r="D3344" t="inlineStr">
        <is>
          <t>HALLANDS LÄN</t>
        </is>
      </c>
      <c r="E3344" t="inlineStr">
        <is>
          <t>HYLTE</t>
        </is>
      </c>
      <c r="G3344" t="n">
        <v>0.8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58536-2023</t>
        </is>
      </c>
      <c r="B3345" s="1" t="n">
        <v>45251</v>
      </c>
      <c r="C3345" s="1" t="n">
        <v>45627</v>
      </c>
      <c r="D3345" t="inlineStr">
        <is>
          <t>HALLANDS LÄN</t>
        </is>
      </c>
      <c r="E3345" t="inlineStr">
        <is>
          <t>HYLTE</t>
        </is>
      </c>
      <c r="G3345" t="n">
        <v>2.2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58541-2023</t>
        </is>
      </c>
      <c r="B3346" s="1" t="n">
        <v>45251</v>
      </c>
      <c r="C3346" s="1" t="n">
        <v>45627</v>
      </c>
      <c r="D3346" t="inlineStr">
        <is>
          <t>HALLANDS LÄN</t>
        </is>
      </c>
      <c r="E3346" t="inlineStr">
        <is>
          <t>HYLTE</t>
        </is>
      </c>
      <c r="G3346" t="n">
        <v>0.7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58679-2023</t>
        </is>
      </c>
      <c r="B3347" s="1" t="n">
        <v>45251</v>
      </c>
      <c r="C3347" s="1" t="n">
        <v>45627</v>
      </c>
      <c r="D3347" t="inlineStr">
        <is>
          <t>HALLANDS LÄN</t>
        </is>
      </c>
      <c r="E3347" t="inlineStr">
        <is>
          <t>VARBERG</t>
        </is>
      </c>
      <c r="G3347" t="n">
        <v>7.8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58738-2023</t>
        </is>
      </c>
      <c r="B3348" s="1" t="n">
        <v>45251</v>
      </c>
      <c r="C3348" s="1" t="n">
        <v>45627</v>
      </c>
      <c r="D3348" t="inlineStr">
        <is>
          <t>HALLANDS LÄN</t>
        </is>
      </c>
      <c r="E3348" t="inlineStr">
        <is>
          <t>HALMSTAD</t>
        </is>
      </c>
      <c r="G3348" t="n">
        <v>0.8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58737-2023</t>
        </is>
      </c>
      <c r="B3349" s="1" t="n">
        <v>45251</v>
      </c>
      <c r="C3349" s="1" t="n">
        <v>45627</v>
      </c>
      <c r="D3349" t="inlineStr">
        <is>
          <t>HALLANDS LÄN</t>
        </is>
      </c>
      <c r="E3349" t="inlineStr">
        <is>
          <t>HALMSTAD</t>
        </is>
      </c>
      <c r="G3349" t="n">
        <v>1.2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58739-2023</t>
        </is>
      </c>
      <c r="B3350" s="1" t="n">
        <v>45251</v>
      </c>
      <c r="C3350" s="1" t="n">
        <v>45627</v>
      </c>
      <c r="D3350" t="inlineStr">
        <is>
          <t>HALLANDS LÄN</t>
        </is>
      </c>
      <c r="E3350" t="inlineStr">
        <is>
          <t>HALMSTAD</t>
        </is>
      </c>
      <c r="G3350" t="n">
        <v>2.4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58787-2023</t>
        </is>
      </c>
      <c r="B3351" s="1" t="n">
        <v>45252</v>
      </c>
      <c r="C3351" s="1" t="n">
        <v>45627</v>
      </c>
      <c r="D3351" t="inlineStr">
        <is>
          <t>HALLANDS LÄN</t>
        </is>
      </c>
      <c r="E3351" t="inlineStr">
        <is>
          <t>HALMSTAD</t>
        </is>
      </c>
      <c r="G3351" t="n">
        <v>3.3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58993-2023</t>
        </is>
      </c>
      <c r="B3352" s="1" t="n">
        <v>45252</v>
      </c>
      <c r="C3352" s="1" t="n">
        <v>45627</v>
      </c>
      <c r="D3352" t="inlineStr">
        <is>
          <t>HALLANDS LÄN</t>
        </is>
      </c>
      <c r="E3352" t="inlineStr">
        <is>
          <t>HYLTE</t>
        </is>
      </c>
      <c r="G3352" t="n">
        <v>0.7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58995-2023</t>
        </is>
      </c>
      <c r="B3353" s="1" t="n">
        <v>45252</v>
      </c>
      <c r="C3353" s="1" t="n">
        <v>45627</v>
      </c>
      <c r="D3353" t="inlineStr">
        <is>
          <t>HALLANDS LÄN</t>
        </is>
      </c>
      <c r="E3353" t="inlineStr">
        <is>
          <t>HYLTE</t>
        </is>
      </c>
      <c r="G3353" t="n">
        <v>2.7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59209-2023</t>
        </is>
      </c>
      <c r="B3354" s="1" t="n">
        <v>45252</v>
      </c>
      <c r="C3354" s="1" t="n">
        <v>45627</v>
      </c>
      <c r="D3354" t="inlineStr">
        <is>
          <t>HALLANDS LÄN</t>
        </is>
      </c>
      <c r="E3354" t="inlineStr">
        <is>
          <t>FALKENBERG</t>
        </is>
      </c>
      <c r="G3354" t="n">
        <v>6.3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59208-2023</t>
        </is>
      </c>
      <c r="B3355" s="1" t="n">
        <v>45252</v>
      </c>
      <c r="C3355" s="1" t="n">
        <v>45627</v>
      </c>
      <c r="D3355" t="inlineStr">
        <is>
          <t>HALLANDS LÄN</t>
        </is>
      </c>
      <c r="E3355" t="inlineStr">
        <is>
          <t>FALKENBERG</t>
        </is>
      </c>
      <c r="G3355" t="n">
        <v>0.8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59353-2023</t>
        </is>
      </c>
      <c r="B3356" s="1" t="n">
        <v>45252</v>
      </c>
      <c r="C3356" s="1" t="n">
        <v>45627</v>
      </c>
      <c r="D3356" t="inlineStr">
        <is>
          <t>HALLANDS LÄN</t>
        </is>
      </c>
      <c r="E3356" t="inlineStr">
        <is>
          <t>HYLTE</t>
        </is>
      </c>
      <c r="G3356" t="n">
        <v>0.8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59338-2023</t>
        </is>
      </c>
      <c r="B3357" s="1" t="n">
        <v>45252</v>
      </c>
      <c r="C3357" s="1" t="n">
        <v>45627</v>
      </c>
      <c r="D3357" t="inlineStr">
        <is>
          <t>HALLANDS LÄN</t>
        </is>
      </c>
      <c r="E3357" t="inlineStr">
        <is>
          <t>HYLTE</t>
        </is>
      </c>
      <c r="G3357" t="n">
        <v>0.6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59130-2023</t>
        </is>
      </c>
      <c r="B3358" s="1" t="n">
        <v>45253</v>
      </c>
      <c r="C3358" s="1" t="n">
        <v>45627</v>
      </c>
      <c r="D3358" t="inlineStr">
        <is>
          <t>HALLANDS LÄN</t>
        </is>
      </c>
      <c r="E3358" t="inlineStr">
        <is>
          <t>HYLTE</t>
        </is>
      </c>
      <c r="G3358" t="n">
        <v>4.7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59116-2023</t>
        </is>
      </c>
      <c r="B3359" s="1" t="n">
        <v>45253</v>
      </c>
      <c r="C3359" s="1" t="n">
        <v>45627</v>
      </c>
      <c r="D3359" t="inlineStr">
        <is>
          <t>HALLANDS LÄN</t>
        </is>
      </c>
      <c r="E3359" t="inlineStr">
        <is>
          <t>LAHOLM</t>
        </is>
      </c>
      <c r="G3359" t="n">
        <v>1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59119-2023</t>
        </is>
      </c>
      <c r="B3360" s="1" t="n">
        <v>45253</v>
      </c>
      <c r="C3360" s="1" t="n">
        <v>45627</v>
      </c>
      <c r="D3360" t="inlineStr">
        <is>
          <t>HALLANDS LÄN</t>
        </is>
      </c>
      <c r="E3360" t="inlineStr">
        <is>
          <t>LAHOLM</t>
        </is>
      </c>
      <c r="G3360" t="n">
        <v>2.6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59320-2023</t>
        </is>
      </c>
      <c r="B3361" s="1" t="n">
        <v>45253</v>
      </c>
      <c r="C3361" s="1" t="n">
        <v>45627</v>
      </c>
      <c r="D3361" t="inlineStr">
        <is>
          <t>HALLANDS LÄN</t>
        </is>
      </c>
      <c r="E3361" t="inlineStr">
        <is>
          <t>HALMSTAD</t>
        </is>
      </c>
      <c r="G3361" t="n">
        <v>0.8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59158-2023</t>
        </is>
      </c>
      <c r="B3362" s="1" t="n">
        <v>45253</v>
      </c>
      <c r="C3362" s="1" t="n">
        <v>45627</v>
      </c>
      <c r="D3362" t="inlineStr">
        <is>
          <t>HALLANDS LÄN</t>
        </is>
      </c>
      <c r="E3362" t="inlineStr">
        <is>
          <t>HYLTE</t>
        </is>
      </c>
      <c r="G3362" t="n">
        <v>1.3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59313-2023</t>
        </is>
      </c>
      <c r="B3363" s="1" t="n">
        <v>45253</v>
      </c>
      <c r="C3363" s="1" t="n">
        <v>45627</v>
      </c>
      <c r="D3363" t="inlineStr">
        <is>
          <t>HALLANDS LÄN</t>
        </is>
      </c>
      <c r="E3363" t="inlineStr">
        <is>
          <t>VARBERG</t>
        </is>
      </c>
      <c r="G3363" t="n">
        <v>5.1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59332-2023</t>
        </is>
      </c>
      <c r="B3364" s="1" t="n">
        <v>45253</v>
      </c>
      <c r="C3364" s="1" t="n">
        <v>45627</v>
      </c>
      <c r="D3364" t="inlineStr">
        <is>
          <t>HALLANDS LÄN</t>
        </is>
      </c>
      <c r="E3364" t="inlineStr">
        <is>
          <t>HALMSTAD</t>
        </is>
      </c>
      <c r="G3364" t="n">
        <v>1.8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59340-2023</t>
        </is>
      </c>
      <c r="B3365" s="1" t="n">
        <v>45253</v>
      </c>
      <c r="C3365" s="1" t="n">
        <v>45627</v>
      </c>
      <c r="D3365" t="inlineStr">
        <is>
          <t>HALLANDS LÄN</t>
        </is>
      </c>
      <c r="E3365" t="inlineStr">
        <is>
          <t>KUNGSBACKA</t>
        </is>
      </c>
      <c r="G3365" t="n">
        <v>7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59348-2023</t>
        </is>
      </c>
      <c r="B3366" s="1" t="n">
        <v>45253</v>
      </c>
      <c r="C3366" s="1" t="n">
        <v>45627</v>
      </c>
      <c r="D3366" t="inlineStr">
        <is>
          <t>HALLANDS LÄN</t>
        </is>
      </c>
      <c r="E3366" t="inlineStr">
        <is>
          <t>KUNGSBACKA</t>
        </is>
      </c>
      <c r="G3366" t="n">
        <v>0.5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59386-2023</t>
        </is>
      </c>
      <c r="B3367" s="1" t="n">
        <v>45253</v>
      </c>
      <c r="C3367" s="1" t="n">
        <v>45627</v>
      </c>
      <c r="D3367" t="inlineStr">
        <is>
          <t>HALLANDS LÄN</t>
        </is>
      </c>
      <c r="E3367" t="inlineStr">
        <is>
          <t>FALKENBERG</t>
        </is>
      </c>
      <c r="G3367" t="n">
        <v>2.1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59390-2023</t>
        </is>
      </c>
      <c r="B3368" s="1" t="n">
        <v>45253</v>
      </c>
      <c r="C3368" s="1" t="n">
        <v>45627</v>
      </c>
      <c r="D3368" t="inlineStr">
        <is>
          <t>HALLANDS LÄN</t>
        </is>
      </c>
      <c r="E3368" t="inlineStr">
        <is>
          <t>HALMSTAD</t>
        </is>
      </c>
      <c r="G3368" t="n">
        <v>1.3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59315-2023</t>
        </is>
      </c>
      <c r="B3369" s="1" t="n">
        <v>45253</v>
      </c>
      <c r="C3369" s="1" t="n">
        <v>45627</v>
      </c>
      <c r="D3369" t="inlineStr">
        <is>
          <t>HALLANDS LÄN</t>
        </is>
      </c>
      <c r="E3369" t="inlineStr">
        <is>
          <t>KUNGSBACKA</t>
        </is>
      </c>
      <c r="G3369" t="n">
        <v>4.1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59342-2023</t>
        </is>
      </c>
      <c r="B3370" s="1" t="n">
        <v>45253</v>
      </c>
      <c r="C3370" s="1" t="n">
        <v>45627</v>
      </c>
      <c r="D3370" t="inlineStr">
        <is>
          <t>HALLANDS LÄN</t>
        </is>
      </c>
      <c r="E3370" t="inlineStr">
        <is>
          <t>KUNGSBACKA</t>
        </is>
      </c>
      <c r="G3370" t="n">
        <v>0.8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59423-2023</t>
        </is>
      </c>
      <c r="B3371" s="1" t="n">
        <v>45254</v>
      </c>
      <c r="C3371" s="1" t="n">
        <v>45627</v>
      </c>
      <c r="D3371" t="inlineStr">
        <is>
          <t>HALLANDS LÄN</t>
        </is>
      </c>
      <c r="E3371" t="inlineStr">
        <is>
          <t>HYLTE</t>
        </is>
      </c>
      <c r="G3371" t="n">
        <v>0.6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59477-2023</t>
        </is>
      </c>
      <c r="B3372" s="1" t="n">
        <v>45254</v>
      </c>
      <c r="C3372" s="1" t="n">
        <v>45627</v>
      </c>
      <c r="D3372" t="inlineStr">
        <is>
          <t>HALLANDS LÄN</t>
        </is>
      </c>
      <c r="E3372" t="inlineStr">
        <is>
          <t>HYLTE</t>
        </is>
      </c>
      <c r="G3372" t="n">
        <v>0.6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59483-2023</t>
        </is>
      </c>
      <c r="B3373" s="1" t="n">
        <v>45254</v>
      </c>
      <c r="C3373" s="1" t="n">
        <v>45627</v>
      </c>
      <c r="D3373" t="inlineStr">
        <is>
          <t>HALLANDS LÄN</t>
        </is>
      </c>
      <c r="E3373" t="inlineStr">
        <is>
          <t>HYLTE</t>
        </is>
      </c>
      <c r="G3373" t="n">
        <v>1.5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59422-2023</t>
        </is>
      </c>
      <c r="B3374" s="1" t="n">
        <v>45254</v>
      </c>
      <c r="C3374" s="1" t="n">
        <v>45627</v>
      </c>
      <c r="D3374" t="inlineStr">
        <is>
          <t>HALLANDS LÄN</t>
        </is>
      </c>
      <c r="E3374" t="inlineStr">
        <is>
          <t>HYLTE</t>
        </is>
      </c>
      <c r="G3374" t="n">
        <v>1.7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59486-2023</t>
        </is>
      </c>
      <c r="B3375" s="1" t="n">
        <v>45254</v>
      </c>
      <c r="C3375" s="1" t="n">
        <v>45627</v>
      </c>
      <c r="D3375" t="inlineStr">
        <is>
          <t>HALLANDS LÄN</t>
        </is>
      </c>
      <c r="E3375" t="inlineStr">
        <is>
          <t>HYLTE</t>
        </is>
      </c>
      <c r="G3375" t="n">
        <v>3.3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59558-2023</t>
        </is>
      </c>
      <c r="B3376" s="1" t="n">
        <v>45254</v>
      </c>
      <c r="C3376" s="1" t="n">
        <v>45627</v>
      </c>
      <c r="D3376" t="inlineStr">
        <is>
          <t>HALLANDS LÄN</t>
        </is>
      </c>
      <c r="E3376" t="inlineStr">
        <is>
          <t>HALMSTAD</t>
        </is>
      </c>
      <c r="G3376" t="n">
        <v>0.9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59626-2023</t>
        </is>
      </c>
      <c r="B3377" s="1" t="n">
        <v>45254</v>
      </c>
      <c r="C3377" s="1" t="n">
        <v>45627</v>
      </c>
      <c r="D3377" t="inlineStr">
        <is>
          <t>HALLANDS LÄN</t>
        </is>
      </c>
      <c r="E3377" t="inlineStr">
        <is>
          <t>HYLTE</t>
        </is>
      </c>
      <c r="G3377" t="n">
        <v>0.5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59627-2023</t>
        </is>
      </c>
      <c r="B3378" s="1" t="n">
        <v>45254</v>
      </c>
      <c r="C3378" s="1" t="n">
        <v>45627</v>
      </c>
      <c r="D3378" t="inlineStr">
        <is>
          <t>HALLANDS LÄN</t>
        </is>
      </c>
      <c r="E3378" t="inlineStr">
        <is>
          <t>HYLTE</t>
        </is>
      </c>
      <c r="G3378" t="n">
        <v>0.7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59421-2023</t>
        </is>
      </c>
      <c r="B3379" s="1" t="n">
        <v>45254</v>
      </c>
      <c r="C3379" s="1" t="n">
        <v>45627</v>
      </c>
      <c r="D3379" t="inlineStr">
        <is>
          <t>HALLANDS LÄN</t>
        </is>
      </c>
      <c r="E3379" t="inlineStr">
        <is>
          <t>HYLTE</t>
        </is>
      </c>
      <c r="G3379" t="n">
        <v>0.7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59496-2023</t>
        </is>
      </c>
      <c r="B3380" s="1" t="n">
        <v>45254</v>
      </c>
      <c r="C3380" s="1" t="n">
        <v>45627</v>
      </c>
      <c r="D3380" t="inlineStr">
        <is>
          <t>HALLANDS LÄN</t>
        </is>
      </c>
      <c r="E3380" t="inlineStr">
        <is>
          <t>HYLTE</t>
        </is>
      </c>
      <c r="G3380" t="n">
        <v>1.7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59500-2023</t>
        </is>
      </c>
      <c r="B3381" s="1" t="n">
        <v>45254</v>
      </c>
      <c r="C3381" s="1" t="n">
        <v>45627</v>
      </c>
      <c r="D3381" t="inlineStr">
        <is>
          <t>HALLANDS LÄN</t>
        </is>
      </c>
      <c r="E3381" t="inlineStr">
        <is>
          <t>HYLTE</t>
        </is>
      </c>
      <c r="G3381" t="n">
        <v>1.4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59518-2023</t>
        </is>
      </c>
      <c r="B3382" s="1" t="n">
        <v>45254</v>
      </c>
      <c r="C3382" s="1" t="n">
        <v>45627</v>
      </c>
      <c r="D3382" t="inlineStr">
        <is>
          <t>HALLANDS LÄN</t>
        </is>
      </c>
      <c r="E3382" t="inlineStr">
        <is>
          <t>HYLTE</t>
        </is>
      </c>
      <c r="G3382" t="n">
        <v>0.3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59624-2023</t>
        </is>
      </c>
      <c r="B3383" s="1" t="n">
        <v>45254</v>
      </c>
      <c r="C3383" s="1" t="n">
        <v>45627</v>
      </c>
      <c r="D3383" t="inlineStr">
        <is>
          <t>HALLANDS LÄN</t>
        </is>
      </c>
      <c r="E3383" t="inlineStr">
        <is>
          <t>HYLTE</t>
        </is>
      </c>
      <c r="G3383" t="n">
        <v>0.8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59628-2023</t>
        </is>
      </c>
      <c r="B3384" s="1" t="n">
        <v>45254</v>
      </c>
      <c r="C3384" s="1" t="n">
        <v>45627</v>
      </c>
      <c r="D3384" t="inlineStr">
        <is>
          <t>HALLANDS LÄN</t>
        </is>
      </c>
      <c r="E3384" t="inlineStr">
        <is>
          <t>HYLTE</t>
        </is>
      </c>
      <c r="G3384" t="n">
        <v>2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59897-2023</t>
        </is>
      </c>
      <c r="B3385" s="1" t="n">
        <v>45257</v>
      </c>
      <c r="C3385" s="1" t="n">
        <v>45627</v>
      </c>
      <c r="D3385" t="inlineStr">
        <is>
          <t>HALLANDS LÄN</t>
        </is>
      </c>
      <c r="E3385" t="inlineStr">
        <is>
          <t>HYLTE</t>
        </is>
      </c>
      <c r="G3385" t="n">
        <v>4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59782-2023</t>
        </is>
      </c>
      <c r="B3386" s="1" t="n">
        <v>45257</v>
      </c>
      <c r="C3386" s="1" t="n">
        <v>45627</v>
      </c>
      <c r="D3386" t="inlineStr">
        <is>
          <t>HALLANDS LÄN</t>
        </is>
      </c>
      <c r="E3386" t="inlineStr">
        <is>
          <t>HYLTE</t>
        </is>
      </c>
      <c r="G3386" t="n">
        <v>2.7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59762-2023</t>
        </is>
      </c>
      <c r="B3387" s="1" t="n">
        <v>45257</v>
      </c>
      <c r="C3387" s="1" t="n">
        <v>45627</v>
      </c>
      <c r="D3387" t="inlineStr">
        <is>
          <t>HALLANDS LÄN</t>
        </is>
      </c>
      <c r="E3387" t="inlineStr">
        <is>
          <t>HALMSTAD</t>
        </is>
      </c>
      <c r="G3387" t="n">
        <v>0.5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59766-2023</t>
        </is>
      </c>
      <c r="B3388" s="1" t="n">
        <v>45257</v>
      </c>
      <c r="C3388" s="1" t="n">
        <v>45627</v>
      </c>
      <c r="D3388" t="inlineStr">
        <is>
          <t>HALLANDS LÄN</t>
        </is>
      </c>
      <c r="E3388" t="inlineStr">
        <is>
          <t>HALMSTAD</t>
        </is>
      </c>
      <c r="G3388" t="n">
        <v>3.5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60176-2023</t>
        </is>
      </c>
      <c r="B3389" s="1" t="n">
        <v>45257</v>
      </c>
      <c r="C3389" s="1" t="n">
        <v>45627</v>
      </c>
      <c r="D3389" t="inlineStr">
        <is>
          <t>HALLANDS LÄN</t>
        </is>
      </c>
      <c r="E3389" t="inlineStr">
        <is>
          <t>HYLTE</t>
        </is>
      </c>
      <c r="F3389" t="inlineStr">
        <is>
          <t>Kommuner</t>
        </is>
      </c>
      <c r="G3389" t="n">
        <v>1.4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60168-2023</t>
        </is>
      </c>
      <c r="B3390" s="1" t="n">
        <v>45257</v>
      </c>
      <c r="C3390" s="1" t="n">
        <v>45627</v>
      </c>
      <c r="D3390" t="inlineStr">
        <is>
          <t>HALLANDS LÄN</t>
        </is>
      </c>
      <c r="E3390" t="inlineStr">
        <is>
          <t>HYLTE</t>
        </is>
      </c>
      <c r="G3390" t="n">
        <v>0.7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59913-2023</t>
        </is>
      </c>
      <c r="B3391" s="1" t="n">
        <v>45257</v>
      </c>
      <c r="C3391" s="1" t="n">
        <v>45627</v>
      </c>
      <c r="D3391" t="inlineStr">
        <is>
          <t>HALLANDS LÄN</t>
        </is>
      </c>
      <c r="E3391" t="inlineStr">
        <is>
          <t>HALMSTAD</t>
        </is>
      </c>
      <c r="G3391" t="n">
        <v>0.8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60181-2023</t>
        </is>
      </c>
      <c r="B3392" s="1" t="n">
        <v>45257</v>
      </c>
      <c r="C3392" s="1" t="n">
        <v>45627</v>
      </c>
      <c r="D3392" t="inlineStr">
        <is>
          <t>HALLANDS LÄN</t>
        </is>
      </c>
      <c r="E3392" t="inlineStr">
        <is>
          <t>HYLTE</t>
        </is>
      </c>
      <c r="G3392" t="n">
        <v>1.9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60031-2023</t>
        </is>
      </c>
      <c r="B3393" s="1" t="n">
        <v>45258</v>
      </c>
      <c r="C3393" s="1" t="n">
        <v>45627</v>
      </c>
      <c r="D3393" t="inlineStr">
        <is>
          <t>HALLANDS LÄN</t>
        </is>
      </c>
      <c r="E3393" t="inlineStr">
        <is>
          <t>HALMSTAD</t>
        </is>
      </c>
      <c r="G3393" t="n">
        <v>1.1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60139-2023</t>
        </is>
      </c>
      <c r="B3394" s="1" t="n">
        <v>45258</v>
      </c>
      <c r="C3394" s="1" t="n">
        <v>45627</v>
      </c>
      <c r="D3394" t="inlineStr">
        <is>
          <t>HALLANDS LÄN</t>
        </is>
      </c>
      <c r="E3394" t="inlineStr">
        <is>
          <t>HALMSTAD</t>
        </is>
      </c>
      <c r="G3394" t="n">
        <v>1.1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60032-2023</t>
        </is>
      </c>
      <c r="B3395" s="1" t="n">
        <v>45258</v>
      </c>
      <c r="C3395" s="1" t="n">
        <v>45627</v>
      </c>
      <c r="D3395" t="inlineStr">
        <is>
          <t>HALLANDS LÄN</t>
        </is>
      </c>
      <c r="E3395" t="inlineStr">
        <is>
          <t>HALMSTAD</t>
        </is>
      </c>
      <c r="G3395" t="n">
        <v>0.5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60017-2023</t>
        </is>
      </c>
      <c r="B3396" s="1" t="n">
        <v>45258</v>
      </c>
      <c r="C3396" s="1" t="n">
        <v>45627</v>
      </c>
      <c r="D3396" t="inlineStr">
        <is>
          <t>HALLANDS LÄN</t>
        </is>
      </c>
      <c r="E3396" t="inlineStr">
        <is>
          <t>HYLTE</t>
        </is>
      </c>
      <c r="G3396" t="n">
        <v>1.1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60230-2023</t>
        </is>
      </c>
      <c r="B3397" s="1" t="n">
        <v>45258</v>
      </c>
      <c r="C3397" s="1" t="n">
        <v>45627</v>
      </c>
      <c r="D3397" t="inlineStr">
        <is>
          <t>HALLANDS LÄN</t>
        </is>
      </c>
      <c r="E3397" t="inlineStr">
        <is>
          <t>HALMSTAD</t>
        </is>
      </c>
      <c r="G3397" t="n">
        <v>1.9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60391-2023</t>
        </is>
      </c>
      <c r="B3398" s="1" t="n">
        <v>45259</v>
      </c>
      <c r="C3398" s="1" t="n">
        <v>45627</v>
      </c>
      <c r="D3398" t="inlineStr">
        <is>
          <t>HALLANDS LÄN</t>
        </is>
      </c>
      <c r="E3398" t="inlineStr">
        <is>
          <t>HALMSTAD</t>
        </is>
      </c>
      <c r="G3398" t="n">
        <v>1.4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60399-2023</t>
        </is>
      </c>
      <c r="B3399" s="1" t="n">
        <v>45259</v>
      </c>
      <c r="C3399" s="1" t="n">
        <v>45627</v>
      </c>
      <c r="D3399" t="inlineStr">
        <is>
          <t>HALLANDS LÄN</t>
        </is>
      </c>
      <c r="E3399" t="inlineStr">
        <is>
          <t>HYLTE</t>
        </is>
      </c>
      <c r="G3399" t="n">
        <v>3.6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60396-2023</t>
        </is>
      </c>
      <c r="B3400" s="1" t="n">
        <v>45259</v>
      </c>
      <c r="C3400" s="1" t="n">
        <v>45627</v>
      </c>
      <c r="D3400" t="inlineStr">
        <is>
          <t>HALLANDS LÄN</t>
        </is>
      </c>
      <c r="E3400" t="inlineStr">
        <is>
          <t>HALMSTAD</t>
        </is>
      </c>
      <c r="G3400" t="n">
        <v>1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60400-2023</t>
        </is>
      </c>
      <c r="B3401" s="1" t="n">
        <v>45259</v>
      </c>
      <c r="C3401" s="1" t="n">
        <v>45627</v>
      </c>
      <c r="D3401" t="inlineStr">
        <is>
          <t>HALLANDS LÄN</t>
        </is>
      </c>
      <c r="E3401" t="inlineStr">
        <is>
          <t>HYLTE</t>
        </is>
      </c>
      <c r="G3401" t="n">
        <v>3.6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60414-2023</t>
        </is>
      </c>
      <c r="B3402" s="1" t="n">
        <v>45259</v>
      </c>
      <c r="C3402" s="1" t="n">
        <v>45627</v>
      </c>
      <c r="D3402" t="inlineStr">
        <is>
          <t>HALLANDS LÄN</t>
        </is>
      </c>
      <c r="E3402" t="inlineStr">
        <is>
          <t>HALMSTAD</t>
        </is>
      </c>
      <c r="G3402" t="n">
        <v>0.6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60421-2023</t>
        </is>
      </c>
      <c r="B3403" s="1" t="n">
        <v>45259</v>
      </c>
      <c r="C3403" s="1" t="n">
        <v>45627</v>
      </c>
      <c r="D3403" t="inlineStr">
        <is>
          <t>HALLANDS LÄN</t>
        </is>
      </c>
      <c r="E3403" t="inlineStr">
        <is>
          <t>HYLTE</t>
        </is>
      </c>
      <c r="G3403" t="n">
        <v>9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60544-2023</t>
        </is>
      </c>
      <c r="B3404" s="1" t="n">
        <v>45259</v>
      </c>
      <c r="C3404" s="1" t="n">
        <v>45627</v>
      </c>
      <c r="D3404" t="inlineStr">
        <is>
          <t>HALLANDS LÄN</t>
        </is>
      </c>
      <c r="E3404" t="inlineStr">
        <is>
          <t>FALKENBERG</t>
        </is>
      </c>
      <c r="G3404" t="n">
        <v>3.1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60556-2023</t>
        </is>
      </c>
      <c r="B3405" s="1" t="n">
        <v>45259</v>
      </c>
      <c r="C3405" s="1" t="n">
        <v>45627</v>
      </c>
      <c r="D3405" t="inlineStr">
        <is>
          <t>HALLANDS LÄN</t>
        </is>
      </c>
      <c r="E3405" t="inlineStr">
        <is>
          <t>VARBERG</t>
        </is>
      </c>
      <c r="G3405" t="n">
        <v>1.8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60394-2023</t>
        </is>
      </c>
      <c r="B3406" s="1" t="n">
        <v>45259</v>
      </c>
      <c r="C3406" s="1" t="n">
        <v>45627</v>
      </c>
      <c r="D3406" t="inlineStr">
        <is>
          <t>HALLANDS LÄN</t>
        </is>
      </c>
      <c r="E3406" t="inlineStr">
        <is>
          <t>HALMSTAD</t>
        </is>
      </c>
      <c r="G3406" t="n">
        <v>0.8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60358-2023</t>
        </is>
      </c>
      <c r="B3407" s="1" t="n">
        <v>45259</v>
      </c>
      <c r="C3407" s="1" t="n">
        <v>45627</v>
      </c>
      <c r="D3407" t="inlineStr">
        <is>
          <t>HALLANDS LÄN</t>
        </is>
      </c>
      <c r="E3407" t="inlineStr">
        <is>
          <t>HYLTE</t>
        </is>
      </c>
      <c r="G3407" t="n">
        <v>4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60385-2023</t>
        </is>
      </c>
      <c r="B3408" s="1" t="n">
        <v>45259</v>
      </c>
      <c r="C3408" s="1" t="n">
        <v>45627</v>
      </c>
      <c r="D3408" t="inlineStr">
        <is>
          <t>HALLANDS LÄN</t>
        </is>
      </c>
      <c r="E3408" t="inlineStr">
        <is>
          <t>HALMSTAD</t>
        </is>
      </c>
      <c r="G3408" t="n">
        <v>0.8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60393-2023</t>
        </is>
      </c>
      <c r="B3409" s="1" t="n">
        <v>45259</v>
      </c>
      <c r="C3409" s="1" t="n">
        <v>45627</v>
      </c>
      <c r="D3409" t="inlineStr">
        <is>
          <t>HALLANDS LÄN</t>
        </is>
      </c>
      <c r="E3409" t="inlineStr">
        <is>
          <t>HALMSTAD</t>
        </is>
      </c>
      <c r="G3409" t="n">
        <v>1.2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60397-2023</t>
        </is>
      </c>
      <c r="B3410" s="1" t="n">
        <v>45259</v>
      </c>
      <c r="C3410" s="1" t="n">
        <v>45627</v>
      </c>
      <c r="D3410" t="inlineStr">
        <is>
          <t>HALLANDS LÄN</t>
        </is>
      </c>
      <c r="E3410" t="inlineStr">
        <is>
          <t>HALMSTAD</t>
        </is>
      </c>
      <c r="G3410" t="n">
        <v>0.6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60594-2023</t>
        </is>
      </c>
      <c r="B3411" s="1" t="n">
        <v>45260</v>
      </c>
      <c r="C3411" s="1" t="n">
        <v>45627</v>
      </c>
      <c r="D3411" t="inlineStr">
        <is>
          <t>HALLANDS LÄN</t>
        </is>
      </c>
      <c r="E3411" t="inlineStr">
        <is>
          <t>FALKENBERG</t>
        </is>
      </c>
      <c r="G3411" t="n">
        <v>5.1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60771-2023</t>
        </is>
      </c>
      <c r="B3412" s="1" t="n">
        <v>45260</v>
      </c>
      <c r="C3412" s="1" t="n">
        <v>45627</v>
      </c>
      <c r="D3412" t="inlineStr">
        <is>
          <t>HALLANDS LÄN</t>
        </is>
      </c>
      <c r="E3412" t="inlineStr">
        <is>
          <t>HALMSTAD</t>
        </is>
      </c>
      <c r="G3412" t="n">
        <v>1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60777-2023</t>
        </is>
      </c>
      <c r="B3413" s="1" t="n">
        <v>45260</v>
      </c>
      <c r="C3413" s="1" t="n">
        <v>45627</v>
      </c>
      <c r="D3413" t="inlineStr">
        <is>
          <t>HALLANDS LÄN</t>
        </is>
      </c>
      <c r="E3413" t="inlineStr">
        <is>
          <t>HYLTE</t>
        </is>
      </c>
      <c r="G3413" t="n">
        <v>2.3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60831-2023</t>
        </is>
      </c>
      <c r="B3414" s="1" t="n">
        <v>45260</v>
      </c>
      <c r="C3414" s="1" t="n">
        <v>45627</v>
      </c>
      <c r="D3414" t="inlineStr">
        <is>
          <t>HALLANDS LÄN</t>
        </is>
      </c>
      <c r="E3414" t="inlineStr">
        <is>
          <t>HALMSTAD</t>
        </is>
      </c>
      <c r="G3414" t="n">
        <v>5.2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61075-2023</t>
        </is>
      </c>
      <c r="B3415" s="1" t="n">
        <v>45261</v>
      </c>
      <c r="C3415" s="1" t="n">
        <v>45627</v>
      </c>
      <c r="D3415" t="inlineStr">
        <is>
          <t>HALLANDS LÄN</t>
        </is>
      </c>
      <c r="E3415" t="inlineStr">
        <is>
          <t>VARBERG</t>
        </is>
      </c>
      <c r="G3415" t="n">
        <v>0.6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60990-2023</t>
        </is>
      </c>
      <c r="B3416" s="1" t="n">
        <v>45261</v>
      </c>
      <c r="C3416" s="1" t="n">
        <v>45627</v>
      </c>
      <c r="D3416" t="inlineStr">
        <is>
          <t>HALLANDS LÄN</t>
        </is>
      </c>
      <c r="E3416" t="inlineStr">
        <is>
          <t>HALMSTAD</t>
        </is>
      </c>
      <c r="G3416" t="n">
        <v>2.3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60945-2023</t>
        </is>
      </c>
      <c r="B3417" s="1" t="n">
        <v>45261</v>
      </c>
      <c r="C3417" s="1" t="n">
        <v>45627</v>
      </c>
      <c r="D3417" t="inlineStr">
        <is>
          <t>HALLANDS LÄN</t>
        </is>
      </c>
      <c r="E3417" t="inlineStr">
        <is>
          <t>HYLTE</t>
        </is>
      </c>
      <c r="G3417" t="n">
        <v>1.2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60974-2023</t>
        </is>
      </c>
      <c r="B3418" s="1" t="n">
        <v>45261</v>
      </c>
      <c r="C3418" s="1" t="n">
        <v>45627</v>
      </c>
      <c r="D3418" t="inlineStr">
        <is>
          <t>HALLANDS LÄN</t>
        </is>
      </c>
      <c r="E3418" t="inlineStr">
        <is>
          <t>VARBERG</t>
        </is>
      </c>
      <c r="G3418" t="n">
        <v>1.2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61170-2023</t>
        </is>
      </c>
      <c r="B3419" s="1" t="n">
        <v>45262</v>
      </c>
      <c r="C3419" s="1" t="n">
        <v>45627</v>
      </c>
      <c r="D3419" t="inlineStr">
        <is>
          <t>HALLANDS LÄN</t>
        </is>
      </c>
      <c r="E3419" t="inlineStr">
        <is>
          <t>VARBERG</t>
        </is>
      </c>
      <c r="G3419" t="n">
        <v>1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61179-2023</t>
        </is>
      </c>
      <c r="B3420" s="1" t="n">
        <v>45263</v>
      </c>
      <c r="C3420" s="1" t="n">
        <v>45627</v>
      </c>
      <c r="D3420" t="inlineStr">
        <is>
          <t>HALLANDS LÄN</t>
        </is>
      </c>
      <c r="E3420" t="inlineStr">
        <is>
          <t>FALKENBERG</t>
        </is>
      </c>
      <c r="G3420" t="n">
        <v>1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61658-2023</t>
        </is>
      </c>
      <c r="B3421" s="1" t="n">
        <v>45264</v>
      </c>
      <c r="C3421" s="1" t="n">
        <v>45627</v>
      </c>
      <c r="D3421" t="inlineStr">
        <is>
          <t>HALLANDS LÄN</t>
        </is>
      </c>
      <c r="E3421" t="inlineStr">
        <is>
          <t>HALMSTAD</t>
        </is>
      </c>
      <c r="F3421" t="inlineStr">
        <is>
          <t>Bergvik skog väst AB</t>
        </is>
      </c>
      <c r="G3421" t="n">
        <v>14.7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61667-2023</t>
        </is>
      </c>
      <c r="B3422" s="1" t="n">
        <v>45264</v>
      </c>
      <c r="C3422" s="1" t="n">
        <v>45627</v>
      </c>
      <c r="D3422" t="inlineStr">
        <is>
          <t>HALLANDS LÄN</t>
        </is>
      </c>
      <c r="E3422" t="inlineStr">
        <is>
          <t>HALMSTAD</t>
        </is>
      </c>
      <c r="F3422" t="inlineStr">
        <is>
          <t>Bergvik skog väst AB</t>
        </is>
      </c>
      <c r="G3422" t="n">
        <v>3.5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61663-2023</t>
        </is>
      </c>
      <c r="B3423" s="1" t="n">
        <v>45264</v>
      </c>
      <c r="C3423" s="1" t="n">
        <v>45627</v>
      </c>
      <c r="D3423" t="inlineStr">
        <is>
          <t>HALLANDS LÄN</t>
        </is>
      </c>
      <c r="E3423" t="inlineStr">
        <is>
          <t>HALMSTAD</t>
        </is>
      </c>
      <c r="F3423" t="inlineStr">
        <is>
          <t>Bergvik skog väst AB</t>
        </is>
      </c>
      <c r="G3423" t="n">
        <v>1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61670-2023</t>
        </is>
      </c>
      <c r="B3424" s="1" t="n">
        <v>45264</v>
      </c>
      <c r="C3424" s="1" t="n">
        <v>45627</v>
      </c>
      <c r="D3424" t="inlineStr">
        <is>
          <t>HALLANDS LÄN</t>
        </is>
      </c>
      <c r="E3424" t="inlineStr">
        <is>
          <t>HALMSTAD</t>
        </is>
      </c>
      <c r="F3424" t="inlineStr">
        <is>
          <t>Bergvik skog väst AB</t>
        </is>
      </c>
      <c r="G3424" t="n">
        <v>1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61903-2023</t>
        </is>
      </c>
      <c r="B3425" s="1" t="n">
        <v>45264</v>
      </c>
      <c r="C3425" s="1" t="n">
        <v>45627</v>
      </c>
      <c r="D3425" t="inlineStr">
        <is>
          <t>HALLANDS LÄN</t>
        </is>
      </c>
      <c r="E3425" t="inlineStr">
        <is>
          <t>LAHOLM</t>
        </is>
      </c>
      <c r="G3425" t="n">
        <v>1.7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61527-2023</t>
        </is>
      </c>
      <c r="B3426" s="1" t="n">
        <v>45265</v>
      </c>
      <c r="C3426" s="1" t="n">
        <v>45627</v>
      </c>
      <c r="D3426" t="inlineStr">
        <is>
          <t>HALLANDS LÄN</t>
        </is>
      </c>
      <c r="E3426" t="inlineStr">
        <is>
          <t>FALKENBERG</t>
        </is>
      </c>
      <c r="G3426" t="n">
        <v>1.6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61679-2023</t>
        </is>
      </c>
      <c r="B3427" s="1" t="n">
        <v>45265</v>
      </c>
      <c r="C3427" s="1" t="n">
        <v>45627</v>
      </c>
      <c r="D3427" t="inlineStr">
        <is>
          <t>HALLANDS LÄN</t>
        </is>
      </c>
      <c r="E3427" t="inlineStr">
        <is>
          <t>HYLTE</t>
        </is>
      </c>
      <c r="G3427" t="n">
        <v>3.7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61675-2023</t>
        </is>
      </c>
      <c r="B3428" s="1" t="n">
        <v>45265</v>
      </c>
      <c r="C3428" s="1" t="n">
        <v>45627</v>
      </c>
      <c r="D3428" t="inlineStr">
        <is>
          <t>HALLANDS LÄN</t>
        </is>
      </c>
      <c r="E3428" t="inlineStr">
        <is>
          <t>HYLTE</t>
        </is>
      </c>
      <c r="G3428" t="n">
        <v>0.7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61581-2023</t>
        </is>
      </c>
      <c r="B3429" s="1" t="n">
        <v>45265</v>
      </c>
      <c r="C3429" s="1" t="n">
        <v>45627</v>
      </c>
      <c r="D3429" t="inlineStr">
        <is>
          <t>HALLANDS LÄN</t>
        </is>
      </c>
      <c r="E3429" t="inlineStr">
        <is>
          <t>HALMSTAD</t>
        </is>
      </c>
      <c r="G3429" t="n">
        <v>0.5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61741-2023</t>
        </is>
      </c>
      <c r="B3430" s="1" t="n">
        <v>45265</v>
      </c>
      <c r="C3430" s="1" t="n">
        <v>45627</v>
      </c>
      <c r="D3430" t="inlineStr">
        <is>
          <t>HALLANDS LÄN</t>
        </is>
      </c>
      <c r="E3430" t="inlineStr">
        <is>
          <t>KUNGSBACKA</t>
        </is>
      </c>
      <c r="G3430" t="n">
        <v>2.5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61739-2023</t>
        </is>
      </c>
      <c r="B3431" s="1" t="n">
        <v>45265</v>
      </c>
      <c r="C3431" s="1" t="n">
        <v>45627</v>
      </c>
      <c r="D3431" t="inlineStr">
        <is>
          <t>HALLANDS LÄN</t>
        </is>
      </c>
      <c r="E3431" t="inlineStr">
        <is>
          <t>KUNGSBACKA</t>
        </is>
      </c>
      <c r="G3431" t="n">
        <v>13.8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61540-2023</t>
        </is>
      </c>
      <c r="B3432" s="1" t="n">
        <v>45265</v>
      </c>
      <c r="C3432" s="1" t="n">
        <v>45627</v>
      </c>
      <c r="D3432" t="inlineStr">
        <is>
          <t>HALLANDS LÄN</t>
        </is>
      </c>
      <c r="E3432" t="inlineStr">
        <is>
          <t>HALMSTAD</t>
        </is>
      </c>
      <c r="G3432" t="n">
        <v>2.3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61676-2023</t>
        </is>
      </c>
      <c r="B3433" s="1" t="n">
        <v>45265</v>
      </c>
      <c r="C3433" s="1" t="n">
        <v>45627</v>
      </c>
      <c r="D3433" t="inlineStr">
        <is>
          <t>HALLANDS LÄN</t>
        </is>
      </c>
      <c r="E3433" t="inlineStr">
        <is>
          <t>HYLTE</t>
        </is>
      </c>
      <c r="G3433" t="n">
        <v>1.7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61683-2023</t>
        </is>
      </c>
      <c r="B3434" s="1" t="n">
        <v>45265</v>
      </c>
      <c r="C3434" s="1" t="n">
        <v>45627</v>
      </c>
      <c r="D3434" t="inlineStr">
        <is>
          <t>HALLANDS LÄN</t>
        </is>
      </c>
      <c r="E3434" t="inlineStr">
        <is>
          <t>HYLTE</t>
        </is>
      </c>
      <c r="G3434" t="n">
        <v>1.3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61744-2023</t>
        </is>
      </c>
      <c r="B3435" s="1" t="n">
        <v>45265</v>
      </c>
      <c r="C3435" s="1" t="n">
        <v>45627</v>
      </c>
      <c r="D3435" t="inlineStr">
        <is>
          <t>HALLANDS LÄN</t>
        </is>
      </c>
      <c r="E3435" t="inlineStr">
        <is>
          <t>KUNGSBACKA</t>
        </is>
      </c>
      <c r="G3435" t="n">
        <v>5.5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61853-2023</t>
        </is>
      </c>
      <c r="B3436" s="1" t="n">
        <v>45265</v>
      </c>
      <c r="C3436" s="1" t="n">
        <v>45627</v>
      </c>
      <c r="D3436" t="inlineStr">
        <is>
          <t>HALLANDS LÄN</t>
        </is>
      </c>
      <c r="E3436" t="inlineStr">
        <is>
          <t>HALMSTAD</t>
        </is>
      </c>
      <c r="G3436" t="n">
        <v>1.6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61835-2023</t>
        </is>
      </c>
      <c r="B3437" s="1" t="n">
        <v>45266</v>
      </c>
      <c r="C3437" s="1" t="n">
        <v>45627</v>
      </c>
      <c r="D3437" t="inlineStr">
        <is>
          <t>HALLANDS LÄN</t>
        </is>
      </c>
      <c r="E3437" t="inlineStr">
        <is>
          <t>HALMSTAD</t>
        </is>
      </c>
      <c r="G3437" t="n">
        <v>12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61868-2023</t>
        </is>
      </c>
      <c r="B3438" s="1" t="n">
        <v>45266</v>
      </c>
      <c r="C3438" s="1" t="n">
        <v>45627</v>
      </c>
      <c r="D3438" t="inlineStr">
        <is>
          <t>HALLANDS LÄN</t>
        </is>
      </c>
      <c r="E3438" t="inlineStr">
        <is>
          <t>FALKENBERG</t>
        </is>
      </c>
      <c r="G3438" t="n">
        <v>1.6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61888-2023</t>
        </is>
      </c>
      <c r="B3439" s="1" t="n">
        <v>45266</v>
      </c>
      <c r="C3439" s="1" t="n">
        <v>45627</v>
      </c>
      <c r="D3439" t="inlineStr">
        <is>
          <t>HALLANDS LÄN</t>
        </is>
      </c>
      <c r="E3439" t="inlineStr">
        <is>
          <t>FALKENBERG</t>
        </is>
      </c>
      <c r="G3439" t="n">
        <v>1.2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61896-2023</t>
        </is>
      </c>
      <c r="B3440" s="1" t="n">
        <v>45266</v>
      </c>
      <c r="C3440" s="1" t="n">
        <v>45627</v>
      </c>
      <c r="D3440" t="inlineStr">
        <is>
          <t>HALLANDS LÄN</t>
        </is>
      </c>
      <c r="E3440" t="inlineStr">
        <is>
          <t>FALKENBERG</t>
        </is>
      </c>
      <c r="G3440" t="n">
        <v>3.7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61889-2023</t>
        </is>
      </c>
      <c r="B3441" s="1" t="n">
        <v>45266</v>
      </c>
      <c r="C3441" s="1" t="n">
        <v>45627</v>
      </c>
      <c r="D3441" t="inlineStr">
        <is>
          <t>HALLANDS LÄN</t>
        </is>
      </c>
      <c r="E3441" t="inlineStr">
        <is>
          <t>FALKENBERG</t>
        </is>
      </c>
      <c r="G3441" t="n">
        <v>1.1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62131-2023</t>
        </is>
      </c>
      <c r="B3442" s="1" t="n">
        <v>45267</v>
      </c>
      <c r="C3442" s="1" t="n">
        <v>45627</v>
      </c>
      <c r="D3442" t="inlineStr">
        <is>
          <t>HALLANDS LÄN</t>
        </is>
      </c>
      <c r="E3442" t="inlineStr">
        <is>
          <t>HALMSTAD</t>
        </is>
      </c>
      <c r="G3442" t="n">
        <v>1.1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62170-2023</t>
        </is>
      </c>
      <c r="B3443" s="1" t="n">
        <v>45267</v>
      </c>
      <c r="C3443" s="1" t="n">
        <v>45627</v>
      </c>
      <c r="D3443" t="inlineStr">
        <is>
          <t>HALLANDS LÄN</t>
        </is>
      </c>
      <c r="E3443" t="inlineStr">
        <is>
          <t>HALMSTAD</t>
        </is>
      </c>
      <c r="G3443" t="n">
        <v>1.1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62187-2023</t>
        </is>
      </c>
      <c r="B3444" s="1" t="n">
        <v>45267</v>
      </c>
      <c r="C3444" s="1" t="n">
        <v>45627</v>
      </c>
      <c r="D3444" t="inlineStr">
        <is>
          <t>HALLANDS LÄN</t>
        </is>
      </c>
      <c r="E3444" t="inlineStr">
        <is>
          <t>HALMSTAD</t>
        </is>
      </c>
      <c r="G3444" t="n">
        <v>1.7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62125-2023</t>
        </is>
      </c>
      <c r="B3445" s="1" t="n">
        <v>45267</v>
      </c>
      <c r="C3445" s="1" t="n">
        <v>45627</v>
      </c>
      <c r="D3445" t="inlineStr">
        <is>
          <t>HALLANDS LÄN</t>
        </is>
      </c>
      <c r="E3445" t="inlineStr">
        <is>
          <t>FALKENBERG</t>
        </is>
      </c>
      <c r="G3445" t="n">
        <v>2.9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62159-2023</t>
        </is>
      </c>
      <c r="B3446" s="1" t="n">
        <v>45267</v>
      </c>
      <c r="C3446" s="1" t="n">
        <v>45627</v>
      </c>
      <c r="D3446" t="inlineStr">
        <is>
          <t>HALLANDS LÄN</t>
        </is>
      </c>
      <c r="E3446" t="inlineStr">
        <is>
          <t>HYLTE</t>
        </is>
      </c>
      <c r="G3446" t="n">
        <v>3.2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62184-2023</t>
        </is>
      </c>
      <c r="B3447" s="1" t="n">
        <v>45267</v>
      </c>
      <c r="C3447" s="1" t="n">
        <v>45627</v>
      </c>
      <c r="D3447" t="inlineStr">
        <is>
          <t>HALLANDS LÄN</t>
        </is>
      </c>
      <c r="E3447" t="inlineStr">
        <is>
          <t>LAHOLM</t>
        </is>
      </c>
      <c r="G3447" t="n">
        <v>0.6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62167-2023</t>
        </is>
      </c>
      <c r="B3448" s="1" t="n">
        <v>45267</v>
      </c>
      <c r="C3448" s="1" t="n">
        <v>45627</v>
      </c>
      <c r="D3448" t="inlineStr">
        <is>
          <t>HALLANDS LÄN</t>
        </is>
      </c>
      <c r="E3448" t="inlineStr">
        <is>
          <t>LAHOLM</t>
        </is>
      </c>
      <c r="G3448" t="n">
        <v>2.5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62181-2023</t>
        </is>
      </c>
      <c r="B3449" s="1" t="n">
        <v>45267</v>
      </c>
      <c r="C3449" s="1" t="n">
        <v>45627</v>
      </c>
      <c r="D3449" t="inlineStr">
        <is>
          <t>HALLANDS LÄN</t>
        </is>
      </c>
      <c r="E3449" t="inlineStr">
        <is>
          <t>LAHOLM</t>
        </is>
      </c>
      <c r="G3449" t="n">
        <v>2.9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62408-2023</t>
        </is>
      </c>
      <c r="B3450" s="1" t="n">
        <v>45268</v>
      </c>
      <c r="C3450" s="1" t="n">
        <v>45627</v>
      </c>
      <c r="D3450" t="inlineStr">
        <is>
          <t>HALLANDS LÄN</t>
        </is>
      </c>
      <c r="E3450" t="inlineStr">
        <is>
          <t>VARBERG</t>
        </is>
      </c>
      <c r="G3450" t="n">
        <v>1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62441-2023</t>
        </is>
      </c>
      <c r="B3451" s="1" t="n">
        <v>45268</v>
      </c>
      <c r="C3451" s="1" t="n">
        <v>45627</v>
      </c>
      <c r="D3451" t="inlineStr">
        <is>
          <t>HALLANDS LÄN</t>
        </is>
      </c>
      <c r="E3451" t="inlineStr">
        <is>
          <t>HYLTE</t>
        </is>
      </c>
      <c r="G3451" t="n">
        <v>0.8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62472-2023</t>
        </is>
      </c>
      <c r="B3452" s="1" t="n">
        <v>45268</v>
      </c>
      <c r="C3452" s="1" t="n">
        <v>45627</v>
      </c>
      <c r="D3452" t="inlineStr">
        <is>
          <t>HALLANDS LÄN</t>
        </is>
      </c>
      <c r="E3452" t="inlineStr">
        <is>
          <t>HYLTE</t>
        </is>
      </c>
      <c r="G3452" t="n">
        <v>0.9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62426-2023</t>
        </is>
      </c>
      <c r="B3453" s="1" t="n">
        <v>45268</v>
      </c>
      <c r="C3453" s="1" t="n">
        <v>45627</v>
      </c>
      <c r="D3453" t="inlineStr">
        <is>
          <t>HALLANDS LÄN</t>
        </is>
      </c>
      <c r="E3453" t="inlineStr">
        <is>
          <t>HALMSTAD</t>
        </is>
      </c>
      <c r="G3453" t="n">
        <v>4.9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62486-2023</t>
        </is>
      </c>
      <c r="B3454" s="1" t="n">
        <v>45268</v>
      </c>
      <c r="C3454" s="1" t="n">
        <v>45627</v>
      </c>
      <c r="D3454" t="inlineStr">
        <is>
          <t>HALLANDS LÄN</t>
        </is>
      </c>
      <c r="E3454" t="inlineStr">
        <is>
          <t>FALKENBERG</t>
        </is>
      </c>
      <c r="G3454" t="n">
        <v>2.7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62766-2023</t>
        </is>
      </c>
      <c r="B3455" s="1" t="n">
        <v>45268</v>
      </c>
      <c r="C3455" s="1" t="n">
        <v>45627</v>
      </c>
      <c r="D3455" t="inlineStr">
        <is>
          <t>HALLANDS LÄN</t>
        </is>
      </c>
      <c r="E3455" t="inlineStr">
        <is>
          <t>HALMSTAD</t>
        </is>
      </c>
      <c r="F3455" t="inlineStr">
        <is>
          <t>Sveaskog</t>
        </is>
      </c>
      <c r="G3455" t="n">
        <v>7.8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62684-2023</t>
        </is>
      </c>
      <c r="B3456" s="1" t="n">
        <v>45268</v>
      </c>
      <c r="C3456" s="1" t="n">
        <v>45627</v>
      </c>
      <c r="D3456" t="inlineStr">
        <is>
          <t>HALLANDS LÄN</t>
        </is>
      </c>
      <c r="E3456" t="inlineStr">
        <is>
          <t>LAHOLM</t>
        </is>
      </c>
      <c r="G3456" t="n">
        <v>0.5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62688-2023</t>
        </is>
      </c>
      <c r="B3457" s="1" t="n">
        <v>45268</v>
      </c>
      <c r="C3457" s="1" t="n">
        <v>45627</v>
      </c>
      <c r="D3457" t="inlineStr">
        <is>
          <t>HALLANDS LÄN</t>
        </is>
      </c>
      <c r="E3457" t="inlineStr">
        <is>
          <t>LAHOLM</t>
        </is>
      </c>
      <c r="G3457" t="n">
        <v>0.7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62582-2023</t>
        </is>
      </c>
      <c r="B3458" s="1" t="n">
        <v>45270</v>
      </c>
      <c r="C3458" s="1" t="n">
        <v>45627</v>
      </c>
      <c r="D3458" t="inlineStr">
        <is>
          <t>HALLANDS LÄN</t>
        </is>
      </c>
      <c r="E3458" t="inlineStr">
        <is>
          <t>FALKENBERG</t>
        </is>
      </c>
      <c r="G3458" t="n">
        <v>1.6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62621-2023</t>
        </is>
      </c>
      <c r="B3459" s="1" t="n">
        <v>45271</v>
      </c>
      <c r="C3459" s="1" t="n">
        <v>45627</v>
      </c>
      <c r="D3459" t="inlineStr">
        <is>
          <t>HALLANDS LÄN</t>
        </is>
      </c>
      <c r="E3459" t="inlineStr">
        <is>
          <t>VARBERG</t>
        </is>
      </c>
      <c r="G3459" t="n">
        <v>0.7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62648-2023</t>
        </is>
      </c>
      <c r="B3460" s="1" t="n">
        <v>45271</v>
      </c>
      <c r="C3460" s="1" t="n">
        <v>45627</v>
      </c>
      <c r="D3460" t="inlineStr">
        <is>
          <t>HALLANDS LÄN</t>
        </is>
      </c>
      <c r="E3460" t="inlineStr">
        <is>
          <t>FALKENBERG</t>
        </is>
      </c>
      <c r="G3460" t="n">
        <v>4.8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62712-2023</t>
        </is>
      </c>
      <c r="B3461" s="1" t="n">
        <v>45271</v>
      </c>
      <c r="C3461" s="1" t="n">
        <v>45627</v>
      </c>
      <c r="D3461" t="inlineStr">
        <is>
          <t>HALLANDS LÄN</t>
        </is>
      </c>
      <c r="E3461" t="inlineStr">
        <is>
          <t>FALKENBERG</t>
        </is>
      </c>
      <c r="G3461" t="n">
        <v>1.4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62753-2023</t>
        </is>
      </c>
      <c r="B3462" s="1" t="n">
        <v>45271</v>
      </c>
      <c r="C3462" s="1" t="n">
        <v>45627</v>
      </c>
      <c r="D3462" t="inlineStr">
        <is>
          <t>HALLANDS LÄN</t>
        </is>
      </c>
      <c r="E3462" t="inlineStr">
        <is>
          <t>HYLTE</t>
        </is>
      </c>
      <c r="G3462" t="n">
        <v>1.3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62791-2023</t>
        </is>
      </c>
      <c r="B3463" s="1" t="n">
        <v>45271</v>
      </c>
      <c r="C3463" s="1" t="n">
        <v>45627</v>
      </c>
      <c r="D3463" t="inlineStr">
        <is>
          <t>HALLANDS LÄN</t>
        </is>
      </c>
      <c r="E3463" t="inlineStr">
        <is>
          <t>VARBERG</t>
        </is>
      </c>
      <c r="G3463" t="n">
        <v>1.4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62655-2023</t>
        </is>
      </c>
      <c r="B3464" s="1" t="n">
        <v>45271</v>
      </c>
      <c r="C3464" s="1" t="n">
        <v>45627</v>
      </c>
      <c r="D3464" t="inlineStr">
        <is>
          <t>HALLANDS LÄN</t>
        </is>
      </c>
      <c r="E3464" t="inlineStr">
        <is>
          <t>VARBERG</t>
        </is>
      </c>
      <c r="G3464" t="n">
        <v>2.3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62740-2023</t>
        </is>
      </c>
      <c r="B3465" s="1" t="n">
        <v>45271</v>
      </c>
      <c r="C3465" s="1" t="n">
        <v>45627</v>
      </c>
      <c r="D3465" t="inlineStr">
        <is>
          <t>HALLANDS LÄN</t>
        </is>
      </c>
      <c r="E3465" t="inlineStr">
        <is>
          <t>VARBERG</t>
        </is>
      </c>
      <c r="G3465" t="n">
        <v>3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62965-2023</t>
        </is>
      </c>
      <c r="B3466" s="1" t="n">
        <v>45272</v>
      </c>
      <c r="C3466" s="1" t="n">
        <v>45627</v>
      </c>
      <c r="D3466" t="inlineStr">
        <is>
          <t>HALLANDS LÄN</t>
        </is>
      </c>
      <c r="E3466" t="inlineStr">
        <is>
          <t>VARBERG</t>
        </is>
      </c>
      <c r="G3466" t="n">
        <v>2.9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63034-2023</t>
        </is>
      </c>
      <c r="B3467" s="1" t="n">
        <v>45272</v>
      </c>
      <c r="C3467" s="1" t="n">
        <v>45627</v>
      </c>
      <c r="D3467" t="inlineStr">
        <is>
          <t>HALLANDS LÄN</t>
        </is>
      </c>
      <c r="E3467" t="inlineStr">
        <is>
          <t>FALKENBERG</t>
        </is>
      </c>
      <c r="G3467" t="n">
        <v>0.6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62942-2023</t>
        </is>
      </c>
      <c r="B3468" s="1" t="n">
        <v>45272</v>
      </c>
      <c r="C3468" s="1" t="n">
        <v>45627</v>
      </c>
      <c r="D3468" t="inlineStr">
        <is>
          <t>HALLANDS LÄN</t>
        </is>
      </c>
      <c r="E3468" t="inlineStr">
        <is>
          <t>VARBERG</t>
        </is>
      </c>
      <c r="G3468" t="n">
        <v>6.9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63008-2023</t>
        </is>
      </c>
      <c r="B3469" s="1" t="n">
        <v>45272</v>
      </c>
      <c r="C3469" s="1" t="n">
        <v>45627</v>
      </c>
      <c r="D3469" t="inlineStr">
        <is>
          <t>HALLANDS LÄN</t>
        </is>
      </c>
      <c r="E3469" t="inlineStr">
        <is>
          <t>HYLTE</t>
        </is>
      </c>
      <c r="G3469" t="n">
        <v>0.6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63033-2023</t>
        </is>
      </c>
      <c r="B3470" s="1" t="n">
        <v>45272</v>
      </c>
      <c r="C3470" s="1" t="n">
        <v>45627</v>
      </c>
      <c r="D3470" t="inlineStr">
        <is>
          <t>HALLANDS LÄN</t>
        </is>
      </c>
      <c r="E3470" t="inlineStr">
        <is>
          <t>FALKENBERG</t>
        </is>
      </c>
      <c r="G3470" t="n">
        <v>1.6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63097-2023</t>
        </is>
      </c>
      <c r="B3471" s="1" t="n">
        <v>45273</v>
      </c>
      <c r="C3471" s="1" t="n">
        <v>45627</v>
      </c>
      <c r="D3471" t="inlineStr">
        <is>
          <t>HALLANDS LÄN</t>
        </is>
      </c>
      <c r="E3471" t="inlineStr">
        <is>
          <t>FALKENBERG</t>
        </is>
      </c>
      <c r="G3471" t="n">
        <v>1.3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63100-2023</t>
        </is>
      </c>
      <c r="B3472" s="1" t="n">
        <v>45273</v>
      </c>
      <c r="C3472" s="1" t="n">
        <v>45627</v>
      </c>
      <c r="D3472" t="inlineStr">
        <is>
          <t>HALLANDS LÄN</t>
        </is>
      </c>
      <c r="E3472" t="inlineStr">
        <is>
          <t>HALMSTAD</t>
        </is>
      </c>
      <c r="G3472" t="n">
        <v>3.5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63104-2023</t>
        </is>
      </c>
      <c r="B3473" s="1" t="n">
        <v>45273</v>
      </c>
      <c r="C3473" s="1" t="n">
        <v>45627</v>
      </c>
      <c r="D3473" t="inlineStr">
        <is>
          <t>HALLANDS LÄN</t>
        </is>
      </c>
      <c r="E3473" t="inlineStr">
        <is>
          <t>KUNGSBACKA</t>
        </is>
      </c>
      <c r="G3473" t="n">
        <v>2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63108-2023</t>
        </is>
      </c>
      <c r="B3474" s="1" t="n">
        <v>45273</v>
      </c>
      <c r="C3474" s="1" t="n">
        <v>45627</v>
      </c>
      <c r="D3474" t="inlineStr">
        <is>
          <t>HALLANDS LÄN</t>
        </is>
      </c>
      <c r="E3474" t="inlineStr">
        <is>
          <t>VARBERG</t>
        </is>
      </c>
      <c r="G3474" t="n">
        <v>1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63130-2023</t>
        </is>
      </c>
      <c r="B3475" s="1" t="n">
        <v>45273</v>
      </c>
      <c r="C3475" s="1" t="n">
        <v>45627</v>
      </c>
      <c r="D3475" t="inlineStr">
        <is>
          <t>HALLANDS LÄN</t>
        </is>
      </c>
      <c r="E3475" t="inlineStr">
        <is>
          <t>FALKENBERG</t>
        </is>
      </c>
      <c r="G3475" t="n">
        <v>4.1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63106-2023</t>
        </is>
      </c>
      <c r="B3476" s="1" t="n">
        <v>45273</v>
      </c>
      <c r="C3476" s="1" t="n">
        <v>45627</v>
      </c>
      <c r="D3476" t="inlineStr">
        <is>
          <t>HALLANDS LÄN</t>
        </is>
      </c>
      <c r="E3476" t="inlineStr">
        <is>
          <t>HALMSTAD</t>
        </is>
      </c>
      <c r="G3476" t="n">
        <v>1.7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63110-2023</t>
        </is>
      </c>
      <c r="B3477" s="1" t="n">
        <v>45273</v>
      </c>
      <c r="C3477" s="1" t="n">
        <v>45627</v>
      </c>
      <c r="D3477" t="inlineStr">
        <is>
          <t>HALLANDS LÄN</t>
        </is>
      </c>
      <c r="E3477" t="inlineStr">
        <is>
          <t>VARBERG</t>
        </is>
      </c>
      <c r="G3477" t="n">
        <v>0.6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63254-2023</t>
        </is>
      </c>
      <c r="B3478" s="1" t="n">
        <v>45273</v>
      </c>
      <c r="C3478" s="1" t="n">
        <v>45627</v>
      </c>
      <c r="D3478" t="inlineStr">
        <is>
          <t>HALLANDS LÄN</t>
        </is>
      </c>
      <c r="E3478" t="inlineStr">
        <is>
          <t>FALKENBERG</t>
        </is>
      </c>
      <c r="G3478" t="n">
        <v>1.5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63124-2023</t>
        </is>
      </c>
      <c r="B3479" s="1" t="n">
        <v>45273</v>
      </c>
      <c r="C3479" s="1" t="n">
        <v>45627</v>
      </c>
      <c r="D3479" t="inlineStr">
        <is>
          <t>HALLANDS LÄN</t>
        </is>
      </c>
      <c r="E3479" t="inlineStr">
        <is>
          <t>VARBERG</t>
        </is>
      </c>
      <c r="G3479" t="n">
        <v>1.9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63283-2023</t>
        </is>
      </c>
      <c r="B3480" s="1" t="n">
        <v>45273</v>
      </c>
      <c r="C3480" s="1" t="n">
        <v>45627</v>
      </c>
      <c r="D3480" t="inlineStr">
        <is>
          <t>HALLANDS LÄN</t>
        </is>
      </c>
      <c r="E3480" t="inlineStr">
        <is>
          <t>LAHOLM</t>
        </is>
      </c>
      <c r="G3480" t="n">
        <v>2.1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63380-2023</t>
        </is>
      </c>
      <c r="B3481" s="1" t="n">
        <v>45274</v>
      </c>
      <c r="C3481" s="1" t="n">
        <v>45627</v>
      </c>
      <c r="D3481" t="inlineStr">
        <is>
          <t>HALLANDS LÄN</t>
        </is>
      </c>
      <c r="E3481" t="inlineStr">
        <is>
          <t>VARBERG</t>
        </is>
      </c>
      <c r="G3481" t="n">
        <v>3.6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63332-2023</t>
        </is>
      </c>
      <c r="B3482" s="1" t="n">
        <v>45274</v>
      </c>
      <c r="C3482" s="1" t="n">
        <v>45627</v>
      </c>
      <c r="D3482" t="inlineStr">
        <is>
          <t>HALLANDS LÄN</t>
        </is>
      </c>
      <c r="E3482" t="inlineStr">
        <is>
          <t>VARBERG</t>
        </is>
      </c>
      <c r="G3482" t="n">
        <v>3.6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63486-2023</t>
        </is>
      </c>
      <c r="B3483" s="1" t="n">
        <v>45274</v>
      </c>
      <c r="C3483" s="1" t="n">
        <v>45627</v>
      </c>
      <c r="D3483" t="inlineStr">
        <is>
          <t>HALLANDS LÄN</t>
        </is>
      </c>
      <c r="E3483" t="inlineStr">
        <is>
          <t>LAHOLM</t>
        </is>
      </c>
      <c r="G3483" t="n">
        <v>1.4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63310-2023</t>
        </is>
      </c>
      <c r="B3484" s="1" t="n">
        <v>45274</v>
      </c>
      <c r="C3484" s="1" t="n">
        <v>45627</v>
      </c>
      <c r="D3484" t="inlineStr">
        <is>
          <t>HALLANDS LÄN</t>
        </is>
      </c>
      <c r="E3484" t="inlineStr">
        <is>
          <t>FALKENBERG</t>
        </is>
      </c>
      <c r="G3484" t="n">
        <v>1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63353-2023</t>
        </is>
      </c>
      <c r="B3485" s="1" t="n">
        <v>45274</v>
      </c>
      <c r="C3485" s="1" t="n">
        <v>45627</v>
      </c>
      <c r="D3485" t="inlineStr">
        <is>
          <t>HALLANDS LÄN</t>
        </is>
      </c>
      <c r="E3485" t="inlineStr">
        <is>
          <t>HYLTE</t>
        </is>
      </c>
      <c r="G3485" t="n">
        <v>4.5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63348-2023</t>
        </is>
      </c>
      <c r="B3486" s="1" t="n">
        <v>45274</v>
      </c>
      <c r="C3486" s="1" t="n">
        <v>45627</v>
      </c>
      <c r="D3486" t="inlineStr">
        <is>
          <t>HALLANDS LÄN</t>
        </is>
      </c>
      <c r="E3486" t="inlineStr">
        <is>
          <t>HYLTE</t>
        </is>
      </c>
      <c r="G3486" t="n">
        <v>1.6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63598-2023</t>
        </is>
      </c>
      <c r="B3487" s="1" t="n">
        <v>45275</v>
      </c>
      <c r="C3487" s="1" t="n">
        <v>45627</v>
      </c>
      <c r="D3487" t="inlineStr">
        <is>
          <t>HALLANDS LÄN</t>
        </is>
      </c>
      <c r="E3487" t="inlineStr">
        <is>
          <t>KUNGSBACKA</t>
        </is>
      </c>
      <c r="G3487" t="n">
        <v>1.6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63667-2023</t>
        </is>
      </c>
      <c r="B3488" s="1" t="n">
        <v>45275</v>
      </c>
      <c r="C3488" s="1" t="n">
        <v>45627</v>
      </c>
      <c r="D3488" t="inlineStr">
        <is>
          <t>HALLANDS LÄN</t>
        </is>
      </c>
      <c r="E3488" t="inlineStr">
        <is>
          <t>VARBERG</t>
        </is>
      </c>
      <c r="G3488" t="n">
        <v>2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63593-2023</t>
        </is>
      </c>
      <c r="B3489" s="1" t="n">
        <v>45275</v>
      </c>
      <c r="C3489" s="1" t="n">
        <v>45627</v>
      </c>
      <c r="D3489" t="inlineStr">
        <is>
          <t>HALLANDS LÄN</t>
        </is>
      </c>
      <c r="E3489" t="inlineStr">
        <is>
          <t>LAHOLM</t>
        </is>
      </c>
      <c r="G3489" t="n">
        <v>3.9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63609-2023</t>
        </is>
      </c>
      <c r="B3490" s="1" t="n">
        <v>45275</v>
      </c>
      <c r="C3490" s="1" t="n">
        <v>45627</v>
      </c>
      <c r="D3490" t="inlineStr">
        <is>
          <t>HALLANDS LÄN</t>
        </is>
      </c>
      <c r="E3490" t="inlineStr">
        <is>
          <t>HALMSTAD</t>
        </is>
      </c>
      <c r="G3490" t="n">
        <v>4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63637-2023</t>
        </is>
      </c>
      <c r="B3491" s="1" t="n">
        <v>45275</v>
      </c>
      <c r="C3491" s="1" t="n">
        <v>45627</v>
      </c>
      <c r="D3491" t="inlineStr">
        <is>
          <t>HALLANDS LÄN</t>
        </is>
      </c>
      <c r="E3491" t="inlineStr">
        <is>
          <t>VARBERG</t>
        </is>
      </c>
      <c r="G3491" t="n">
        <v>1.2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63661-2023</t>
        </is>
      </c>
      <c r="B3492" s="1" t="n">
        <v>45275</v>
      </c>
      <c r="C3492" s="1" t="n">
        <v>45627</v>
      </c>
      <c r="D3492" t="inlineStr">
        <is>
          <t>HALLANDS LÄN</t>
        </is>
      </c>
      <c r="E3492" t="inlineStr">
        <is>
          <t>VARBERG</t>
        </is>
      </c>
      <c r="G3492" t="n">
        <v>2.5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63674-2023</t>
        </is>
      </c>
      <c r="B3493" s="1" t="n">
        <v>45275</v>
      </c>
      <c r="C3493" s="1" t="n">
        <v>45627</v>
      </c>
      <c r="D3493" t="inlineStr">
        <is>
          <t>HALLANDS LÄN</t>
        </is>
      </c>
      <c r="E3493" t="inlineStr">
        <is>
          <t>LAHOLM</t>
        </is>
      </c>
      <c r="G3493" t="n">
        <v>1.1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63608-2023</t>
        </is>
      </c>
      <c r="B3494" s="1" t="n">
        <v>45275</v>
      </c>
      <c r="C3494" s="1" t="n">
        <v>45627</v>
      </c>
      <c r="D3494" t="inlineStr">
        <is>
          <t>HALLANDS LÄN</t>
        </is>
      </c>
      <c r="E3494" t="inlineStr">
        <is>
          <t>HALMSTAD</t>
        </is>
      </c>
      <c r="G3494" t="n">
        <v>0.6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63683-2023</t>
        </is>
      </c>
      <c r="B3495" s="1" t="n">
        <v>45275</v>
      </c>
      <c r="C3495" s="1" t="n">
        <v>45627</v>
      </c>
      <c r="D3495" t="inlineStr">
        <is>
          <t>HALLANDS LÄN</t>
        </is>
      </c>
      <c r="E3495" t="inlineStr">
        <is>
          <t>FALKENBERG</t>
        </is>
      </c>
      <c r="G3495" t="n">
        <v>1.8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63675-2023</t>
        </is>
      </c>
      <c r="B3496" s="1" t="n">
        <v>45275</v>
      </c>
      <c r="C3496" s="1" t="n">
        <v>45627</v>
      </c>
      <c r="D3496" t="inlineStr">
        <is>
          <t>HALLANDS LÄN</t>
        </is>
      </c>
      <c r="E3496" t="inlineStr">
        <is>
          <t>LAHOLM</t>
        </is>
      </c>
      <c r="G3496" t="n">
        <v>0.6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63795-2023</t>
        </is>
      </c>
      <c r="B3497" s="1" t="n">
        <v>45278</v>
      </c>
      <c r="C3497" s="1" t="n">
        <v>45627</v>
      </c>
      <c r="D3497" t="inlineStr">
        <is>
          <t>HALLANDS LÄN</t>
        </is>
      </c>
      <c r="E3497" t="inlineStr">
        <is>
          <t>LAHOLM</t>
        </is>
      </c>
      <c r="G3497" t="n">
        <v>5.9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63793-2023</t>
        </is>
      </c>
      <c r="B3498" s="1" t="n">
        <v>45278</v>
      </c>
      <c r="C3498" s="1" t="n">
        <v>45627</v>
      </c>
      <c r="D3498" t="inlineStr">
        <is>
          <t>HALLANDS LÄN</t>
        </is>
      </c>
      <c r="E3498" t="inlineStr">
        <is>
          <t>LAHOLM</t>
        </is>
      </c>
      <c r="G3498" t="n">
        <v>6.2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63826-2023</t>
        </is>
      </c>
      <c r="B3499" s="1" t="n">
        <v>45278</v>
      </c>
      <c r="C3499" s="1" t="n">
        <v>45627</v>
      </c>
      <c r="D3499" t="inlineStr">
        <is>
          <t>HALLANDS LÄN</t>
        </is>
      </c>
      <c r="E3499" t="inlineStr">
        <is>
          <t>HALMSTAD</t>
        </is>
      </c>
      <c r="G3499" t="n">
        <v>0.7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63854-2023</t>
        </is>
      </c>
      <c r="B3500" s="1" t="n">
        <v>45278</v>
      </c>
      <c r="C3500" s="1" t="n">
        <v>45627</v>
      </c>
      <c r="D3500" t="inlineStr">
        <is>
          <t>HALLANDS LÄN</t>
        </is>
      </c>
      <c r="E3500" t="inlineStr">
        <is>
          <t>HYLTE</t>
        </is>
      </c>
      <c r="G3500" t="n">
        <v>1.1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63823-2023</t>
        </is>
      </c>
      <c r="B3501" s="1" t="n">
        <v>45278</v>
      </c>
      <c r="C3501" s="1" t="n">
        <v>45627</v>
      </c>
      <c r="D3501" t="inlineStr">
        <is>
          <t>HALLANDS LÄN</t>
        </is>
      </c>
      <c r="E3501" t="inlineStr">
        <is>
          <t>HALMSTAD</t>
        </is>
      </c>
      <c r="G3501" t="n">
        <v>3.9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63806-2023</t>
        </is>
      </c>
      <c r="B3502" s="1" t="n">
        <v>45278</v>
      </c>
      <c r="C3502" s="1" t="n">
        <v>45627</v>
      </c>
      <c r="D3502" t="inlineStr">
        <is>
          <t>HALLANDS LÄN</t>
        </is>
      </c>
      <c r="E3502" t="inlineStr">
        <is>
          <t>HALMSTAD</t>
        </is>
      </c>
      <c r="G3502" t="n">
        <v>6.7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63852-2023</t>
        </is>
      </c>
      <c r="B3503" s="1" t="n">
        <v>45278</v>
      </c>
      <c r="C3503" s="1" t="n">
        <v>45627</v>
      </c>
      <c r="D3503" t="inlineStr">
        <is>
          <t>HALLANDS LÄN</t>
        </is>
      </c>
      <c r="E3503" t="inlineStr">
        <is>
          <t>FALKENBERG</t>
        </is>
      </c>
      <c r="G3503" t="n">
        <v>1.9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64004-2023</t>
        </is>
      </c>
      <c r="B3504" s="1" t="n">
        <v>45278</v>
      </c>
      <c r="C3504" s="1" t="n">
        <v>45627</v>
      </c>
      <c r="D3504" t="inlineStr">
        <is>
          <t>HALLANDS LÄN</t>
        </is>
      </c>
      <c r="E3504" t="inlineStr">
        <is>
          <t>FALKENBERG</t>
        </is>
      </c>
      <c r="G3504" t="n">
        <v>0.8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64136-2023</t>
        </is>
      </c>
      <c r="B3505" s="1" t="n">
        <v>45279</v>
      </c>
      <c r="C3505" s="1" t="n">
        <v>45627</v>
      </c>
      <c r="D3505" t="inlineStr">
        <is>
          <t>HALLANDS LÄN</t>
        </is>
      </c>
      <c r="E3505" t="inlineStr">
        <is>
          <t>HALMSTAD</t>
        </is>
      </c>
      <c r="F3505" t="inlineStr">
        <is>
          <t>Bergvik skog väst AB</t>
        </is>
      </c>
      <c r="G3505" t="n">
        <v>0.6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64152-2023</t>
        </is>
      </c>
      <c r="B3506" s="1" t="n">
        <v>45279</v>
      </c>
      <c r="C3506" s="1" t="n">
        <v>45627</v>
      </c>
      <c r="D3506" t="inlineStr">
        <is>
          <t>HALLANDS LÄN</t>
        </is>
      </c>
      <c r="E3506" t="inlineStr">
        <is>
          <t>HALMSTAD</t>
        </is>
      </c>
      <c r="F3506" t="inlineStr">
        <is>
          <t>Bergvik skog väst AB</t>
        </is>
      </c>
      <c r="G3506" t="n">
        <v>0.8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64137-2023</t>
        </is>
      </c>
      <c r="B3507" s="1" t="n">
        <v>45279</v>
      </c>
      <c r="C3507" s="1" t="n">
        <v>45627</v>
      </c>
      <c r="D3507" t="inlineStr">
        <is>
          <t>HALLANDS LÄN</t>
        </is>
      </c>
      <c r="E3507" t="inlineStr">
        <is>
          <t>HALMSTAD</t>
        </is>
      </c>
      <c r="F3507" t="inlineStr">
        <is>
          <t>Bergvik skog väst AB</t>
        </is>
      </c>
      <c r="G3507" t="n">
        <v>6.6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64145-2023</t>
        </is>
      </c>
      <c r="B3508" s="1" t="n">
        <v>45279</v>
      </c>
      <c r="C3508" s="1" t="n">
        <v>45627</v>
      </c>
      <c r="D3508" t="inlineStr">
        <is>
          <t>HALLANDS LÄN</t>
        </is>
      </c>
      <c r="E3508" t="inlineStr">
        <is>
          <t>HYLTE</t>
        </is>
      </c>
      <c r="F3508" t="inlineStr">
        <is>
          <t>Bergvik skog väst AB</t>
        </is>
      </c>
      <c r="G3508" t="n">
        <v>18.4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64230-2023</t>
        </is>
      </c>
      <c r="B3509" s="1" t="n">
        <v>45279</v>
      </c>
      <c r="C3509" s="1" t="n">
        <v>45627</v>
      </c>
      <c r="D3509" t="inlineStr">
        <is>
          <t>HALLANDS LÄN</t>
        </is>
      </c>
      <c r="E3509" t="inlineStr">
        <is>
          <t>HALMSTAD</t>
        </is>
      </c>
      <c r="G3509" t="n">
        <v>3.1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64203-2023</t>
        </is>
      </c>
      <c r="B3510" s="1" t="n">
        <v>45279</v>
      </c>
      <c r="C3510" s="1" t="n">
        <v>45627</v>
      </c>
      <c r="D3510" t="inlineStr">
        <is>
          <t>HALLANDS LÄN</t>
        </is>
      </c>
      <c r="E3510" t="inlineStr">
        <is>
          <t>VARBERG</t>
        </is>
      </c>
      <c r="G3510" t="n">
        <v>2.1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64231-2023</t>
        </is>
      </c>
      <c r="B3511" s="1" t="n">
        <v>45279</v>
      </c>
      <c r="C3511" s="1" t="n">
        <v>45627</v>
      </c>
      <c r="D3511" t="inlineStr">
        <is>
          <t>HALLANDS LÄN</t>
        </is>
      </c>
      <c r="E3511" t="inlineStr">
        <is>
          <t>HALMSTAD</t>
        </is>
      </c>
      <c r="G3511" t="n">
        <v>1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64404-2023</t>
        </is>
      </c>
      <c r="B3512" s="1" t="n">
        <v>45280</v>
      </c>
      <c r="C3512" s="1" t="n">
        <v>45627</v>
      </c>
      <c r="D3512" t="inlineStr">
        <is>
          <t>HALLANDS LÄN</t>
        </is>
      </c>
      <c r="E3512" t="inlineStr">
        <is>
          <t>FALKENBERG</t>
        </is>
      </c>
      <c r="G3512" t="n">
        <v>0.7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64363-2023</t>
        </is>
      </c>
      <c r="B3513" s="1" t="n">
        <v>45280</v>
      </c>
      <c r="C3513" s="1" t="n">
        <v>45627</v>
      </c>
      <c r="D3513" t="inlineStr">
        <is>
          <t>HALLANDS LÄN</t>
        </is>
      </c>
      <c r="E3513" t="inlineStr">
        <is>
          <t>KUNGSBACKA</t>
        </is>
      </c>
      <c r="G3513" t="n">
        <v>0.7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64455-2023</t>
        </is>
      </c>
      <c r="B3514" s="1" t="n">
        <v>45280</v>
      </c>
      <c r="C3514" s="1" t="n">
        <v>45627</v>
      </c>
      <c r="D3514" t="inlineStr">
        <is>
          <t>HALLANDS LÄN</t>
        </is>
      </c>
      <c r="E3514" t="inlineStr">
        <is>
          <t>FALKENBERG</t>
        </is>
      </c>
      <c r="G3514" t="n">
        <v>0.8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64661-2023</t>
        </is>
      </c>
      <c r="B3515" s="1" t="n">
        <v>45281</v>
      </c>
      <c r="C3515" s="1" t="n">
        <v>45627</v>
      </c>
      <c r="D3515" t="inlineStr">
        <is>
          <t>HALLANDS LÄN</t>
        </is>
      </c>
      <c r="E3515" t="inlineStr">
        <is>
          <t>VARBERG</t>
        </is>
      </c>
      <c r="G3515" t="n">
        <v>3.2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64684-2023</t>
        </is>
      </c>
      <c r="B3516" s="1" t="n">
        <v>45281</v>
      </c>
      <c r="C3516" s="1" t="n">
        <v>45627</v>
      </c>
      <c r="D3516" t="inlineStr">
        <is>
          <t>HALLANDS LÄN</t>
        </is>
      </c>
      <c r="E3516" t="inlineStr">
        <is>
          <t>HYLTE</t>
        </is>
      </c>
      <c r="G3516" t="n">
        <v>0.8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64679-2023</t>
        </is>
      </c>
      <c r="B3517" s="1" t="n">
        <v>45281</v>
      </c>
      <c r="C3517" s="1" t="n">
        <v>45627</v>
      </c>
      <c r="D3517" t="inlineStr">
        <is>
          <t>HALLANDS LÄN</t>
        </is>
      </c>
      <c r="E3517" t="inlineStr">
        <is>
          <t>HYLTE</t>
        </is>
      </c>
      <c r="G3517" t="n">
        <v>0.8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64767-2023</t>
        </is>
      </c>
      <c r="B3518" s="1" t="n">
        <v>45281</v>
      </c>
      <c r="C3518" s="1" t="n">
        <v>45627</v>
      </c>
      <c r="D3518" t="inlineStr">
        <is>
          <t>HALLANDS LÄN</t>
        </is>
      </c>
      <c r="E3518" t="inlineStr">
        <is>
          <t>VARBERG</t>
        </is>
      </c>
      <c r="G3518" t="n">
        <v>0.3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64836-2023</t>
        </is>
      </c>
      <c r="B3519" s="1" t="n">
        <v>45282</v>
      </c>
      <c r="C3519" s="1" t="n">
        <v>45627</v>
      </c>
      <c r="D3519" t="inlineStr">
        <is>
          <t>HALLANDS LÄN</t>
        </is>
      </c>
      <c r="E3519" t="inlineStr">
        <is>
          <t>FALKENBERG</t>
        </is>
      </c>
      <c r="G3519" t="n">
        <v>7.2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64864-2023</t>
        </is>
      </c>
      <c r="B3520" s="1" t="n">
        <v>45282</v>
      </c>
      <c r="C3520" s="1" t="n">
        <v>45627</v>
      </c>
      <c r="D3520" t="inlineStr">
        <is>
          <t>HALLANDS LÄN</t>
        </is>
      </c>
      <c r="E3520" t="inlineStr">
        <is>
          <t>LAHOLM</t>
        </is>
      </c>
      <c r="G3520" t="n">
        <v>0.9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64922-2023</t>
        </is>
      </c>
      <c r="B3521" s="1" t="n">
        <v>45282</v>
      </c>
      <c r="C3521" s="1" t="n">
        <v>45627</v>
      </c>
      <c r="D3521" t="inlineStr">
        <is>
          <t>HALLANDS LÄN</t>
        </is>
      </c>
      <c r="E3521" t="inlineStr">
        <is>
          <t>LAHOLM</t>
        </is>
      </c>
      <c r="F3521" t="inlineStr">
        <is>
          <t>Övriga Aktiebolag</t>
        </is>
      </c>
      <c r="G3521" t="n">
        <v>1.6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64863-2023</t>
        </is>
      </c>
      <c r="B3522" s="1" t="n">
        <v>45282</v>
      </c>
      <c r="C3522" s="1" t="n">
        <v>45627</v>
      </c>
      <c r="D3522" t="inlineStr">
        <is>
          <t>HALLANDS LÄN</t>
        </is>
      </c>
      <c r="E3522" t="inlineStr">
        <is>
          <t>FALKENBERG</t>
        </is>
      </c>
      <c r="G3522" t="n">
        <v>1.9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64919-2023</t>
        </is>
      </c>
      <c r="B3523" s="1" t="n">
        <v>45282</v>
      </c>
      <c r="C3523" s="1" t="n">
        <v>45627</v>
      </c>
      <c r="D3523" t="inlineStr">
        <is>
          <t>HALLANDS LÄN</t>
        </is>
      </c>
      <c r="E3523" t="inlineStr">
        <is>
          <t>LAHOLM</t>
        </is>
      </c>
      <c r="F3523" t="inlineStr">
        <is>
          <t>Övriga Aktiebolag</t>
        </is>
      </c>
      <c r="G3523" t="n">
        <v>2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64923-2023</t>
        </is>
      </c>
      <c r="B3524" s="1" t="n">
        <v>45282</v>
      </c>
      <c r="C3524" s="1" t="n">
        <v>45627</v>
      </c>
      <c r="D3524" t="inlineStr">
        <is>
          <t>HALLANDS LÄN</t>
        </is>
      </c>
      <c r="E3524" t="inlineStr">
        <is>
          <t>LAHOLM</t>
        </is>
      </c>
      <c r="F3524" t="inlineStr">
        <is>
          <t>Övriga Aktiebolag</t>
        </is>
      </c>
      <c r="G3524" t="n">
        <v>1.2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64848-2023</t>
        </is>
      </c>
      <c r="B3525" s="1" t="n">
        <v>45282</v>
      </c>
      <c r="C3525" s="1" t="n">
        <v>45627</v>
      </c>
      <c r="D3525" t="inlineStr">
        <is>
          <t>HALLANDS LÄN</t>
        </is>
      </c>
      <c r="E3525" t="inlineStr">
        <is>
          <t>VARBERG</t>
        </is>
      </c>
      <c r="G3525" t="n">
        <v>1.2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65003-2023</t>
        </is>
      </c>
      <c r="B3526" s="1" t="n">
        <v>45287</v>
      </c>
      <c r="C3526" s="1" t="n">
        <v>45627</v>
      </c>
      <c r="D3526" t="inlineStr">
        <is>
          <t>HALLANDS LÄN</t>
        </is>
      </c>
      <c r="E3526" t="inlineStr">
        <is>
          <t>HYLTE</t>
        </is>
      </c>
      <c r="G3526" t="n">
        <v>3.6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65126-2023</t>
        </is>
      </c>
      <c r="B3527" s="1" t="n">
        <v>45288</v>
      </c>
      <c r="C3527" s="1" t="n">
        <v>45627</v>
      </c>
      <c r="D3527" t="inlineStr">
        <is>
          <t>HALLANDS LÄN</t>
        </is>
      </c>
      <c r="E3527" t="inlineStr">
        <is>
          <t>HYLTE</t>
        </is>
      </c>
      <c r="F3527" t="inlineStr">
        <is>
          <t>Kommuner</t>
        </is>
      </c>
      <c r="G3527" t="n">
        <v>1.8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65199-2023</t>
        </is>
      </c>
      <c r="B3528" s="1" t="n">
        <v>45288</v>
      </c>
      <c r="C3528" s="1" t="n">
        <v>45627</v>
      </c>
      <c r="D3528" t="inlineStr">
        <is>
          <t>HALLANDS LÄN</t>
        </is>
      </c>
      <c r="E3528" t="inlineStr">
        <is>
          <t>KUNGSBACKA</t>
        </is>
      </c>
      <c r="G3528" t="n">
        <v>4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50-2024</t>
        </is>
      </c>
      <c r="B3529" s="1" t="n">
        <v>45293</v>
      </c>
      <c r="C3529" s="1" t="n">
        <v>45627</v>
      </c>
      <c r="D3529" t="inlineStr">
        <is>
          <t>HALLANDS LÄN</t>
        </is>
      </c>
      <c r="E3529" t="inlineStr">
        <is>
          <t>HYLTE</t>
        </is>
      </c>
      <c r="G3529" t="n">
        <v>1.4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58-2024</t>
        </is>
      </c>
      <c r="B3530" s="1" t="n">
        <v>45293</v>
      </c>
      <c r="C3530" s="1" t="n">
        <v>45627</v>
      </c>
      <c r="D3530" t="inlineStr">
        <is>
          <t>HALLANDS LÄN</t>
        </is>
      </c>
      <c r="E3530" t="inlineStr">
        <is>
          <t>HYLTE</t>
        </is>
      </c>
      <c r="G3530" t="n">
        <v>3.3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53-2024</t>
        </is>
      </c>
      <c r="B3531" s="1" t="n">
        <v>45293</v>
      </c>
      <c r="C3531" s="1" t="n">
        <v>45627</v>
      </c>
      <c r="D3531" t="inlineStr">
        <is>
          <t>HALLANDS LÄN</t>
        </is>
      </c>
      <c r="E3531" t="inlineStr">
        <is>
          <t>HYLTE</t>
        </is>
      </c>
      <c r="G3531" t="n">
        <v>0.8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55-2024</t>
        </is>
      </c>
      <c r="B3532" s="1" t="n">
        <v>45293</v>
      </c>
      <c r="C3532" s="1" t="n">
        <v>45627</v>
      </c>
      <c r="D3532" t="inlineStr">
        <is>
          <t>HALLANDS LÄN</t>
        </is>
      </c>
      <c r="E3532" t="inlineStr">
        <is>
          <t>HYLTE</t>
        </is>
      </c>
      <c r="G3532" t="n">
        <v>1.3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59-2024</t>
        </is>
      </c>
      <c r="B3533" s="1" t="n">
        <v>45293</v>
      </c>
      <c r="C3533" s="1" t="n">
        <v>45627</v>
      </c>
      <c r="D3533" t="inlineStr">
        <is>
          <t>HALLANDS LÄN</t>
        </is>
      </c>
      <c r="E3533" t="inlineStr">
        <is>
          <t>HYLTE</t>
        </is>
      </c>
      <c r="G3533" t="n">
        <v>0.9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268-2024</t>
        </is>
      </c>
      <c r="B3534" s="1" t="n">
        <v>45295</v>
      </c>
      <c r="C3534" s="1" t="n">
        <v>45627</v>
      </c>
      <c r="D3534" t="inlineStr">
        <is>
          <t>HALLANDS LÄN</t>
        </is>
      </c>
      <c r="E3534" t="inlineStr">
        <is>
          <t>HYLTE</t>
        </is>
      </c>
      <c r="G3534" t="n">
        <v>4.4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267-2024</t>
        </is>
      </c>
      <c r="B3535" s="1" t="n">
        <v>45295</v>
      </c>
      <c r="C3535" s="1" t="n">
        <v>45627</v>
      </c>
      <c r="D3535" t="inlineStr">
        <is>
          <t>HALLANDS LÄN</t>
        </is>
      </c>
      <c r="E3535" t="inlineStr">
        <is>
          <t>HYLTE</t>
        </is>
      </c>
      <c r="G3535" t="n">
        <v>2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583-2024</t>
        </is>
      </c>
      <c r="B3536" s="1" t="n">
        <v>45299</v>
      </c>
      <c r="C3536" s="1" t="n">
        <v>45627</v>
      </c>
      <c r="D3536" t="inlineStr">
        <is>
          <t>HALLANDS LÄN</t>
        </is>
      </c>
      <c r="E3536" t="inlineStr">
        <is>
          <t>HALMSTAD</t>
        </is>
      </c>
      <c r="G3536" t="n">
        <v>1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615-2024</t>
        </is>
      </c>
      <c r="B3537" s="1" t="n">
        <v>45299</v>
      </c>
      <c r="C3537" s="1" t="n">
        <v>45627</v>
      </c>
      <c r="D3537" t="inlineStr">
        <is>
          <t>HALLANDS LÄN</t>
        </is>
      </c>
      <c r="E3537" t="inlineStr">
        <is>
          <t>LAHOLM</t>
        </is>
      </c>
      <c r="G3537" t="n">
        <v>7.2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629-2024</t>
        </is>
      </c>
      <c r="B3538" s="1" t="n">
        <v>45299</v>
      </c>
      <c r="C3538" s="1" t="n">
        <v>45627</v>
      </c>
      <c r="D3538" t="inlineStr">
        <is>
          <t>HALLANDS LÄN</t>
        </is>
      </c>
      <c r="E3538" t="inlineStr">
        <is>
          <t>LAHOLM</t>
        </is>
      </c>
      <c r="G3538" t="n">
        <v>6.8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649-2024</t>
        </is>
      </c>
      <c r="B3539" s="1" t="n">
        <v>45299</v>
      </c>
      <c r="C3539" s="1" t="n">
        <v>45627</v>
      </c>
      <c r="D3539" t="inlineStr">
        <is>
          <t>HALLANDS LÄN</t>
        </is>
      </c>
      <c r="E3539" t="inlineStr">
        <is>
          <t>HYLTE</t>
        </is>
      </c>
      <c r="G3539" t="n">
        <v>7.1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653-2024</t>
        </is>
      </c>
      <c r="B3540" s="1" t="n">
        <v>45299</v>
      </c>
      <c r="C3540" s="1" t="n">
        <v>45627</v>
      </c>
      <c r="D3540" t="inlineStr">
        <is>
          <t>HALLANDS LÄN</t>
        </is>
      </c>
      <c r="E3540" t="inlineStr">
        <is>
          <t>HYLTE</t>
        </is>
      </c>
      <c r="G3540" t="n">
        <v>1.3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588-2024</t>
        </is>
      </c>
      <c r="B3541" s="1" t="n">
        <v>45299</v>
      </c>
      <c r="C3541" s="1" t="n">
        <v>45627</v>
      </c>
      <c r="D3541" t="inlineStr">
        <is>
          <t>HALLANDS LÄN</t>
        </is>
      </c>
      <c r="E3541" t="inlineStr">
        <is>
          <t>HALMSTAD</t>
        </is>
      </c>
      <c r="G3541" t="n">
        <v>4.6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652-2024</t>
        </is>
      </c>
      <c r="B3542" s="1" t="n">
        <v>45299</v>
      </c>
      <c r="C3542" s="1" t="n">
        <v>45627</v>
      </c>
      <c r="D3542" t="inlineStr">
        <is>
          <t>HALLANDS LÄN</t>
        </is>
      </c>
      <c r="E3542" t="inlineStr">
        <is>
          <t>HYLTE</t>
        </is>
      </c>
      <c r="G3542" t="n">
        <v>2.5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651-2024</t>
        </is>
      </c>
      <c r="B3543" s="1" t="n">
        <v>45299</v>
      </c>
      <c r="C3543" s="1" t="n">
        <v>45627</v>
      </c>
      <c r="D3543" t="inlineStr">
        <is>
          <t>HALLANDS LÄN</t>
        </is>
      </c>
      <c r="E3543" t="inlineStr">
        <is>
          <t>HYLTE</t>
        </is>
      </c>
      <c r="G3543" t="n">
        <v>0.5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667-2024</t>
        </is>
      </c>
      <c r="B3544" s="1" t="n">
        <v>45300</v>
      </c>
      <c r="C3544" s="1" t="n">
        <v>45627</v>
      </c>
      <c r="D3544" t="inlineStr">
        <is>
          <t>HALLANDS LÄN</t>
        </is>
      </c>
      <c r="E3544" t="inlineStr">
        <is>
          <t>FALKENBERG</t>
        </is>
      </c>
      <c r="G3544" t="n">
        <v>1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725-2024</t>
        </is>
      </c>
      <c r="B3545" s="1" t="n">
        <v>45300</v>
      </c>
      <c r="C3545" s="1" t="n">
        <v>45627</v>
      </c>
      <c r="D3545" t="inlineStr">
        <is>
          <t>HALLANDS LÄN</t>
        </is>
      </c>
      <c r="E3545" t="inlineStr">
        <is>
          <t>VARBERG</t>
        </is>
      </c>
      <c r="G3545" t="n">
        <v>0.6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755-2024</t>
        </is>
      </c>
      <c r="B3546" s="1" t="n">
        <v>45300</v>
      </c>
      <c r="C3546" s="1" t="n">
        <v>45627</v>
      </c>
      <c r="D3546" t="inlineStr">
        <is>
          <t>HALLANDS LÄN</t>
        </is>
      </c>
      <c r="E3546" t="inlineStr">
        <is>
          <t>FALKENBERG</t>
        </is>
      </c>
      <c r="G3546" t="n">
        <v>4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811-2024</t>
        </is>
      </c>
      <c r="B3547" s="1" t="n">
        <v>45300</v>
      </c>
      <c r="C3547" s="1" t="n">
        <v>45627</v>
      </c>
      <c r="D3547" t="inlineStr">
        <is>
          <t>HALLANDS LÄN</t>
        </is>
      </c>
      <c r="E3547" t="inlineStr">
        <is>
          <t>VARBERG</t>
        </is>
      </c>
      <c r="G3547" t="n">
        <v>1.2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682-2024</t>
        </is>
      </c>
      <c r="B3548" s="1" t="n">
        <v>45300</v>
      </c>
      <c r="C3548" s="1" t="n">
        <v>45627</v>
      </c>
      <c r="D3548" t="inlineStr">
        <is>
          <t>HALLANDS LÄN</t>
        </is>
      </c>
      <c r="E3548" t="inlineStr">
        <is>
          <t>HYLTE</t>
        </is>
      </c>
      <c r="G3548" t="n">
        <v>1.7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722-2024</t>
        </is>
      </c>
      <c r="B3549" s="1" t="n">
        <v>45300</v>
      </c>
      <c r="C3549" s="1" t="n">
        <v>45627</v>
      </c>
      <c r="D3549" t="inlineStr">
        <is>
          <t>HALLANDS LÄN</t>
        </is>
      </c>
      <c r="E3549" t="inlineStr">
        <is>
          <t>HALMSTAD</t>
        </is>
      </c>
      <c r="G3549" t="n">
        <v>1.4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734-2024</t>
        </is>
      </c>
      <c r="B3550" s="1" t="n">
        <v>45300</v>
      </c>
      <c r="C3550" s="1" t="n">
        <v>45627</v>
      </c>
      <c r="D3550" t="inlineStr">
        <is>
          <t>HALLANDS LÄN</t>
        </is>
      </c>
      <c r="E3550" t="inlineStr">
        <is>
          <t>FALKENBERG</t>
        </is>
      </c>
      <c r="G3550" t="n">
        <v>1.1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760-2024</t>
        </is>
      </c>
      <c r="B3551" s="1" t="n">
        <v>45300</v>
      </c>
      <c r="C3551" s="1" t="n">
        <v>45627</v>
      </c>
      <c r="D3551" t="inlineStr">
        <is>
          <t>HALLANDS LÄN</t>
        </is>
      </c>
      <c r="E3551" t="inlineStr">
        <is>
          <t>FALKENBERG</t>
        </is>
      </c>
      <c r="G3551" t="n">
        <v>2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777-2024</t>
        </is>
      </c>
      <c r="B3552" s="1" t="n">
        <v>45300</v>
      </c>
      <c r="C3552" s="1" t="n">
        <v>45627</v>
      </c>
      <c r="D3552" t="inlineStr">
        <is>
          <t>HALLANDS LÄN</t>
        </is>
      </c>
      <c r="E3552" t="inlineStr">
        <is>
          <t>LAHOLM</t>
        </is>
      </c>
      <c r="G3552" t="n">
        <v>1.8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809-2024</t>
        </is>
      </c>
      <c r="B3553" s="1" t="n">
        <v>45300</v>
      </c>
      <c r="C3553" s="1" t="n">
        <v>45627</v>
      </c>
      <c r="D3553" t="inlineStr">
        <is>
          <t>HALLANDS LÄN</t>
        </is>
      </c>
      <c r="E3553" t="inlineStr">
        <is>
          <t>HYLTE</t>
        </is>
      </c>
      <c r="G3553" t="n">
        <v>2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728-2024</t>
        </is>
      </c>
      <c r="B3554" s="1" t="n">
        <v>45300</v>
      </c>
      <c r="C3554" s="1" t="n">
        <v>45627</v>
      </c>
      <c r="D3554" t="inlineStr">
        <is>
          <t>HALLANDS LÄN</t>
        </is>
      </c>
      <c r="E3554" t="inlineStr">
        <is>
          <t>FALKENBERG</t>
        </is>
      </c>
      <c r="G3554" t="n">
        <v>2.2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765-2024</t>
        </is>
      </c>
      <c r="B3555" s="1" t="n">
        <v>45300</v>
      </c>
      <c r="C3555" s="1" t="n">
        <v>45627</v>
      </c>
      <c r="D3555" t="inlineStr">
        <is>
          <t>HALLANDS LÄN</t>
        </is>
      </c>
      <c r="E3555" t="inlineStr">
        <is>
          <t>FALKENBERG</t>
        </is>
      </c>
      <c r="G3555" t="n">
        <v>0.8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761-2024</t>
        </is>
      </c>
      <c r="B3556" s="1" t="n">
        <v>45300</v>
      </c>
      <c r="C3556" s="1" t="n">
        <v>45627</v>
      </c>
      <c r="D3556" t="inlineStr">
        <is>
          <t>HALLANDS LÄN</t>
        </is>
      </c>
      <c r="E3556" t="inlineStr">
        <is>
          <t>FALKENBERG</t>
        </is>
      </c>
      <c r="G3556" t="n">
        <v>0.7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757-2024</t>
        </is>
      </c>
      <c r="B3557" s="1" t="n">
        <v>45300</v>
      </c>
      <c r="C3557" s="1" t="n">
        <v>45627</v>
      </c>
      <c r="D3557" t="inlineStr">
        <is>
          <t>HALLANDS LÄN</t>
        </is>
      </c>
      <c r="E3557" t="inlineStr">
        <is>
          <t>FALKENBERG</t>
        </is>
      </c>
      <c r="G3557" t="n">
        <v>1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881-2024</t>
        </is>
      </c>
      <c r="B3558" s="1" t="n">
        <v>45301</v>
      </c>
      <c r="C3558" s="1" t="n">
        <v>45627</v>
      </c>
      <c r="D3558" t="inlineStr">
        <is>
          <t>HALLANDS LÄN</t>
        </is>
      </c>
      <c r="E3558" t="inlineStr">
        <is>
          <t>FALKENBERG</t>
        </is>
      </c>
      <c r="G3558" t="n">
        <v>8.300000000000001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977-2024</t>
        </is>
      </c>
      <c r="B3559" s="1" t="n">
        <v>45301</v>
      </c>
      <c r="C3559" s="1" t="n">
        <v>45627</v>
      </c>
      <c r="D3559" t="inlineStr">
        <is>
          <t>HALLANDS LÄN</t>
        </is>
      </c>
      <c r="E3559" t="inlineStr">
        <is>
          <t>LAHOLM</t>
        </is>
      </c>
      <c r="G3559" t="n">
        <v>1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976-2024</t>
        </is>
      </c>
      <c r="B3560" s="1" t="n">
        <v>45301</v>
      </c>
      <c r="C3560" s="1" t="n">
        <v>45627</v>
      </c>
      <c r="D3560" t="inlineStr">
        <is>
          <t>HALLANDS LÄN</t>
        </is>
      </c>
      <c r="E3560" t="inlineStr">
        <is>
          <t>HYLTE</t>
        </is>
      </c>
      <c r="G3560" t="n">
        <v>3.1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1012-2024</t>
        </is>
      </c>
      <c r="B3561" s="1" t="n">
        <v>45301</v>
      </c>
      <c r="C3561" s="1" t="n">
        <v>45627</v>
      </c>
      <c r="D3561" t="inlineStr">
        <is>
          <t>HALLANDS LÄN</t>
        </is>
      </c>
      <c r="E3561" t="inlineStr">
        <is>
          <t>FALKENBERG</t>
        </is>
      </c>
      <c r="G3561" t="n">
        <v>2.2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1076-2024</t>
        </is>
      </c>
      <c r="B3562" s="1" t="n">
        <v>45302</v>
      </c>
      <c r="C3562" s="1" t="n">
        <v>45627</v>
      </c>
      <c r="D3562" t="inlineStr">
        <is>
          <t>HALLANDS LÄN</t>
        </is>
      </c>
      <c r="E3562" t="inlineStr">
        <is>
          <t>VARBERG</t>
        </is>
      </c>
      <c r="G3562" t="n">
        <v>2.2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1146-2024</t>
        </is>
      </c>
      <c r="B3563" s="1" t="n">
        <v>45302</v>
      </c>
      <c r="C3563" s="1" t="n">
        <v>45627</v>
      </c>
      <c r="D3563" t="inlineStr">
        <is>
          <t>HALLANDS LÄN</t>
        </is>
      </c>
      <c r="E3563" t="inlineStr">
        <is>
          <t>HALMSTAD</t>
        </is>
      </c>
      <c r="G3563" t="n">
        <v>4.5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1254-2024</t>
        </is>
      </c>
      <c r="B3564" s="1" t="n">
        <v>45302</v>
      </c>
      <c r="C3564" s="1" t="n">
        <v>45627</v>
      </c>
      <c r="D3564" t="inlineStr">
        <is>
          <t>HALLANDS LÄN</t>
        </is>
      </c>
      <c r="E3564" t="inlineStr">
        <is>
          <t>VARBERG</t>
        </is>
      </c>
      <c r="G3564" t="n">
        <v>5.1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1281-2024</t>
        </is>
      </c>
      <c r="B3565" s="1" t="n">
        <v>45303</v>
      </c>
      <c r="C3565" s="1" t="n">
        <v>45627</v>
      </c>
      <c r="D3565" t="inlineStr">
        <is>
          <t>HALLANDS LÄN</t>
        </is>
      </c>
      <c r="E3565" t="inlineStr">
        <is>
          <t>FALKENBERG</t>
        </is>
      </c>
      <c r="G3565" t="n">
        <v>0.9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1284-2024</t>
        </is>
      </c>
      <c r="B3566" s="1" t="n">
        <v>45303</v>
      </c>
      <c r="C3566" s="1" t="n">
        <v>45627</v>
      </c>
      <c r="D3566" t="inlineStr">
        <is>
          <t>HALLANDS LÄN</t>
        </is>
      </c>
      <c r="E3566" t="inlineStr">
        <is>
          <t>LAHOLM</t>
        </is>
      </c>
      <c r="G3566" t="n">
        <v>0.8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1480-2024</t>
        </is>
      </c>
      <c r="B3567" s="1" t="n">
        <v>45305</v>
      </c>
      <c r="C3567" s="1" t="n">
        <v>45627</v>
      </c>
      <c r="D3567" t="inlineStr">
        <is>
          <t>HALLANDS LÄN</t>
        </is>
      </c>
      <c r="E3567" t="inlineStr">
        <is>
          <t>FALKENBERG</t>
        </is>
      </c>
      <c r="G3567" t="n">
        <v>0.5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1610-2024</t>
        </is>
      </c>
      <c r="B3568" s="1" t="n">
        <v>45306</v>
      </c>
      <c r="C3568" s="1" t="n">
        <v>45627</v>
      </c>
      <c r="D3568" t="inlineStr">
        <is>
          <t>HALLANDS LÄN</t>
        </is>
      </c>
      <c r="E3568" t="inlineStr">
        <is>
          <t>HALMSTAD</t>
        </is>
      </c>
      <c r="G3568" t="n">
        <v>0.8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1646-2024</t>
        </is>
      </c>
      <c r="B3569" s="1" t="n">
        <v>45306</v>
      </c>
      <c r="C3569" s="1" t="n">
        <v>45627</v>
      </c>
      <c r="D3569" t="inlineStr">
        <is>
          <t>HALLANDS LÄN</t>
        </is>
      </c>
      <c r="E3569" t="inlineStr">
        <is>
          <t>HALMSTAD</t>
        </is>
      </c>
      <c r="G3569" t="n">
        <v>1.5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1599-2024</t>
        </is>
      </c>
      <c r="B3570" s="1" t="n">
        <v>45306</v>
      </c>
      <c r="C3570" s="1" t="n">
        <v>45627</v>
      </c>
      <c r="D3570" t="inlineStr">
        <is>
          <t>HALLANDS LÄN</t>
        </is>
      </c>
      <c r="E3570" t="inlineStr">
        <is>
          <t>HALMSTAD</t>
        </is>
      </c>
      <c r="G3570" t="n">
        <v>1.9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1612-2024</t>
        </is>
      </c>
      <c r="B3571" s="1" t="n">
        <v>45306</v>
      </c>
      <c r="C3571" s="1" t="n">
        <v>45627</v>
      </c>
      <c r="D3571" t="inlineStr">
        <is>
          <t>HALLANDS LÄN</t>
        </is>
      </c>
      <c r="E3571" t="inlineStr">
        <is>
          <t>HALMSTAD</t>
        </is>
      </c>
      <c r="G3571" t="n">
        <v>1.4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1644-2024</t>
        </is>
      </c>
      <c r="B3572" s="1" t="n">
        <v>45306</v>
      </c>
      <c r="C3572" s="1" t="n">
        <v>45627</v>
      </c>
      <c r="D3572" t="inlineStr">
        <is>
          <t>HALLANDS LÄN</t>
        </is>
      </c>
      <c r="E3572" t="inlineStr">
        <is>
          <t>HALMSTAD</t>
        </is>
      </c>
      <c r="G3572" t="n">
        <v>2.3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1772-2024</t>
        </is>
      </c>
      <c r="B3573" s="1" t="n">
        <v>45307</v>
      </c>
      <c r="C3573" s="1" t="n">
        <v>45627</v>
      </c>
      <c r="D3573" t="inlineStr">
        <is>
          <t>HALLANDS LÄN</t>
        </is>
      </c>
      <c r="E3573" t="inlineStr">
        <is>
          <t>HYLTE</t>
        </is>
      </c>
      <c r="G3573" t="n">
        <v>0.9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1843-2024</t>
        </is>
      </c>
      <c r="B3574" s="1" t="n">
        <v>45307</v>
      </c>
      <c r="C3574" s="1" t="n">
        <v>45627</v>
      </c>
      <c r="D3574" t="inlineStr">
        <is>
          <t>HALLANDS LÄN</t>
        </is>
      </c>
      <c r="E3574" t="inlineStr">
        <is>
          <t>HALMSTAD</t>
        </is>
      </c>
      <c r="G3574" t="n">
        <v>2.3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1693-2024</t>
        </is>
      </c>
      <c r="B3575" s="1" t="n">
        <v>45307</v>
      </c>
      <c r="C3575" s="1" t="n">
        <v>45627</v>
      </c>
      <c r="D3575" t="inlineStr">
        <is>
          <t>HALLANDS LÄN</t>
        </is>
      </c>
      <c r="E3575" t="inlineStr">
        <is>
          <t>HYLTE</t>
        </is>
      </c>
      <c r="G3575" t="n">
        <v>0.8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1729-2024</t>
        </is>
      </c>
      <c r="B3576" s="1" t="n">
        <v>45307</v>
      </c>
      <c r="C3576" s="1" t="n">
        <v>45627</v>
      </c>
      <c r="D3576" t="inlineStr">
        <is>
          <t>HALLANDS LÄN</t>
        </is>
      </c>
      <c r="E3576" t="inlineStr">
        <is>
          <t>FALKENBERG</t>
        </is>
      </c>
      <c r="G3576" t="n">
        <v>2.2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2013-2024</t>
        </is>
      </c>
      <c r="B3577" s="1" t="n">
        <v>45308</v>
      </c>
      <c r="C3577" s="1" t="n">
        <v>45627</v>
      </c>
      <c r="D3577" t="inlineStr">
        <is>
          <t>HALLANDS LÄN</t>
        </is>
      </c>
      <c r="E3577" t="inlineStr">
        <is>
          <t>KUNGSBACKA</t>
        </is>
      </c>
      <c r="G3577" t="n">
        <v>2.7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1991-2024</t>
        </is>
      </c>
      <c r="B3578" s="1" t="n">
        <v>45308</v>
      </c>
      <c r="C3578" s="1" t="n">
        <v>45627</v>
      </c>
      <c r="D3578" t="inlineStr">
        <is>
          <t>HALLANDS LÄN</t>
        </is>
      </c>
      <c r="E3578" t="inlineStr">
        <is>
          <t>LAHOLM</t>
        </is>
      </c>
      <c r="G3578" t="n">
        <v>2.7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2012-2024</t>
        </is>
      </c>
      <c r="B3579" s="1" t="n">
        <v>45308</v>
      </c>
      <c r="C3579" s="1" t="n">
        <v>45627</v>
      </c>
      <c r="D3579" t="inlineStr">
        <is>
          <t>HALLANDS LÄN</t>
        </is>
      </c>
      <c r="E3579" t="inlineStr">
        <is>
          <t>KUNGSBACKA</t>
        </is>
      </c>
      <c r="G3579" t="n">
        <v>1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2088-2024</t>
        </is>
      </c>
      <c r="B3580" s="1" t="n">
        <v>45309</v>
      </c>
      <c r="C3580" s="1" t="n">
        <v>45627</v>
      </c>
      <c r="D3580" t="inlineStr">
        <is>
          <t>HALLANDS LÄN</t>
        </is>
      </c>
      <c r="E3580" t="inlineStr">
        <is>
          <t>HYLTE</t>
        </is>
      </c>
      <c r="G3580" t="n">
        <v>8.1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2094-2024</t>
        </is>
      </c>
      <c r="B3581" s="1" t="n">
        <v>45309</v>
      </c>
      <c r="C3581" s="1" t="n">
        <v>45627</v>
      </c>
      <c r="D3581" t="inlineStr">
        <is>
          <t>HALLANDS LÄN</t>
        </is>
      </c>
      <c r="E3581" t="inlineStr">
        <is>
          <t>HYLTE</t>
        </is>
      </c>
      <c r="G3581" t="n">
        <v>2.7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2394-2024</t>
        </is>
      </c>
      <c r="B3582" s="1" t="n">
        <v>45310</v>
      </c>
      <c r="C3582" s="1" t="n">
        <v>45627</v>
      </c>
      <c r="D3582" t="inlineStr">
        <is>
          <t>HALLANDS LÄN</t>
        </is>
      </c>
      <c r="E3582" t="inlineStr">
        <is>
          <t>HYLTE</t>
        </is>
      </c>
      <c r="G3582" t="n">
        <v>0.5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2407-2024</t>
        </is>
      </c>
      <c r="B3583" s="1" t="n">
        <v>45310</v>
      </c>
      <c r="C3583" s="1" t="n">
        <v>45627</v>
      </c>
      <c r="D3583" t="inlineStr">
        <is>
          <t>HALLANDS LÄN</t>
        </is>
      </c>
      <c r="E3583" t="inlineStr">
        <is>
          <t>VARBERG</t>
        </is>
      </c>
      <c r="G3583" t="n">
        <v>8.5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2438-2024</t>
        </is>
      </c>
      <c r="B3584" s="1" t="n">
        <v>45311</v>
      </c>
      <c r="C3584" s="1" t="n">
        <v>45627</v>
      </c>
      <c r="D3584" t="inlineStr">
        <is>
          <t>HALLANDS LÄN</t>
        </is>
      </c>
      <c r="E3584" t="inlineStr">
        <is>
          <t>HALMSTAD</t>
        </is>
      </c>
      <c r="G3584" t="n">
        <v>2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2464-2024</t>
        </is>
      </c>
      <c r="B3585" s="1" t="n">
        <v>45313</v>
      </c>
      <c r="C3585" s="1" t="n">
        <v>45627</v>
      </c>
      <c r="D3585" t="inlineStr">
        <is>
          <t>HALLANDS LÄN</t>
        </is>
      </c>
      <c r="E3585" t="inlineStr">
        <is>
          <t>VARBERG</t>
        </is>
      </c>
      <c r="G3585" t="n">
        <v>0.9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2532-2024</t>
        </is>
      </c>
      <c r="B3586" s="1" t="n">
        <v>45313</v>
      </c>
      <c r="C3586" s="1" t="n">
        <v>45627</v>
      </c>
      <c r="D3586" t="inlineStr">
        <is>
          <t>HALLANDS LÄN</t>
        </is>
      </c>
      <c r="E3586" t="inlineStr">
        <is>
          <t>VARBERG</t>
        </is>
      </c>
      <c r="G3586" t="n">
        <v>1.8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2709-2024</t>
        </is>
      </c>
      <c r="B3587" s="1" t="n">
        <v>45314</v>
      </c>
      <c r="C3587" s="1" t="n">
        <v>45627</v>
      </c>
      <c r="D3587" t="inlineStr">
        <is>
          <t>HALLANDS LÄN</t>
        </is>
      </c>
      <c r="E3587" t="inlineStr">
        <is>
          <t>HALMSTAD</t>
        </is>
      </c>
      <c r="G3587" t="n">
        <v>0.9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2702-2024</t>
        </is>
      </c>
      <c r="B3588" s="1" t="n">
        <v>45314</v>
      </c>
      <c r="C3588" s="1" t="n">
        <v>45627</v>
      </c>
      <c r="D3588" t="inlineStr">
        <is>
          <t>HALLANDS LÄN</t>
        </is>
      </c>
      <c r="E3588" t="inlineStr">
        <is>
          <t>LAHOLM</t>
        </is>
      </c>
      <c r="G3588" t="n">
        <v>1.3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2743-2024</t>
        </is>
      </c>
      <c r="B3589" s="1" t="n">
        <v>45314</v>
      </c>
      <c r="C3589" s="1" t="n">
        <v>45627</v>
      </c>
      <c r="D3589" t="inlineStr">
        <is>
          <t>HALLANDS LÄN</t>
        </is>
      </c>
      <c r="E3589" t="inlineStr">
        <is>
          <t>HYLTE</t>
        </is>
      </c>
      <c r="G3589" t="n">
        <v>1.7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2771-2024</t>
        </is>
      </c>
      <c r="B3590" s="1" t="n">
        <v>45314</v>
      </c>
      <c r="C3590" s="1" t="n">
        <v>45627</v>
      </c>
      <c r="D3590" t="inlineStr">
        <is>
          <t>HALLANDS LÄN</t>
        </is>
      </c>
      <c r="E3590" t="inlineStr">
        <is>
          <t>LAHOLM</t>
        </is>
      </c>
      <c r="G3590" t="n">
        <v>2.1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2687-2024</t>
        </is>
      </c>
      <c r="B3591" s="1" t="n">
        <v>45314</v>
      </c>
      <c r="C3591" s="1" t="n">
        <v>45627</v>
      </c>
      <c r="D3591" t="inlineStr">
        <is>
          <t>HALLANDS LÄN</t>
        </is>
      </c>
      <c r="E3591" t="inlineStr">
        <is>
          <t>LAHOLM</t>
        </is>
      </c>
      <c r="G3591" t="n">
        <v>6.3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2700-2024</t>
        </is>
      </c>
      <c r="B3592" s="1" t="n">
        <v>45314</v>
      </c>
      <c r="C3592" s="1" t="n">
        <v>45627</v>
      </c>
      <c r="D3592" t="inlineStr">
        <is>
          <t>HALLANDS LÄN</t>
        </is>
      </c>
      <c r="E3592" t="inlineStr">
        <is>
          <t>LAHOLM</t>
        </is>
      </c>
      <c r="G3592" t="n">
        <v>5.6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2704-2024</t>
        </is>
      </c>
      <c r="B3593" s="1" t="n">
        <v>45314</v>
      </c>
      <c r="C3593" s="1" t="n">
        <v>45627</v>
      </c>
      <c r="D3593" t="inlineStr">
        <is>
          <t>HALLANDS LÄN</t>
        </is>
      </c>
      <c r="E3593" t="inlineStr">
        <is>
          <t>LAHOLM</t>
        </is>
      </c>
      <c r="G3593" t="n">
        <v>1.9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2789-2024</t>
        </is>
      </c>
      <c r="B3594" s="1" t="n">
        <v>45314</v>
      </c>
      <c r="C3594" s="1" t="n">
        <v>45627</v>
      </c>
      <c r="D3594" t="inlineStr">
        <is>
          <t>HALLANDS LÄN</t>
        </is>
      </c>
      <c r="E3594" t="inlineStr">
        <is>
          <t>HALMSTAD</t>
        </is>
      </c>
      <c r="G3594" t="n">
        <v>0.7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2803-2024</t>
        </is>
      </c>
      <c r="B3595" s="1" t="n">
        <v>45314</v>
      </c>
      <c r="C3595" s="1" t="n">
        <v>45627</v>
      </c>
      <c r="D3595" t="inlineStr">
        <is>
          <t>HALLANDS LÄN</t>
        </is>
      </c>
      <c r="E3595" t="inlineStr">
        <is>
          <t>HYLTE</t>
        </is>
      </c>
      <c r="G3595" t="n">
        <v>3.1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2817-2024</t>
        </is>
      </c>
      <c r="B3596" s="1" t="n">
        <v>45314</v>
      </c>
      <c r="C3596" s="1" t="n">
        <v>45627</v>
      </c>
      <c r="D3596" t="inlineStr">
        <is>
          <t>HALLANDS LÄN</t>
        </is>
      </c>
      <c r="E3596" t="inlineStr">
        <is>
          <t>KUNGSBACKA</t>
        </is>
      </c>
      <c r="G3596" t="n">
        <v>1.1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2892-2024</t>
        </is>
      </c>
      <c r="B3597" s="1" t="n">
        <v>45315</v>
      </c>
      <c r="C3597" s="1" t="n">
        <v>45627</v>
      </c>
      <c r="D3597" t="inlineStr">
        <is>
          <t>HALLANDS LÄN</t>
        </is>
      </c>
      <c r="E3597" t="inlineStr">
        <is>
          <t>VARBERG</t>
        </is>
      </c>
      <c r="G3597" t="n">
        <v>1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2839-2024</t>
        </is>
      </c>
      <c r="B3598" s="1" t="n">
        <v>45315</v>
      </c>
      <c r="C3598" s="1" t="n">
        <v>45627</v>
      </c>
      <c r="D3598" t="inlineStr">
        <is>
          <t>HALLANDS LÄN</t>
        </is>
      </c>
      <c r="E3598" t="inlineStr">
        <is>
          <t>HYLTE</t>
        </is>
      </c>
      <c r="G3598" t="n">
        <v>1.2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2997-2024</t>
        </is>
      </c>
      <c r="B3599" s="1" t="n">
        <v>45315</v>
      </c>
      <c r="C3599" s="1" t="n">
        <v>45627</v>
      </c>
      <c r="D3599" t="inlineStr">
        <is>
          <t>HALLANDS LÄN</t>
        </is>
      </c>
      <c r="E3599" t="inlineStr">
        <is>
          <t>VARBERG</t>
        </is>
      </c>
      <c r="G3599" t="n">
        <v>3.4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2990-2024</t>
        </is>
      </c>
      <c r="B3600" s="1" t="n">
        <v>45315</v>
      </c>
      <c r="C3600" s="1" t="n">
        <v>45627</v>
      </c>
      <c r="D3600" t="inlineStr">
        <is>
          <t>HALLANDS LÄN</t>
        </is>
      </c>
      <c r="E3600" t="inlineStr">
        <is>
          <t>KUNGSBACKA</t>
        </is>
      </c>
      <c r="G3600" t="n">
        <v>3.2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2991-2024</t>
        </is>
      </c>
      <c r="B3601" s="1" t="n">
        <v>45315</v>
      </c>
      <c r="C3601" s="1" t="n">
        <v>45627</v>
      </c>
      <c r="D3601" t="inlineStr">
        <is>
          <t>HALLANDS LÄN</t>
        </is>
      </c>
      <c r="E3601" t="inlineStr">
        <is>
          <t>HALMSTAD</t>
        </is>
      </c>
      <c r="F3601" t="inlineStr">
        <is>
          <t>Bergvik skog väst AB</t>
        </is>
      </c>
      <c r="G3601" t="n">
        <v>1.7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3055-2024</t>
        </is>
      </c>
      <c r="B3602" s="1" t="n">
        <v>45316</v>
      </c>
      <c r="C3602" s="1" t="n">
        <v>45627</v>
      </c>
      <c r="D3602" t="inlineStr">
        <is>
          <t>HALLANDS LÄN</t>
        </is>
      </c>
      <c r="E3602" t="inlineStr">
        <is>
          <t>VARBERG</t>
        </is>
      </c>
      <c r="G3602" t="n">
        <v>5.5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3037-2024</t>
        </is>
      </c>
      <c r="B3603" s="1" t="n">
        <v>45316</v>
      </c>
      <c r="C3603" s="1" t="n">
        <v>45627</v>
      </c>
      <c r="D3603" t="inlineStr">
        <is>
          <t>HALLANDS LÄN</t>
        </is>
      </c>
      <c r="E3603" t="inlineStr">
        <is>
          <t>HYLTE</t>
        </is>
      </c>
      <c r="F3603" t="inlineStr">
        <is>
          <t>Bergvik skog väst AB</t>
        </is>
      </c>
      <c r="G3603" t="n">
        <v>4.3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3122-2024</t>
        </is>
      </c>
      <c r="B3604" s="1" t="n">
        <v>45316</v>
      </c>
      <c r="C3604" s="1" t="n">
        <v>45627</v>
      </c>
      <c r="D3604" t="inlineStr">
        <is>
          <t>HALLANDS LÄN</t>
        </is>
      </c>
      <c r="E3604" t="inlineStr">
        <is>
          <t>HYLTE</t>
        </is>
      </c>
      <c r="F3604" t="inlineStr">
        <is>
          <t>Bergvik skog väst AB</t>
        </is>
      </c>
      <c r="G3604" t="n">
        <v>3.7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3147-2024</t>
        </is>
      </c>
      <c r="B3605" s="1" t="n">
        <v>45316</v>
      </c>
      <c r="C3605" s="1" t="n">
        <v>45627</v>
      </c>
      <c r="D3605" t="inlineStr">
        <is>
          <t>HALLANDS LÄN</t>
        </is>
      </c>
      <c r="E3605" t="inlineStr">
        <is>
          <t>HALMSTAD</t>
        </is>
      </c>
      <c r="G3605" t="n">
        <v>1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3126-2024</t>
        </is>
      </c>
      <c r="B3606" s="1" t="n">
        <v>45316</v>
      </c>
      <c r="C3606" s="1" t="n">
        <v>45627</v>
      </c>
      <c r="D3606" t="inlineStr">
        <is>
          <t>HALLANDS LÄN</t>
        </is>
      </c>
      <c r="E3606" t="inlineStr">
        <is>
          <t>HYLTE</t>
        </is>
      </c>
      <c r="G3606" t="n">
        <v>1.1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3167-2024</t>
        </is>
      </c>
      <c r="B3607" s="1" t="n">
        <v>45316</v>
      </c>
      <c r="C3607" s="1" t="n">
        <v>45627</v>
      </c>
      <c r="D3607" t="inlineStr">
        <is>
          <t>HALLANDS LÄN</t>
        </is>
      </c>
      <c r="E3607" t="inlineStr">
        <is>
          <t>HALMSTAD</t>
        </is>
      </c>
      <c r="G3607" t="n">
        <v>2.2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3032-2024</t>
        </is>
      </c>
      <c r="B3608" s="1" t="n">
        <v>45316</v>
      </c>
      <c r="C3608" s="1" t="n">
        <v>45627</v>
      </c>
      <c r="D3608" t="inlineStr">
        <is>
          <t>HALLANDS LÄN</t>
        </is>
      </c>
      <c r="E3608" t="inlineStr">
        <is>
          <t>HALMSTAD</t>
        </is>
      </c>
      <c r="G3608" t="n">
        <v>3.3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3132-2024</t>
        </is>
      </c>
      <c r="B3609" s="1" t="n">
        <v>45316</v>
      </c>
      <c r="C3609" s="1" t="n">
        <v>45627</v>
      </c>
      <c r="D3609" t="inlineStr">
        <is>
          <t>HALLANDS LÄN</t>
        </is>
      </c>
      <c r="E3609" t="inlineStr">
        <is>
          <t>HYLTE</t>
        </is>
      </c>
      <c r="G3609" t="n">
        <v>1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3226-2024</t>
        </is>
      </c>
      <c r="B3610" s="1" t="n">
        <v>45316</v>
      </c>
      <c r="C3610" s="1" t="n">
        <v>45627</v>
      </c>
      <c r="D3610" t="inlineStr">
        <is>
          <t>HALLANDS LÄN</t>
        </is>
      </c>
      <c r="E3610" t="inlineStr">
        <is>
          <t>HALMSTAD</t>
        </is>
      </c>
      <c r="G3610" t="n">
        <v>0.9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3248-2024</t>
        </is>
      </c>
      <c r="B3611" s="1" t="n">
        <v>45317</v>
      </c>
      <c r="C3611" s="1" t="n">
        <v>45627</v>
      </c>
      <c r="D3611" t="inlineStr">
        <is>
          <t>HALLANDS LÄN</t>
        </is>
      </c>
      <c r="E3611" t="inlineStr">
        <is>
          <t>LAHOLM</t>
        </is>
      </c>
      <c r="G3611" t="n">
        <v>0.9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3464-2024</t>
        </is>
      </c>
      <c r="B3612" s="1" t="n">
        <v>45320</v>
      </c>
      <c r="C3612" s="1" t="n">
        <v>45627</v>
      </c>
      <c r="D3612" t="inlineStr">
        <is>
          <t>HALLANDS LÄN</t>
        </is>
      </c>
      <c r="E3612" t="inlineStr">
        <is>
          <t>LAHOLM</t>
        </is>
      </c>
      <c r="G3612" t="n">
        <v>1.6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3472-2024</t>
        </is>
      </c>
      <c r="B3613" s="1" t="n">
        <v>45320</v>
      </c>
      <c r="C3613" s="1" t="n">
        <v>45627</v>
      </c>
      <c r="D3613" t="inlineStr">
        <is>
          <t>HALLANDS LÄN</t>
        </is>
      </c>
      <c r="E3613" t="inlineStr">
        <is>
          <t>LAHOLM</t>
        </is>
      </c>
      <c r="G3613" t="n">
        <v>5.5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3460-2024</t>
        </is>
      </c>
      <c r="B3614" s="1" t="n">
        <v>45320</v>
      </c>
      <c r="C3614" s="1" t="n">
        <v>45627</v>
      </c>
      <c r="D3614" t="inlineStr">
        <is>
          <t>HALLANDS LÄN</t>
        </is>
      </c>
      <c r="E3614" t="inlineStr">
        <is>
          <t>LAHOLM</t>
        </is>
      </c>
      <c r="G3614" t="n">
        <v>3.7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3471-2024</t>
        </is>
      </c>
      <c r="B3615" s="1" t="n">
        <v>45320</v>
      </c>
      <c r="C3615" s="1" t="n">
        <v>45627</v>
      </c>
      <c r="D3615" t="inlineStr">
        <is>
          <t>HALLANDS LÄN</t>
        </is>
      </c>
      <c r="E3615" t="inlineStr">
        <is>
          <t>LAHOLM</t>
        </is>
      </c>
      <c r="G3615" t="n">
        <v>1.2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3495-2024</t>
        </is>
      </c>
      <c r="B3616" s="1" t="n">
        <v>45320</v>
      </c>
      <c r="C3616" s="1" t="n">
        <v>45627</v>
      </c>
      <c r="D3616" t="inlineStr">
        <is>
          <t>HALLANDS LÄN</t>
        </is>
      </c>
      <c r="E3616" t="inlineStr">
        <is>
          <t>LAHOLM</t>
        </is>
      </c>
      <c r="G3616" t="n">
        <v>3.4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3538-2024</t>
        </is>
      </c>
      <c r="B3617" s="1" t="n">
        <v>45320</v>
      </c>
      <c r="C3617" s="1" t="n">
        <v>45627</v>
      </c>
      <c r="D3617" t="inlineStr">
        <is>
          <t>HALLANDS LÄN</t>
        </is>
      </c>
      <c r="E3617" t="inlineStr">
        <is>
          <t>VARBERG</t>
        </is>
      </c>
      <c r="F3617" t="inlineStr">
        <is>
          <t>Övriga statliga verk och myndigheter</t>
        </is>
      </c>
      <c r="G3617" t="n">
        <v>7.7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3463-2024</t>
        </is>
      </c>
      <c r="B3618" s="1" t="n">
        <v>45320</v>
      </c>
      <c r="C3618" s="1" t="n">
        <v>45627</v>
      </c>
      <c r="D3618" t="inlineStr">
        <is>
          <t>HALLANDS LÄN</t>
        </is>
      </c>
      <c r="E3618" t="inlineStr">
        <is>
          <t>LAHOLM</t>
        </is>
      </c>
      <c r="G3618" t="n">
        <v>0.5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3469-2024</t>
        </is>
      </c>
      <c r="B3619" s="1" t="n">
        <v>45320</v>
      </c>
      <c r="C3619" s="1" t="n">
        <v>45627</v>
      </c>
      <c r="D3619" t="inlineStr">
        <is>
          <t>HALLANDS LÄN</t>
        </is>
      </c>
      <c r="E3619" t="inlineStr">
        <is>
          <t>LAHOLM</t>
        </is>
      </c>
      <c r="G3619" t="n">
        <v>0.4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3493-2024</t>
        </is>
      </c>
      <c r="B3620" s="1" t="n">
        <v>45320</v>
      </c>
      <c r="C3620" s="1" t="n">
        <v>45627</v>
      </c>
      <c r="D3620" t="inlineStr">
        <is>
          <t>HALLANDS LÄN</t>
        </is>
      </c>
      <c r="E3620" t="inlineStr">
        <is>
          <t>VARBERG</t>
        </is>
      </c>
      <c r="G3620" t="n">
        <v>1.8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3732-2024</t>
        </is>
      </c>
      <c r="B3621" s="1" t="n">
        <v>45321</v>
      </c>
      <c r="C3621" s="1" t="n">
        <v>45627</v>
      </c>
      <c r="D3621" t="inlineStr">
        <is>
          <t>HALLANDS LÄN</t>
        </is>
      </c>
      <c r="E3621" t="inlineStr">
        <is>
          <t>FALKENBERG</t>
        </is>
      </c>
      <c r="G3621" t="n">
        <v>8.5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3727-2024</t>
        </is>
      </c>
      <c r="B3622" s="1" t="n">
        <v>45321</v>
      </c>
      <c r="C3622" s="1" t="n">
        <v>45627</v>
      </c>
      <c r="D3622" t="inlineStr">
        <is>
          <t>HALLANDS LÄN</t>
        </is>
      </c>
      <c r="E3622" t="inlineStr">
        <is>
          <t>FALKENBERG</t>
        </is>
      </c>
      <c r="G3622" t="n">
        <v>1.1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3646-2024</t>
        </is>
      </c>
      <c r="B3623" s="1" t="n">
        <v>45321</v>
      </c>
      <c r="C3623" s="1" t="n">
        <v>45627</v>
      </c>
      <c r="D3623" t="inlineStr">
        <is>
          <t>HALLANDS LÄN</t>
        </is>
      </c>
      <c r="E3623" t="inlineStr">
        <is>
          <t>FALKENBERG</t>
        </is>
      </c>
      <c r="G3623" t="n">
        <v>4.4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3691-2024</t>
        </is>
      </c>
      <c r="B3624" s="1" t="n">
        <v>45321</v>
      </c>
      <c r="C3624" s="1" t="n">
        <v>45627</v>
      </c>
      <c r="D3624" t="inlineStr">
        <is>
          <t>HALLANDS LÄN</t>
        </is>
      </c>
      <c r="E3624" t="inlineStr">
        <is>
          <t>LAHOLM</t>
        </is>
      </c>
      <c r="G3624" t="n">
        <v>6.6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3758-2024</t>
        </is>
      </c>
      <c r="B3625" s="1" t="n">
        <v>45321</v>
      </c>
      <c r="C3625" s="1" t="n">
        <v>45627</v>
      </c>
      <c r="D3625" t="inlineStr">
        <is>
          <t>HALLANDS LÄN</t>
        </is>
      </c>
      <c r="E3625" t="inlineStr">
        <is>
          <t>HALMSTAD</t>
        </is>
      </c>
      <c r="G3625" t="n">
        <v>1.7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3718-2024</t>
        </is>
      </c>
      <c r="B3626" s="1" t="n">
        <v>45321</v>
      </c>
      <c r="C3626" s="1" t="n">
        <v>45627</v>
      </c>
      <c r="D3626" t="inlineStr">
        <is>
          <t>HALLANDS LÄN</t>
        </is>
      </c>
      <c r="E3626" t="inlineStr">
        <is>
          <t>FALKENBERG</t>
        </is>
      </c>
      <c r="G3626" t="n">
        <v>7.4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3803-2024</t>
        </is>
      </c>
      <c r="B3627" s="1" t="n">
        <v>45321</v>
      </c>
      <c r="C3627" s="1" t="n">
        <v>45627</v>
      </c>
      <c r="D3627" t="inlineStr">
        <is>
          <t>HALLANDS LÄN</t>
        </is>
      </c>
      <c r="E3627" t="inlineStr">
        <is>
          <t>HALMSTAD</t>
        </is>
      </c>
      <c r="G3627" t="n">
        <v>8.6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3801-2024</t>
        </is>
      </c>
      <c r="B3628" s="1" t="n">
        <v>45321</v>
      </c>
      <c r="C3628" s="1" t="n">
        <v>45627</v>
      </c>
      <c r="D3628" t="inlineStr">
        <is>
          <t>HALLANDS LÄN</t>
        </is>
      </c>
      <c r="E3628" t="inlineStr">
        <is>
          <t>HALMSTAD</t>
        </is>
      </c>
      <c r="G3628" t="n">
        <v>11.4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3860-2024</t>
        </is>
      </c>
      <c r="B3629" s="1" t="n">
        <v>45322</v>
      </c>
      <c r="C3629" s="1" t="n">
        <v>45627</v>
      </c>
      <c r="D3629" t="inlineStr">
        <is>
          <t>HALLANDS LÄN</t>
        </is>
      </c>
      <c r="E3629" t="inlineStr">
        <is>
          <t>LAHOLM</t>
        </is>
      </c>
      <c r="G3629" t="n">
        <v>2.4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4002-2024</t>
        </is>
      </c>
      <c r="B3630" s="1" t="n">
        <v>45323</v>
      </c>
      <c r="C3630" s="1" t="n">
        <v>45627</v>
      </c>
      <c r="D3630" t="inlineStr">
        <is>
          <t>HALLANDS LÄN</t>
        </is>
      </c>
      <c r="E3630" t="inlineStr">
        <is>
          <t>HALMSTAD</t>
        </is>
      </c>
      <c r="G3630" t="n">
        <v>3.9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4038-2024</t>
        </is>
      </c>
      <c r="B3631" s="1" t="n">
        <v>45323</v>
      </c>
      <c r="C3631" s="1" t="n">
        <v>45627</v>
      </c>
      <c r="D3631" t="inlineStr">
        <is>
          <t>HALLANDS LÄN</t>
        </is>
      </c>
      <c r="E3631" t="inlineStr">
        <is>
          <t>FALKENBERG</t>
        </is>
      </c>
      <c r="G3631" t="n">
        <v>2.3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4062-2024</t>
        </is>
      </c>
      <c r="B3632" s="1" t="n">
        <v>45323</v>
      </c>
      <c r="C3632" s="1" t="n">
        <v>45627</v>
      </c>
      <c r="D3632" t="inlineStr">
        <is>
          <t>HALLANDS LÄN</t>
        </is>
      </c>
      <c r="E3632" t="inlineStr">
        <is>
          <t>FALKENBERG</t>
        </is>
      </c>
      <c r="G3632" t="n">
        <v>0.7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4005-2024</t>
        </is>
      </c>
      <c r="B3633" s="1" t="n">
        <v>45323</v>
      </c>
      <c r="C3633" s="1" t="n">
        <v>45627</v>
      </c>
      <c r="D3633" t="inlineStr">
        <is>
          <t>HALLANDS LÄN</t>
        </is>
      </c>
      <c r="E3633" t="inlineStr">
        <is>
          <t>HALMSTAD</t>
        </is>
      </c>
      <c r="G3633" t="n">
        <v>0.5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4073-2024</t>
        </is>
      </c>
      <c r="B3634" s="1" t="n">
        <v>45323</v>
      </c>
      <c r="C3634" s="1" t="n">
        <v>45627</v>
      </c>
      <c r="D3634" t="inlineStr">
        <is>
          <t>HALLANDS LÄN</t>
        </is>
      </c>
      <c r="E3634" t="inlineStr">
        <is>
          <t>HALMSTAD</t>
        </is>
      </c>
      <c r="G3634" t="n">
        <v>3.9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4082-2024</t>
        </is>
      </c>
      <c r="B3635" s="1" t="n">
        <v>45323</v>
      </c>
      <c r="C3635" s="1" t="n">
        <v>45627</v>
      </c>
      <c r="D3635" t="inlineStr">
        <is>
          <t>HALLANDS LÄN</t>
        </is>
      </c>
      <c r="E3635" t="inlineStr">
        <is>
          <t>VARBERG</t>
        </is>
      </c>
      <c r="G3635" t="n">
        <v>1.6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4102-2024</t>
        </is>
      </c>
      <c r="B3636" s="1" t="n">
        <v>45323</v>
      </c>
      <c r="C3636" s="1" t="n">
        <v>45627</v>
      </c>
      <c r="D3636" t="inlineStr">
        <is>
          <t>HALLANDS LÄN</t>
        </is>
      </c>
      <c r="E3636" t="inlineStr">
        <is>
          <t>LAHOLM</t>
        </is>
      </c>
      <c r="G3636" t="n">
        <v>0.7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4003-2024</t>
        </is>
      </c>
      <c r="B3637" s="1" t="n">
        <v>45323</v>
      </c>
      <c r="C3637" s="1" t="n">
        <v>45627</v>
      </c>
      <c r="D3637" t="inlineStr">
        <is>
          <t>HALLANDS LÄN</t>
        </is>
      </c>
      <c r="E3637" t="inlineStr">
        <is>
          <t>FALKENBERG</t>
        </is>
      </c>
      <c r="G3637" t="n">
        <v>3.8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4059-2024</t>
        </is>
      </c>
      <c r="B3638" s="1" t="n">
        <v>45323</v>
      </c>
      <c r="C3638" s="1" t="n">
        <v>45627</v>
      </c>
      <c r="D3638" t="inlineStr">
        <is>
          <t>HALLANDS LÄN</t>
        </is>
      </c>
      <c r="E3638" t="inlineStr">
        <is>
          <t>FALKENBERG</t>
        </is>
      </c>
      <c r="G3638" t="n">
        <v>2.9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4144-2024</t>
        </is>
      </c>
      <c r="B3639" s="1" t="n">
        <v>45323</v>
      </c>
      <c r="C3639" s="1" t="n">
        <v>45627</v>
      </c>
      <c r="D3639" t="inlineStr">
        <is>
          <t>HALLANDS LÄN</t>
        </is>
      </c>
      <c r="E3639" t="inlineStr">
        <is>
          <t>KUNGSBACKA</t>
        </is>
      </c>
      <c r="G3639" t="n">
        <v>2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4145-2024</t>
        </is>
      </c>
      <c r="B3640" s="1" t="n">
        <v>45323</v>
      </c>
      <c r="C3640" s="1" t="n">
        <v>45627</v>
      </c>
      <c r="D3640" t="inlineStr">
        <is>
          <t>HALLANDS LÄN</t>
        </is>
      </c>
      <c r="E3640" t="inlineStr">
        <is>
          <t>KUNGSBACKA</t>
        </is>
      </c>
      <c r="G3640" t="n">
        <v>2.2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4326-2024</t>
        </is>
      </c>
      <c r="B3641" s="1" t="n">
        <v>45324</v>
      </c>
      <c r="C3641" s="1" t="n">
        <v>45627</v>
      </c>
      <c r="D3641" t="inlineStr">
        <is>
          <t>HALLANDS LÄN</t>
        </is>
      </c>
      <c r="E3641" t="inlineStr">
        <is>
          <t>FALKENBERG</t>
        </is>
      </c>
      <c r="G3641" t="n">
        <v>0.6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4335-2024</t>
        </is>
      </c>
      <c r="B3642" s="1" t="n">
        <v>45324</v>
      </c>
      <c r="C3642" s="1" t="n">
        <v>45627</v>
      </c>
      <c r="D3642" t="inlineStr">
        <is>
          <t>HALLANDS LÄN</t>
        </is>
      </c>
      <c r="E3642" t="inlineStr">
        <is>
          <t>KUNGSBACKA</t>
        </is>
      </c>
      <c r="G3642" t="n">
        <v>4.1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4373-2024</t>
        </is>
      </c>
      <c r="B3643" s="1" t="n">
        <v>45326</v>
      </c>
      <c r="C3643" s="1" t="n">
        <v>45627</v>
      </c>
      <c r="D3643" t="inlineStr">
        <is>
          <t>HALLANDS LÄN</t>
        </is>
      </c>
      <c r="E3643" t="inlineStr">
        <is>
          <t>FALKENBERG</t>
        </is>
      </c>
      <c r="G3643" t="n">
        <v>2.7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4366-2024</t>
        </is>
      </c>
      <c r="B3644" s="1" t="n">
        <v>45326</v>
      </c>
      <c r="C3644" s="1" t="n">
        <v>45627</v>
      </c>
      <c r="D3644" t="inlineStr">
        <is>
          <t>HALLANDS LÄN</t>
        </is>
      </c>
      <c r="E3644" t="inlineStr">
        <is>
          <t>VARBERG</t>
        </is>
      </c>
      <c r="G3644" t="n">
        <v>4.8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4381-2024</t>
        </is>
      </c>
      <c r="B3645" s="1" t="n">
        <v>45327</v>
      </c>
      <c r="C3645" s="1" t="n">
        <v>45627</v>
      </c>
      <c r="D3645" t="inlineStr">
        <is>
          <t>HALLANDS LÄN</t>
        </is>
      </c>
      <c r="E3645" t="inlineStr">
        <is>
          <t>LAHOLM</t>
        </is>
      </c>
      <c r="G3645" t="n">
        <v>0.6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4462-2024</t>
        </is>
      </c>
      <c r="B3646" s="1" t="n">
        <v>45327</v>
      </c>
      <c r="C3646" s="1" t="n">
        <v>45627</v>
      </c>
      <c r="D3646" t="inlineStr">
        <is>
          <t>HALLANDS LÄN</t>
        </is>
      </c>
      <c r="E3646" t="inlineStr">
        <is>
          <t>FALKENBERG</t>
        </is>
      </c>
      <c r="G3646" t="n">
        <v>0.8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4523-2024</t>
        </is>
      </c>
      <c r="B3647" s="1" t="n">
        <v>45327</v>
      </c>
      <c r="C3647" s="1" t="n">
        <v>45627</v>
      </c>
      <c r="D3647" t="inlineStr">
        <is>
          <t>HALLANDS LÄN</t>
        </is>
      </c>
      <c r="E3647" t="inlineStr">
        <is>
          <t>HYLTE</t>
        </is>
      </c>
      <c r="G3647" t="n">
        <v>2.5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4527-2024</t>
        </is>
      </c>
      <c r="B3648" s="1" t="n">
        <v>45327</v>
      </c>
      <c r="C3648" s="1" t="n">
        <v>45627</v>
      </c>
      <c r="D3648" t="inlineStr">
        <is>
          <t>HALLANDS LÄN</t>
        </is>
      </c>
      <c r="E3648" t="inlineStr">
        <is>
          <t>HYLTE</t>
        </is>
      </c>
      <c r="G3648" t="n">
        <v>0.4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4528-2024</t>
        </is>
      </c>
      <c r="B3649" s="1" t="n">
        <v>45327</v>
      </c>
      <c r="C3649" s="1" t="n">
        <v>45627</v>
      </c>
      <c r="D3649" t="inlineStr">
        <is>
          <t>HALLANDS LÄN</t>
        </is>
      </c>
      <c r="E3649" t="inlineStr">
        <is>
          <t>HYLTE</t>
        </is>
      </c>
      <c r="G3649" t="n">
        <v>2.9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4490-2024</t>
        </is>
      </c>
      <c r="B3650" s="1" t="n">
        <v>45327</v>
      </c>
      <c r="C3650" s="1" t="n">
        <v>45627</v>
      </c>
      <c r="D3650" t="inlineStr">
        <is>
          <t>HALLANDS LÄN</t>
        </is>
      </c>
      <c r="E3650" t="inlineStr">
        <is>
          <t>LAHOLM</t>
        </is>
      </c>
      <c r="G3650" t="n">
        <v>0.6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4494-2024</t>
        </is>
      </c>
      <c r="B3651" s="1" t="n">
        <v>45327</v>
      </c>
      <c r="C3651" s="1" t="n">
        <v>45627</v>
      </c>
      <c r="D3651" t="inlineStr">
        <is>
          <t>HALLANDS LÄN</t>
        </is>
      </c>
      <c r="E3651" t="inlineStr">
        <is>
          <t>LAHOLM</t>
        </is>
      </c>
      <c r="G3651" t="n">
        <v>0.8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4608-2024</t>
        </is>
      </c>
      <c r="B3652" s="1" t="n">
        <v>45328</v>
      </c>
      <c r="C3652" s="1" t="n">
        <v>45627</v>
      </c>
      <c r="D3652" t="inlineStr">
        <is>
          <t>HALLANDS LÄN</t>
        </is>
      </c>
      <c r="E3652" t="inlineStr">
        <is>
          <t>FALKENBERG</t>
        </is>
      </c>
      <c r="F3652" t="inlineStr">
        <is>
          <t>Kyrkan</t>
        </is>
      </c>
      <c r="G3652" t="n">
        <v>1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4609-2024</t>
        </is>
      </c>
      <c r="B3653" s="1" t="n">
        <v>45328</v>
      </c>
      <c r="C3653" s="1" t="n">
        <v>45627</v>
      </c>
      <c r="D3653" t="inlineStr">
        <is>
          <t>HALLANDS LÄN</t>
        </is>
      </c>
      <c r="E3653" t="inlineStr">
        <is>
          <t>FALKENBERG</t>
        </is>
      </c>
      <c r="F3653" t="inlineStr">
        <is>
          <t>Kyrkan</t>
        </is>
      </c>
      <c r="G3653" t="n">
        <v>0.4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4613-2024</t>
        </is>
      </c>
      <c r="B3654" s="1" t="n">
        <v>45328</v>
      </c>
      <c r="C3654" s="1" t="n">
        <v>45627</v>
      </c>
      <c r="D3654" t="inlineStr">
        <is>
          <t>HALLANDS LÄN</t>
        </is>
      </c>
      <c r="E3654" t="inlineStr">
        <is>
          <t>FALKENBERG</t>
        </is>
      </c>
      <c r="F3654" t="inlineStr">
        <is>
          <t>Kyrkan</t>
        </is>
      </c>
      <c r="G3654" t="n">
        <v>1.1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4721-2024</t>
        </is>
      </c>
      <c r="B3655" s="1" t="n">
        <v>45328</v>
      </c>
      <c r="C3655" s="1" t="n">
        <v>45627</v>
      </c>
      <c r="D3655" t="inlineStr">
        <is>
          <t>HALLANDS LÄN</t>
        </is>
      </c>
      <c r="E3655" t="inlineStr">
        <is>
          <t>HYLTE</t>
        </is>
      </c>
      <c r="G3655" t="n">
        <v>4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4598-2024</t>
        </is>
      </c>
      <c r="B3656" s="1" t="n">
        <v>45328</v>
      </c>
      <c r="C3656" s="1" t="n">
        <v>45627</v>
      </c>
      <c r="D3656" t="inlineStr">
        <is>
          <t>HALLANDS LÄN</t>
        </is>
      </c>
      <c r="E3656" t="inlineStr">
        <is>
          <t>VARBERG</t>
        </is>
      </c>
      <c r="G3656" t="n">
        <v>6.7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4828-2024</t>
        </is>
      </c>
      <c r="B3657" s="1" t="n">
        <v>45329</v>
      </c>
      <c r="C3657" s="1" t="n">
        <v>45627</v>
      </c>
      <c r="D3657" t="inlineStr">
        <is>
          <t>HALLANDS LÄN</t>
        </is>
      </c>
      <c r="E3657" t="inlineStr">
        <is>
          <t>VARBERG</t>
        </is>
      </c>
      <c r="G3657" t="n">
        <v>0.8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4849-2024</t>
        </is>
      </c>
      <c r="B3658" s="1" t="n">
        <v>45329</v>
      </c>
      <c r="C3658" s="1" t="n">
        <v>45627</v>
      </c>
      <c r="D3658" t="inlineStr">
        <is>
          <t>HALLANDS LÄN</t>
        </is>
      </c>
      <c r="E3658" t="inlineStr">
        <is>
          <t>LAHOLM</t>
        </is>
      </c>
      <c r="G3658" t="n">
        <v>2.4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4869-2024</t>
        </is>
      </c>
      <c r="B3659" s="1" t="n">
        <v>45329</v>
      </c>
      <c r="C3659" s="1" t="n">
        <v>45627</v>
      </c>
      <c r="D3659" t="inlineStr">
        <is>
          <t>HALLANDS LÄN</t>
        </is>
      </c>
      <c r="E3659" t="inlineStr">
        <is>
          <t>HALMSTAD</t>
        </is>
      </c>
      <c r="G3659" t="n">
        <v>3.2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4960-2024</t>
        </is>
      </c>
      <c r="B3660" s="1" t="n">
        <v>45329</v>
      </c>
      <c r="C3660" s="1" t="n">
        <v>45627</v>
      </c>
      <c r="D3660" t="inlineStr">
        <is>
          <t>HALLANDS LÄN</t>
        </is>
      </c>
      <c r="E3660" t="inlineStr">
        <is>
          <t>KUNGSBACKA</t>
        </is>
      </c>
      <c r="G3660" t="n">
        <v>2.6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4847-2024</t>
        </is>
      </c>
      <c r="B3661" s="1" t="n">
        <v>45329</v>
      </c>
      <c r="C3661" s="1" t="n">
        <v>45627</v>
      </c>
      <c r="D3661" t="inlineStr">
        <is>
          <t>HALLANDS LÄN</t>
        </is>
      </c>
      <c r="E3661" t="inlineStr">
        <is>
          <t>LAHOLM</t>
        </is>
      </c>
      <c r="G3661" t="n">
        <v>3.4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4892-2024</t>
        </is>
      </c>
      <c r="B3662" s="1" t="n">
        <v>45329</v>
      </c>
      <c r="C3662" s="1" t="n">
        <v>45627</v>
      </c>
      <c r="D3662" t="inlineStr">
        <is>
          <t>HALLANDS LÄN</t>
        </is>
      </c>
      <c r="E3662" t="inlineStr">
        <is>
          <t>FALKENBERG</t>
        </is>
      </c>
      <c r="G3662" t="n">
        <v>2.7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4903-2024</t>
        </is>
      </c>
      <c r="B3663" s="1" t="n">
        <v>45329</v>
      </c>
      <c r="C3663" s="1" t="n">
        <v>45627</v>
      </c>
      <c r="D3663" t="inlineStr">
        <is>
          <t>HALLANDS LÄN</t>
        </is>
      </c>
      <c r="E3663" t="inlineStr">
        <is>
          <t>HALMSTAD</t>
        </is>
      </c>
      <c r="G3663" t="n">
        <v>5.5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4919-2024</t>
        </is>
      </c>
      <c r="B3664" s="1" t="n">
        <v>45329</v>
      </c>
      <c r="C3664" s="1" t="n">
        <v>45627</v>
      </c>
      <c r="D3664" t="inlineStr">
        <is>
          <t>HALLANDS LÄN</t>
        </is>
      </c>
      <c r="E3664" t="inlineStr">
        <is>
          <t>KUNGSBACKA</t>
        </is>
      </c>
      <c r="G3664" t="n">
        <v>1.6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4927-2024</t>
        </is>
      </c>
      <c r="B3665" s="1" t="n">
        <v>45329</v>
      </c>
      <c r="C3665" s="1" t="n">
        <v>45627</v>
      </c>
      <c r="D3665" t="inlineStr">
        <is>
          <t>HALLANDS LÄN</t>
        </is>
      </c>
      <c r="E3665" t="inlineStr">
        <is>
          <t>KUNGSBACKA</t>
        </is>
      </c>
      <c r="G3665" t="n">
        <v>4.3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4939-2024</t>
        </is>
      </c>
      <c r="B3666" s="1" t="n">
        <v>45329</v>
      </c>
      <c r="C3666" s="1" t="n">
        <v>45627</v>
      </c>
      <c r="D3666" t="inlineStr">
        <is>
          <t>HALLANDS LÄN</t>
        </is>
      </c>
      <c r="E3666" t="inlineStr">
        <is>
          <t>HYLTE</t>
        </is>
      </c>
      <c r="G3666" t="n">
        <v>3.9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5192-2024</t>
        </is>
      </c>
      <c r="B3667" s="1" t="n">
        <v>45330</v>
      </c>
      <c r="C3667" s="1" t="n">
        <v>45627</v>
      </c>
      <c r="D3667" t="inlineStr">
        <is>
          <t>HALLANDS LÄN</t>
        </is>
      </c>
      <c r="E3667" t="inlineStr">
        <is>
          <t>HALMSTAD</t>
        </is>
      </c>
      <c r="G3667" t="n">
        <v>2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5108-2024</t>
        </is>
      </c>
      <c r="B3668" s="1" t="n">
        <v>45330</v>
      </c>
      <c r="C3668" s="1" t="n">
        <v>45627</v>
      </c>
      <c r="D3668" t="inlineStr">
        <is>
          <t>HALLANDS LÄN</t>
        </is>
      </c>
      <c r="E3668" t="inlineStr">
        <is>
          <t>FALKENBERG</t>
        </is>
      </c>
      <c r="G3668" t="n">
        <v>0.8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5112-2024</t>
        </is>
      </c>
      <c r="B3669" s="1" t="n">
        <v>45330</v>
      </c>
      <c r="C3669" s="1" t="n">
        <v>45627</v>
      </c>
      <c r="D3669" t="inlineStr">
        <is>
          <t>HALLANDS LÄN</t>
        </is>
      </c>
      <c r="E3669" t="inlineStr">
        <is>
          <t>FALKENBERG</t>
        </is>
      </c>
      <c r="G3669" t="n">
        <v>3.1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5109-2024</t>
        </is>
      </c>
      <c r="B3670" s="1" t="n">
        <v>45330</v>
      </c>
      <c r="C3670" s="1" t="n">
        <v>45627</v>
      </c>
      <c r="D3670" t="inlineStr">
        <is>
          <t>HALLANDS LÄN</t>
        </is>
      </c>
      <c r="E3670" t="inlineStr">
        <is>
          <t>FALKENBERG</t>
        </is>
      </c>
      <c r="G3670" t="n">
        <v>1.2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5202-2024</t>
        </is>
      </c>
      <c r="B3671" s="1" t="n">
        <v>45330</v>
      </c>
      <c r="C3671" s="1" t="n">
        <v>45627</v>
      </c>
      <c r="D3671" t="inlineStr">
        <is>
          <t>HALLANDS LÄN</t>
        </is>
      </c>
      <c r="E3671" t="inlineStr">
        <is>
          <t>HALMSTAD</t>
        </is>
      </c>
      <c r="F3671" t="inlineStr">
        <is>
          <t>Bergvik skog väst AB</t>
        </is>
      </c>
      <c r="G3671" t="n">
        <v>2.1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5201-2024</t>
        </is>
      </c>
      <c r="B3672" s="1" t="n">
        <v>45330</v>
      </c>
      <c r="C3672" s="1" t="n">
        <v>45627</v>
      </c>
      <c r="D3672" t="inlineStr">
        <is>
          <t>HALLANDS LÄN</t>
        </is>
      </c>
      <c r="E3672" t="inlineStr">
        <is>
          <t>KUNGSBACKA</t>
        </is>
      </c>
      <c r="G3672" t="n">
        <v>6.7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5191-2024</t>
        </is>
      </c>
      <c r="B3673" s="1" t="n">
        <v>45330</v>
      </c>
      <c r="C3673" s="1" t="n">
        <v>45627</v>
      </c>
      <c r="D3673" t="inlineStr">
        <is>
          <t>HALLANDS LÄN</t>
        </is>
      </c>
      <c r="E3673" t="inlineStr">
        <is>
          <t>HALMSTAD</t>
        </is>
      </c>
      <c r="G3673" t="n">
        <v>1.8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5195-2024</t>
        </is>
      </c>
      <c r="B3674" s="1" t="n">
        <v>45330</v>
      </c>
      <c r="C3674" s="1" t="n">
        <v>45627</v>
      </c>
      <c r="D3674" t="inlineStr">
        <is>
          <t>HALLANDS LÄN</t>
        </is>
      </c>
      <c r="E3674" t="inlineStr">
        <is>
          <t>FALKENBERG</t>
        </is>
      </c>
      <c r="G3674" t="n">
        <v>2.1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5199-2024</t>
        </is>
      </c>
      <c r="B3675" s="1" t="n">
        <v>45330</v>
      </c>
      <c r="C3675" s="1" t="n">
        <v>45627</v>
      </c>
      <c r="D3675" t="inlineStr">
        <is>
          <t>HALLANDS LÄN</t>
        </is>
      </c>
      <c r="E3675" t="inlineStr">
        <is>
          <t>HYLTE</t>
        </is>
      </c>
      <c r="F3675" t="inlineStr">
        <is>
          <t>Bergvik skog väst AB</t>
        </is>
      </c>
      <c r="G3675" t="n">
        <v>2.6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5203-2024</t>
        </is>
      </c>
      <c r="B3676" s="1" t="n">
        <v>45330</v>
      </c>
      <c r="C3676" s="1" t="n">
        <v>45627</v>
      </c>
      <c r="D3676" t="inlineStr">
        <is>
          <t>HALLANDS LÄN</t>
        </is>
      </c>
      <c r="E3676" t="inlineStr">
        <is>
          <t>FALKENBERG</t>
        </is>
      </c>
      <c r="G3676" t="n">
        <v>3.6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5290-2024</t>
        </is>
      </c>
      <c r="B3677" s="1" t="n">
        <v>45331</v>
      </c>
      <c r="C3677" s="1" t="n">
        <v>45627</v>
      </c>
      <c r="D3677" t="inlineStr">
        <is>
          <t>HALLANDS LÄN</t>
        </is>
      </c>
      <c r="E3677" t="inlineStr">
        <is>
          <t>FALKENBERG</t>
        </is>
      </c>
      <c r="G3677" t="n">
        <v>1.4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5436-2024</t>
        </is>
      </c>
      <c r="B3678" s="1" t="n">
        <v>45331</v>
      </c>
      <c r="C3678" s="1" t="n">
        <v>45627</v>
      </c>
      <c r="D3678" t="inlineStr">
        <is>
          <t>HALLANDS LÄN</t>
        </is>
      </c>
      <c r="E3678" t="inlineStr">
        <is>
          <t>HYLTE</t>
        </is>
      </c>
      <c r="G3678" t="n">
        <v>1.7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5699-2024</t>
        </is>
      </c>
      <c r="B3679" s="1" t="n">
        <v>45334</v>
      </c>
      <c r="C3679" s="1" t="n">
        <v>45627</v>
      </c>
      <c r="D3679" t="inlineStr">
        <is>
          <t>HALLANDS LÄN</t>
        </is>
      </c>
      <c r="E3679" t="inlineStr">
        <is>
          <t>HYLTE</t>
        </is>
      </c>
      <c r="G3679" t="n">
        <v>0.6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5753-2024</t>
        </is>
      </c>
      <c r="B3680" s="1" t="n">
        <v>45335</v>
      </c>
      <c r="C3680" s="1" t="n">
        <v>45627</v>
      </c>
      <c r="D3680" t="inlineStr">
        <is>
          <t>HALLANDS LÄN</t>
        </is>
      </c>
      <c r="E3680" t="inlineStr">
        <is>
          <t>KUNGSBACKA</t>
        </is>
      </c>
      <c r="G3680" t="n">
        <v>1.5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5758-2024</t>
        </is>
      </c>
      <c r="B3681" s="1" t="n">
        <v>45335</v>
      </c>
      <c r="C3681" s="1" t="n">
        <v>45627</v>
      </c>
      <c r="D3681" t="inlineStr">
        <is>
          <t>HALLANDS LÄN</t>
        </is>
      </c>
      <c r="E3681" t="inlineStr">
        <is>
          <t>FALKENBERG</t>
        </is>
      </c>
      <c r="F3681" t="inlineStr">
        <is>
          <t>Kyrkan</t>
        </is>
      </c>
      <c r="G3681" t="n">
        <v>5.4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5812-2024</t>
        </is>
      </c>
      <c r="B3682" s="1" t="n">
        <v>45335</v>
      </c>
      <c r="C3682" s="1" t="n">
        <v>45627</v>
      </c>
      <c r="D3682" t="inlineStr">
        <is>
          <t>HALLANDS LÄN</t>
        </is>
      </c>
      <c r="E3682" t="inlineStr">
        <is>
          <t>KUNGSBACKA</t>
        </is>
      </c>
      <c r="G3682" t="n">
        <v>1.8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5892-2024</t>
        </is>
      </c>
      <c r="B3683" s="1" t="n">
        <v>45335</v>
      </c>
      <c r="C3683" s="1" t="n">
        <v>45627</v>
      </c>
      <c r="D3683" t="inlineStr">
        <is>
          <t>HALLANDS LÄN</t>
        </is>
      </c>
      <c r="E3683" t="inlineStr">
        <is>
          <t>KUNGSBACKA</t>
        </is>
      </c>
      <c r="G3683" t="n">
        <v>4.3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5886-2024</t>
        </is>
      </c>
      <c r="B3684" s="1" t="n">
        <v>45335</v>
      </c>
      <c r="C3684" s="1" t="n">
        <v>45627</v>
      </c>
      <c r="D3684" t="inlineStr">
        <is>
          <t>HALLANDS LÄN</t>
        </is>
      </c>
      <c r="E3684" t="inlineStr">
        <is>
          <t>HALMSTAD</t>
        </is>
      </c>
      <c r="G3684" t="n">
        <v>2.4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5890-2024</t>
        </is>
      </c>
      <c r="B3685" s="1" t="n">
        <v>45335</v>
      </c>
      <c r="C3685" s="1" t="n">
        <v>45627</v>
      </c>
      <c r="D3685" t="inlineStr">
        <is>
          <t>HALLANDS LÄN</t>
        </is>
      </c>
      <c r="E3685" t="inlineStr">
        <is>
          <t>KUNGSBACKA</t>
        </is>
      </c>
      <c r="G3685" t="n">
        <v>2.9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5994-2024</t>
        </is>
      </c>
      <c r="B3686" s="1" t="n">
        <v>45336</v>
      </c>
      <c r="C3686" s="1" t="n">
        <v>45627</v>
      </c>
      <c r="D3686" t="inlineStr">
        <is>
          <t>HALLANDS LÄN</t>
        </is>
      </c>
      <c r="E3686" t="inlineStr">
        <is>
          <t>VARBERG</t>
        </is>
      </c>
      <c r="G3686" t="n">
        <v>3.7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6014-2024</t>
        </is>
      </c>
      <c r="B3687" s="1" t="n">
        <v>45336</v>
      </c>
      <c r="C3687" s="1" t="n">
        <v>45627</v>
      </c>
      <c r="D3687" t="inlineStr">
        <is>
          <t>HALLANDS LÄN</t>
        </is>
      </c>
      <c r="E3687" t="inlineStr">
        <is>
          <t>VARBERG</t>
        </is>
      </c>
      <c r="G3687" t="n">
        <v>1.5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5996-2024</t>
        </is>
      </c>
      <c r="B3688" s="1" t="n">
        <v>45336</v>
      </c>
      <c r="C3688" s="1" t="n">
        <v>45627</v>
      </c>
      <c r="D3688" t="inlineStr">
        <is>
          <t>HALLANDS LÄN</t>
        </is>
      </c>
      <c r="E3688" t="inlineStr">
        <is>
          <t>VARBERG</t>
        </is>
      </c>
      <c r="G3688" t="n">
        <v>6.1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6008-2024</t>
        </is>
      </c>
      <c r="B3689" s="1" t="n">
        <v>45336</v>
      </c>
      <c r="C3689" s="1" t="n">
        <v>45627</v>
      </c>
      <c r="D3689" t="inlineStr">
        <is>
          <t>HALLANDS LÄN</t>
        </is>
      </c>
      <c r="E3689" t="inlineStr">
        <is>
          <t>VARBERG</t>
        </is>
      </c>
      <c r="G3689" t="n">
        <v>4.9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6041-2024</t>
        </is>
      </c>
      <c r="B3690" s="1" t="n">
        <v>45336</v>
      </c>
      <c r="C3690" s="1" t="n">
        <v>45627</v>
      </c>
      <c r="D3690" t="inlineStr">
        <is>
          <t>HALLANDS LÄN</t>
        </is>
      </c>
      <c r="E3690" t="inlineStr">
        <is>
          <t>FALKENBERG</t>
        </is>
      </c>
      <c r="G3690" t="n">
        <v>6.7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6198-2024</t>
        </is>
      </c>
      <c r="B3691" s="1" t="n">
        <v>45337</v>
      </c>
      <c r="C3691" s="1" t="n">
        <v>45627</v>
      </c>
      <c r="D3691" t="inlineStr">
        <is>
          <t>HALLANDS LÄN</t>
        </is>
      </c>
      <c r="E3691" t="inlineStr">
        <is>
          <t>LAHOLM</t>
        </is>
      </c>
      <c r="G3691" t="n">
        <v>1.5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6214-2024</t>
        </is>
      </c>
      <c r="B3692" s="1" t="n">
        <v>45337</v>
      </c>
      <c r="C3692" s="1" t="n">
        <v>45627</v>
      </c>
      <c r="D3692" t="inlineStr">
        <is>
          <t>HALLANDS LÄN</t>
        </is>
      </c>
      <c r="E3692" t="inlineStr">
        <is>
          <t>KUNGSBACKA</t>
        </is>
      </c>
      <c r="G3692" t="n">
        <v>0.9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6103-2024</t>
        </is>
      </c>
      <c r="B3693" s="1" t="n">
        <v>45337</v>
      </c>
      <c r="C3693" s="1" t="n">
        <v>45627</v>
      </c>
      <c r="D3693" t="inlineStr">
        <is>
          <t>HALLANDS LÄN</t>
        </is>
      </c>
      <c r="E3693" t="inlineStr">
        <is>
          <t>KUNGSBACKA</t>
        </is>
      </c>
      <c r="G3693" t="n">
        <v>0.9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6149-2024</t>
        </is>
      </c>
      <c r="B3694" s="1" t="n">
        <v>45337</v>
      </c>
      <c r="C3694" s="1" t="n">
        <v>45627</v>
      </c>
      <c r="D3694" t="inlineStr">
        <is>
          <t>HALLANDS LÄN</t>
        </is>
      </c>
      <c r="E3694" t="inlineStr">
        <is>
          <t>FALKENBERG</t>
        </is>
      </c>
      <c r="G3694" t="n">
        <v>5.8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6200-2024</t>
        </is>
      </c>
      <c r="B3695" s="1" t="n">
        <v>45337</v>
      </c>
      <c r="C3695" s="1" t="n">
        <v>45627</v>
      </c>
      <c r="D3695" t="inlineStr">
        <is>
          <t>HALLANDS LÄN</t>
        </is>
      </c>
      <c r="E3695" t="inlineStr">
        <is>
          <t>LAHOLM</t>
        </is>
      </c>
      <c r="G3695" t="n">
        <v>0.4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6158-2024</t>
        </is>
      </c>
      <c r="B3696" s="1" t="n">
        <v>45337</v>
      </c>
      <c r="C3696" s="1" t="n">
        <v>45627</v>
      </c>
      <c r="D3696" t="inlineStr">
        <is>
          <t>HALLANDS LÄN</t>
        </is>
      </c>
      <c r="E3696" t="inlineStr">
        <is>
          <t>FALKENBERG</t>
        </is>
      </c>
      <c r="G3696" t="n">
        <v>3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6122-2024</t>
        </is>
      </c>
      <c r="B3697" s="1" t="n">
        <v>45337</v>
      </c>
      <c r="C3697" s="1" t="n">
        <v>45627</v>
      </c>
      <c r="D3697" t="inlineStr">
        <is>
          <t>HALLANDS LÄN</t>
        </is>
      </c>
      <c r="E3697" t="inlineStr">
        <is>
          <t>FALKENBERG</t>
        </is>
      </c>
      <c r="G3697" t="n">
        <v>4.8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6114-2024</t>
        </is>
      </c>
      <c r="B3698" s="1" t="n">
        <v>45337</v>
      </c>
      <c r="C3698" s="1" t="n">
        <v>45627</v>
      </c>
      <c r="D3698" t="inlineStr">
        <is>
          <t>HALLANDS LÄN</t>
        </is>
      </c>
      <c r="E3698" t="inlineStr">
        <is>
          <t>FALKENBERG</t>
        </is>
      </c>
      <c r="G3698" t="n">
        <v>1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6393-2024</t>
        </is>
      </c>
      <c r="B3699" s="1" t="n">
        <v>45338</v>
      </c>
      <c r="C3699" s="1" t="n">
        <v>45627</v>
      </c>
      <c r="D3699" t="inlineStr">
        <is>
          <t>HALLANDS LÄN</t>
        </is>
      </c>
      <c r="E3699" t="inlineStr">
        <is>
          <t>KUNGSBACKA</t>
        </is>
      </c>
      <c r="G3699" t="n">
        <v>1.3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6374-2024</t>
        </is>
      </c>
      <c r="B3700" s="1" t="n">
        <v>45338</v>
      </c>
      <c r="C3700" s="1" t="n">
        <v>45627</v>
      </c>
      <c r="D3700" t="inlineStr">
        <is>
          <t>HALLANDS LÄN</t>
        </is>
      </c>
      <c r="E3700" t="inlineStr">
        <is>
          <t>HALMSTAD</t>
        </is>
      </c>
      <c r="G3700" t="n">
        <v>1.7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6417-2024</t>
        </is>
      </c>
      <c r="B3701" s="1" t="n">
        <v>45338</v>
      </c>
      <c r="C3701" s="1" t="n">
        <v>45627</v>
      </c>
      <c r="D3701" t="inlineStr">
        <is>
          <t>HALLANDS LÄN</t>
        </is>
      </c>
      <c r="E3701" t="inlineStr">
        <is>
          <t>KUNGSBACKA</t>
        </is>
      </c>
      <c r="G3701" t="n">
        <v>6.3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6603-2024</t>
        </is>
      </c>
      <c r="B3702" s="1" t="n">
        <v>45341</v>
      </c>
      <c r="C3702" s="1" t="n">
        <v>45627</v>
      </c>
      <c r="D3702" t="inlineStr">
        <is>
          <t>HALLANDS LÄN</t>
        </is>
      </c>
      <c r="E3702" t="inlineStr">
        <is>
          <t>LAHOLM</t>
        </is>
      </c>
      <c r="G3702" t="n">
        <v>9.300000000000001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6647-2024</t>
        </is>
      </c>
      <c r="B3703" s="1" t="n">
        <v>45341</v>
      </c>
      <c r="C3703" s="1" t="n">
        <v>45627</v>
      </c>
      <c r="D3703" t="inlineStr">
        <is>
          <t>HALLANDS LÄN</t>
        </is>
      </c>
      <c r="E3703" t="inlineStr">
        <is>
          <t>VARBERG</t>
        </is>
      </c>
      <c r="G3703" t="n">
        <v>3.6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6738-2024</t>
        </is>
      </c>
      <c r="B3704" s="1" t="n">
        <v>45342</v>
      </c>
      <c r="C3704" s="1" t="n">
        <v>45627</v>
      </c>
      <c r="D3704" t="inlineStr">
        <is>
          <t>HALLANDS LÄN</t>
        </is>
      </c>
      <c r="E3704" t="inlineStr">
        <is>
          <t>HALMSTAD</t>
        </is>
      </c>
      <c r="G3704" t="n">
        <v>2.9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6754-2024</t>
        </is>
      </c>
      <c r="B3705" s="1" t="n">
        <v>45342</v>
      </c>
      <c r="C3705" s="1" t="n">
        <v>45627</v>
      </c>
      <c r="D3705" t="inlineStr">
        <is>
          <t>HALLANDS LÄN</t>
        </is>
      </c>
      <c r="E3705" t="inlineStr">
        <is>
          <t>LAHOLM</t>
        </is>
      </c>
      <c r="G3705" t="n">
        <v>0.6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6764-2024</t>
        </is>
      </c>
      <c r="B3706" s="1" t="n">
        <v>45342</v>
      </c>
      <c r="C3706" s="1" t="n">
        <v>45627</v>
      </c>
      <c r="D3706" t="inlineStr">
        <is>
          <t>HALLANDS LÄN</t>
        </is>
      </c>
      <c r="E3706" t="inlineStr">
        <is>
          <t>HALMSTAD</t>
        </is>
      </c>
      <c r="G3706" t="n">
        <v>1.2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6779-2024</t>
        </is>
      </c>
      <c r="B3707" s="1" t="n">
        <v>45342</v>
      </c>
      <c r="C3707" s="1" t="n">
        <v>45627</v>
      </c>
      <c r="D3707" t="inlineStr">
        <is>
          <t>HALLANDS LÄN</t>
        </is>
      </c>
      <c r="E3707" t="inlineStr">
        <is>
          <t>HYLTE</t>
        </is>
      </c>
      <c r="F3707" t="inlineStr">
        <is>
          <t>Bergvik skog väst AB</t>
        </is>
      </c>
      <c r="G3707" t="n">
        <v>4.2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6783-2024</t>
        </is>
      </c>
      <c r="B3708" s="1" t="n">
        <v>45342</v>
      </c>
      <c r="C3708" s="1" t="n">
        <v>45627</v>
      </c>
      <c r="D3708" t="inlineStr">
        <is>
          <t>HALLANDS LÄN</t>
        </is>
      </c>
      <c r="E3708" t="inlineStr">
        <is>
          <t>FALKENBERG</t>
        </is>
      </c>
      <c r="F3708" t="inlineStr">
        <is>
          <t>Kommuner</t>
        </is>
      </c>
      <c r="G3708" t="n">
        <v>3.7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6787-2024</t>
        </is>
      </c>
      <c r="B3709" s="1" t="n">
        <v>45342</v>
      </c>
      <c r="C3709" s="1" t="n">
        <v>45627</v>
      </c>
      <c r="D3709" t="inlineStr">
        <is>
          <t>HALLANDS LÄN</t>
        </is>
      </c>
      <c r="E3709" t="inlineStr">
        <is>
          <t>HYLTE</t>
        </is>
      </c>
      <c r="F3709" t="inlineStr">
        <is>
          <t>Bergvik skog väst AB</t>
        </is>
      </c>
      <c r="G3709" t="n">
        <v>5.2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6728-2024</t>
        </is>
      </c>
      <c r="B3710" s="1" t="n">
        <v>45342</v>
      </c>
      <c r="C3710" s="1" t="n">
        <v>45627</v>
      </c>
      <c r="D3710" t="inlineStr">
        <is>
          <t>HALLANDS LÄN</t>
        </is>
      </c>
      <c r="E3710" t="inlineStr">
        <is>
          <t>FALKENBERG</t>
        </is>
      </c>
      <c r="G3710" t="n">
        <v>3.5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6753-2024</t>
        </is>
      </c>
      <c r="B3711" s="1" t="n">
        <v>45342</v>
      </c>
      <c r="C3711" s="1" t="n">
        <v>45627</v>
      </c>
      <c r="D3711" t="inlineStr">
        <is>
          <t>HALLANDS LÄN</t>
        </is>
      </c>
      <c r="E3711" t="inlineStr">
        <is>
          <t>LAHOLM</t>
        </is>
      </c>
      <c r="G3711" t="n">
        <v>1.1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6765-2024</t>
        </is>
      </c>
      <c r="B3712" s="1" t="n">
        <v>45342</v>
      </c>
      <c r="C3712" s="1" t="n">
        <v>45627</v>
      </c>
      <c r="D3712" t="inlineStr">
        <is>
          <t>HALLANDS LÄN</t>
        </is>
      </c>
      <c r="E3712" t="inlineStr">
        <is>
          <t>HALMSTAD</t>
        </is>
      </c>
      <c r="G3712" t="n">
        <v>1.3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6793-2024</t>
        </is>
      </c>
      <c r="B3713" s="1" t="n">
        <v>45342</v>
      </c>
      <c r="C3713" s="1" t="n">
        <v>45627</v>
      </c>
      <c r="D3713" t="inlineStr">
        <is>
          <t>HALLANDS LÄN</t>
        </is>
      </c>
      <c r="E3713" t="inlineStr">
        <is>
          <t>HYLTE</t>
        </is>
      </c>
      <c r="F3713" t="inlineStr">
        <is>
          <t>Bergvik skog väst AB</t>
        </is>
      </c>
      <c r="G3713" t="n">
        <v>2.6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6911-2024</t>
        </is>
      </c>
      <c r="B3714" s="1" t="n">
        <v>45343</v>
      </c>
      <c r="C3714" s="1" t="n">
        <v>45627</v>
      </c>
      <c r="D3714" t="inlineStr">
        <is>
          <t>HALLANDS LÄN</t>
        </is>
      </c>
      <c r="E3714" t="inlineStr">
        <is>
          <t>LAHOLM</t>
        </is>
      </c>
      <c r="G3714" t="n">
        <v>2.1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7004-2024</t>
        </is>
      </c>
      <c r="B3715" s="1" t="n">
        <v>45343</v>
      </c>
      <c r="C3715" s="1" t="n">
        <v>45627</v>
      </c>
      <c r="D3715" t="inlineStr">
        <is>
          <t>HALLANDS LÄN</t>
        </is>
      </c>
      <c r="E3715" t="inlineStr">
        <is>
          <t>FALKENBERG</t>
        </is>
      </c>
      <c r="G3715" t="n">
        <v>0.6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7038-2024</t>
        </is>
      </c>
      <c r="B3716" s="1" t="n">
        <v>45343</v>
      </c>
      <c r="C3716" s="1" t="n">
        <v>45627</v>
      </c>
      <c r="D3716" t="inlineStr">
        <is>
          <t>HALLANDS LÄN</t>
        </is>
      </c>
      <c r="E3716" t="inlineStr">
        <is>
          <t>VARBERG</t>
        </is>
      </c>
      <c r="G3716" t="n">
        <v>2.6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7097-2024</t>
        </is>
      </c>
      <c r="B3717" s="1" t="n">
        <v>45343</v>
      </c>
      <c r="C3717" s="1" t="n">
        <v>45627</v>
      </c>
      <c r="D3717" t="inlineStr">
        <is>
          <t>HALLANDS LÄN</t>
        </is>
      </c>
      <c r="E3717" t="inlineStr">
        <is>
          <t>HYLTE</t>
        </is>
      </c>
      <c r="G3717" t="n">
        <v>1.9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7124-2024</t>
        </is>
      </c>
      <c r="B3718" s="1" t="n">
        <v>45344</v>
      </c>
      <c r="C3718" s="1" t="n">
        <v>45627</v>
      </c>
      <c r="D3718" t="inlineStr">
        <is>
          <t>HALLANDS LÄN</t>
        </is>
      </c>
      <c r="E3718" t="inlineStr">
        <is>
          <t>VARBERG</t>
        </is>
      </c>
      <c r="G3718" t="n">
        <v>2.7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7125-2024</t>
        </is>
      </c>
      <c r="B3719" s="1" t="n">
        <v>45344</v>
      </c>
      <c r="C3719" s="1" t="n">
        <v>45627</v>
      </c>
      <c r="D3719" t="inlineStr">
        <is>
          <t>HALLANDS LÄN</t>
        </is>
      </c>
      <c r="E3719" t="inlineStr">
        <is>
          <t>FALKENBERG</t>
        </is>
      </c>
      <c r="G3719" t="n">
        <v>0.7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7123-2024</t>
        </is>
      </c>
      <c r="B3720" s="1" t="n">
        <v>45344</v>
      </c>
      <c r="C3720" s="1" t="n">
        <v>45627</v>
      </c>
      <c r="D3720" t="inlineStr">
        <is>
          <t>HALLANDS LÄN</t>
        </is>
      </c>
      <c r="E3720" t="inlineStr">
        <is>
          <t>LAHOLM</t>
        </is>
      </c>
      <c r="G3720" t="n">
        <v>6.9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7244-2024</t>
        </is>
      </c>
      <c r="B3721" s="1" t="n">
        <v>45344</v>
      </c>
      <c r="C3721" s="1" t="n">
        <v>45627</v>
      </c>
      <c r="D3721" t="inlineStr">
        <is>
          <t>HALLANDS LÄN</t>
        </is>
      </c>
      <c r="E3721" t="inlineStr">
        <is>
          <t>HYLTE</t>
        </is>
      </c>
      <c r="G3721" t="n">
        <v>1.2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7248-2024</t>
        </is>
      </c>
      <c r="B3722" s="1" t="n">
        <v>45344</v>
      </c>
      <c r="C3722" s="1" t="n">
        <v>45627</v>
      </c>
      <c r="D3722" t="inlineStr">
        <is>
          <t>HALLANDS LÄN</t>
        </is>
      </c>
      <c r="E3722" t="inlineStr">
        <is>
          <t>HYLTE</t>
        </is>
      </c>
      <c r="G3722" t="n">
        <v>0.7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7314-2024</t>
        </is>
      </c>
      <c r="B3723" s="1" t="n">
        <v>45345</v>
      </c>
      <c r="C3723" s="1" t="n">
        <v>45627</v>
      </c>
      <c r="D3723" t="inlineStr">
        <is>
          <t>HALLANDS LÄN</t>
        </is>
      </c>
      <c r="E3723" t="inlineStr">
        <is>
          <t>FALKENBERG</t>
        </is>
      </c>
      <c r="G3723" t="n">
        <v>5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7435-2024</t>
        </is>
      </c>
      <c r="B3724" s="1" t="n">
        <v>45345</v>
      </c>
      <c r="C3724" s="1" t="n">
        <v>45627</v>
      </c>
      <c r="D3724" t="inlineStr">
        <is>
          <t>HALLANDS LÄN</t>
        </is>
      </c>
      <c r="E3724" t="inlineStr">
        <is>
          <t>KUNGSBACKA</t>
        </is>
      </c>
      <c r="G3724" t="n">
        <v>2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7353-2024</t>
        </is>
      </c>
      <c r="B3725" s="1" t="n">
        <v>45345</v>
      </c>
      <c r="C3725" s="1" t="n">
        <v>45627</v>
      </c>
      <c r="D3725" t="inlineStr">
        <is>
          <t>HALLANDS LÄN</t>
        </is>
      </c>
      <c r="E3725" t="inlineStr">
        <is>
          <t>KUNGSBACKA</t>
        </is>
      </c>
      <c r="G3725" t="n">
        <v>1.5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7626-2024</t>
        </is>
      </c>
      <c r="B3726" s="1" t="n">
        <v>45348</v>
      </c>
      <c r="C3726" s="1" t="n">
        <v>45627</v>
      </c>
      <c r="D3726" t="inlineStr">
        <is>
          <t>HALLANDS LÄN</t>
        </is>
      </c>
      <c r="E3726" t="inlineStr">
        <is>
          <t>HALMSTAD</t>
        </is>
      </c>
      <c r="G3726" t="n">
        <v>1.3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7630-2024</t>
        </is>
      </c>
      <c r="B3727" s="1" t="n">
        <v>45348</v>
      </c>
      <c r="C3727" s="1" t="n">
        <v>45627</v>
      </c>
      <c r="D3727" t="inlineStr">
        <is>
          <t>HALLANDS LÄN</t>
        </is>
      </c>
      <c r="E3727" t="inlineStr">
        <is>
          <t>HALMSTAD</t>
        </is>
      </c>
      <c r="G3727" t="n">
        <v>1.2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7632-2024</t>
        </is>
      </c>
      <c r="B3728" s="1" t="n">
        <v>45348</v>
      </c>
      <c r="C3728" s="1" t="n">
        <v>45627</v>
      </c>
      <c r="D3728" t="inlineStr">
        <is>
          <t>HALLANDS LÄN</t>
        </is>
      </c>
      <c r="E3728" t="inlineStr">
        <is>
          <t>HALMSTAD</t>
        </is>
      </c>
      <c r="G3728" t="n">
        <v>2.5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7656-2024</t>
        </is>
      </c>
      <c r="B3729" s="1" t="n">
        <v>45348</v>
      </c>
      <c r="C3729" s="1" t="n">
        <v>45627</v>
      </c>
      <c r="D3729" t="inlineStr">
        <is>
          <t>HALLANDS LÄN</t>
        </is>
      </c>
      <c r="E3729" t="inlineStr">
        <is>
          <t>LAHOLM</t>
        </is>
      </c>
      <c r="G3729" t="n">
        <v>0.6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7679-2024</t>
        </is>
      </c>
      <c r="B3730" s="1" t="n">
        <v>45348</v>
      </c>
      <c r="C3730" s="1" t="n">
        <v>45627</v>
      </c>
      <c r="D3730" t="inlineStr">
        <is>
          <t>HALLANDS LÄN</t>
        </is>
      </c>
      <c r="E3730" t="inlineStr">
        <is>
          <t>HYLTE</t>
        </is>
      </c>
      <c r="G3730" t="n">
        <v>0.8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7588-2024</t>
        </is>
      </c>
      <c r="B3731" s="1" t="n">
        <v>45348</v>
      </c>
      <c r="C3731" s="1" t="n">
        <v>45627</v>
      </c>
      <c r="D3731" t="inlineStr">
        <is>
          <t>HALLANDS LÄN</t>
        </is>
      </c>
      <c r="E3731" t="inlineStr">
        <is>
          <t>HYLTE</t>
        </is>
      </c>
      <c r="F3731" t="inlineStr">
        <is>
          <t>Bergvik skog väst AB</t>
        </is>
      </c>
      <c r="G3731" t="n">
        <v>1.6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7633-2024</t>
        </is>
      </c>
      <c r="B3732" s="1" t="n">
        <v>45348</v>
      </c>
      <c r="C3732" s="1" t="n">
        <v>45627</v>
      </c>
      <c r="D3732" t="inlineStr">
        <is>
          <t>HALLANDS LÄN</t>
        </is>
      </c>
      <c r="E3732" t="inlineStr">
        <is>
          <t>HALMSTAD</t>
        </is>
      </c>
      <c r="G3732" t="n">
        <v>0.4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7696-2024</t>
        </is>
      </c>
      <c r="B3733" s="1" t="n">
        <v>45349</v>
      </c>
      <c r="C3733" s="1" t="n">
        <v>45627</v>
      </c>
      <c r="D3733" t="inlineStr">
        <is>
          <t>HALLANDS LÄN</t>
        </is>
      </c>
      <c r="E3733" t="inlineStr">
        <is>
          <t>FALKENBERG</t>
        </is>
      </c>
      <c r="G3733" t="n">
        <v>2.6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7741-2024</t>
        </is>
      </c>
      <c r="B3734" s="1" t="n">
        <v>45349</v>
      </c>
      <c r="C3734" s="1" t="n">
        <v>45627</v>
      </c>
      <c r="D3734" t="inlineStr">
        <is>
          <t>HALLANDS LÄN</t>
        </is>
      </c>
      <c r="E3734" t="inlineStr">
        <is>
          <t>LAHOLM</t>
        </is>
      </c>
      <c r="G3734" t="n">
        <v>1.3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7743-2024</t>
        </is>
      </c>
      <c r="B3735" s="1" t="n">
        <v>45349</v>
      </c>
      <c r="C3735" s="1" t="n">
        <v>45627</v>
      </c>
      <c r="D3735" t="inlineStr">
        <is>
          <t>HALLANDS LÄN</t>
        </is>
      </c>
      <c r="E3735" t="inlineStr">
        <is>
          <t>LAHOLM</t>
        </is>
      </c>
      <c r="G3735" t="n">
        <v>0.9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7695-2024</t>
        </is>
      </c>
      <c r="B3736" s="1" t="n">
        <v>45349</v>
      </c>
      <c r="C3736" s="1" t="n">
        <v>45627</v>
      </c>
      <c r="D3736" t="inlineStr">
        <is>
          <t>HALLANDS LÄN</t>
        </is>
      </c>
      <c r="E3736" t="inlineStr">
        <is>
          <t>VARBERG</t>
        </is>
      </c>
      <c r="G3736" t="n">
        <v>1.8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7783-2024</t>
        </is>
      </c>
      <c r="B3737" s="1" t="n">
        <v>45349</v>
      </c>
      <c r="C3737" s="1" t="n">
        <v>45627</v>
      </c>
      <c r="D3737" t="inlineStr">
        <is>
          <t>HALLANDS LÄN</t>
        </is>
      </c>
      <c r="E3737" t="inlineStr">
        <is>
          <t>LAHOLM</t>
        </is>
      </c>
      <c r="G3737" t="n">
        <v>0.8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7780-2024</t>
        </is>
      </c>
      <c r="B3738" s="1" t="n">
        <v>45349</v>
      </c>
      <c r="C3738" s="1" t="n">
        <v>45627</v>
      </c>
      <c r="D3738" t="inlineStr">
        <is>
          <t>HALLANDS LÄN</t>
        </is>
      </c>
      <c r="E3738" t="inlineStr">
        <is>
          <t>LAHOLM</t>
        </is>
      </c>
      <c r="G3738" t="n">
        <v>2.5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7874-2024</t>
        </is>
      </c>
      <c r="B3739" s="1" t="n">
        <v>45350</v>
      </c>
      <c r="C3739" s="1" t="n">
        <v>45627</v>
      </c>
      <c r="D3739" t="inlineStr">
        <is>
          <t>HALLANDS LÄN</t>
        </is>
      </c>
      <c r="E3739" t="inlineStr">
        <is>
          <t>FALKENBERG</t>
        </is>
      </c>
      <c r="G3739" t="n">
        <v>0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7878-2024</t>
        </is>
      </c>
      <c r="B3740" s="1" t="n">
        <v>45350</v>
      </c>
      <c r="C3740" s="1" t="n">
        <v>45627</v>
      </c>
      <c r="D3740" t="inlineStr">
        <is>
          <t>HALLANDS LÄN</t>
        </is>
      </c>
      <c r="E3740" t="inlineStr">
        <is>
          <t>FALKENBERG</t>
        </is>
      </c>
      <c r="G3740" t="n">
        <v>1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7877-2024</t>
        </is>
      </c>
      <c r="B3741" s="1" t="n">
        <v>45350</v>
      </c>
      <c r="C3741" s="1" t="n">
        <v>45627</v>
      </c>
      <c r="D3741" t="inlineStr">
        <is>
          <t>HALLANDS LÄN</t>
        </is>
      </c>
      <c r="E3741" t="inlineStr">
        <is>
          <t>FALKENBERG</t>
        </is>
      </c>
      <c r="G3741" t="n">
        <v>0.5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7934-2024</t>
        </is>
      </c>
      <c r="B3742" s="1" t="n">
        <v>45350</v>
      </c>
      <c r="C3742" s="1" t="n">
        <v>45627</v>
      </c>
      <c r="D3742" t="inlineStr">
        <is>
          <t>HALLANDS LÄN</t>
        </is>
      </c>
      <c r="E3742" t="inlineStr">
        <is>
          <t>HYLTE</t>
        </is>
      </c>
      <c r="G3742" t="n">
        <v>2.1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7942-2024</t>
        </is>
      </c>
      <c r="B3743" s="1" t="n">
        <v>45350</v>
      </c>
      <c r="C3743" s="1" t="n">
        <v>45627</v>
      </c>
      <c r="D3743" t="inlineStr">
        <is>
          <t>HALLANDS LÄN</t>
        </is>
      </c>
      <c r="E3743" t="inlineStr">
        <is>
          <t>LAHOLM</t>
        </is>
      </c>
      <c r="G3743" t="n">
        <v>1.6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7956-2024</t>
        </is>
      </c>
      <c r="B3744" s="1" t="n">
        <v>45350</v>
      </c>
      <c r="C3744" s="1" t="n">
        <v>45627</v>
      </c>
      <c r="D3744" t="inlineStr">
        <is>
          <t>HALLANDS LÄN</t>
        </is>
      </c>
      <c r="E3744" t="inlineStr">
        <is>
          <t>FALKENBERG</t>
        </is>
      </c>
      <c r="G3744" t="n">
        <v>1.4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7875-2024</t>
        </is>
      </c>
      <c r="B3745" s="1" t="n">
        <v>45350</v>
      </c>
      <c r="C3745" s="1" t="n">
        <v>45627</v>
      </c>
      <c r="D3745" t="inlineStr">
        <is>
          <t>HALLANDS LÄN</t>
        </is>
      </c>
      <c r="E3745" t="inlineStr">
        <is>
          <t>FALKENBERG</t>
        </is>
      </c>
      <c r="G3745" t="n">
        <v>0.7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7879-2024</t>
        </is>
      </c>
      <c r="B3746" s="1" t="n">
        <v>45350</v>
      </c>
      <c r="C3746" s="1" t="n">
        <v>45627</v>
      </c>
      <c r="D3746" t="inlineStr">
        <is>
          <t>HALLANDS LÄN</t>
        </is>
      </c>
      <c r="E3746" t="inlineStr">
        <is>
          <t>FALKENBERG</t>
        </is>
      </c>
      <c r="G3746" t="n">
        <v>1.2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8128-2024</t>
        </is>
      </c>
      <c r="B3747" s="1" t="n">
        <v>45351</v>
      </c>
      <c r="C3747" s="1" t="n">
        <v>45627</v>
      </c>
      <c r="D3747" t="inlineStr">
        <is>
          <t>HALLANDS LÄN</t>
        </is>
      </c>
      <c r="E3747" t="inlineStr">
        <is>
          <t>HYLTE</t>
        </is>
      </c>
      <c r="G3747" t="n">
        <v>0.6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8058-2024</t>
        </is>
      </c>
      <c r="B3748" s="1" t="n">
        <v>45351</v>
      </c>
      <c r="C3748" s="1" t="n">
        <v>45627</v>
      </c>
      <c r="D3748" t="inlineStr">
        <is>
          <t>HALLANDS LÄN</t>
        </is>
      </c>
      <c r="E3748" t="inlineStr">
        <is>
          <t>FALKENBERG</t>
        </is>
      </c>
      <c r="G3748" t="n">
        <v>3.8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8101-2024</t>
        </is>
      </c>
      <c r="B3749" s="1" t="n">
        <v>45351</v>
      </c>
      <c r="C3749" s="1" t="n">
        <v>45627</v>
      </c>
      <c r="D3749" t="inlineStr">
        <is>
          <t>HALLANDS LÄN</t>
        </is>
      </c>
      <c r="E3749" t="inlineStr">
        <is>
          <t>HALMSTAD</t>
        </is>
      </c>
      <c r="G3749" t="n">
        <v>1.6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8135-2024</t>
        </is>
      </c>
      <c r="B3750" s="1" t="n">
        <v>45351</v>
      </c>
      <c r="C3750" s="1" t="n">
        <v>45627</v>
      </c>
      <c r="D3750" t="inlineStr">
        <is>
          <t>HALLANDS LÄN</t>
        </is>
      </c>
      <c r="E3750" t="inlineStr">
        <is>
          <t>HYLTE</t>
        </is>
      </c>
      <c r="G3750" t="n">
        <v>1.4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8374-2024</t>
        </is>
      </c>
      <c r="B3751" s="1" t="n">
        <v>45351</v>
      </c>
      <c r="C3751" s="1" t="n">
        <v>45627</v>
      </c>
      <c r="D3751" t="inlineStr">
        <is>
          <t>HALLANDS LÄN</t>
        </is>
      </c>
      <c r="E3751" t="inlineStr">
        <is>
          <t>HYLTE</t>
        </is>
      </c>
      <c r="F3751" t="inlineStr">
        <is>
          <t>Kommuner</t>
        </is>
      </c>
      <c r="G3751" t="n">
        <v>2.4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8122-2024</t>
        </is>
      </c>
      <c r="B3752" s="1" t="n">
        <v>45351</v>
      </c>
      <c r="C3752" s="1" t="n">
        <v>45627</v>
      </c>
      <c r="D3752" t="inlineStr">
        <is>
          <t>HALLANDS LÄN</t>
        </is>
      </c>
      <c r="E3752" t="inlineStr">
        <is>
          <t>HYLTE</t>
        </is>
      </c>
      <c r="G3752" t="n">
        <v>1.2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8140-2024</t>
        </is>
      </c>
      <c r="B3753" s="1" t="n">
        <v>45351</v>
      </c>
      <c r="C3753" s="1" t="n">
        <v>45627</v>
      </c>
      <c r="D3753" t="inlineStr">
        <is>
          <t>HALLANDS LÄN</t>
        </is>
      </c>
      <c r="E3753" t="inlineStr">
        <is>
          <t>HYLTE</t>
        </is>
      </c>
      <c r="G3753" t="n">
        <v>1.1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8249-2024</t>
        </is>
      </c>
      <c r="B3754" s="1" t="n">
        <v>45352</v>
      </c>
      <c r="C3754" s="1" t="n">
        <v>45627</v>
      </c>
      <c r="D3754" t="inlineStr">
        <is>
          <t>HALLANDS LÄN</t>
        </is>
      </c>
      <c r="E3754" t="inlineStr">
        <is>
          <t>VARBERG</t>
        </is>
      </c>
      <c r="G3754" t="n">
        <v>1.2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8254-2024</t>
        </is>
      </c>
      <c r="B3755" s="1" t="n">
        <v>45352</v>
      </c>
      <c r="C3755" s="1" t="n">
        <v>45627</v>
      </c>
      <c r="D3755" t="inlineStr">
        <is>
          <t>HALLANDS LÄN</t>
        </is>
      </c>
      <c r="E3755" t="inlineStr">
        <is>
          <t>VARBERG</t>
        </is>
      </c>
      <c r="G3755" t="n">
        <v>0.5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8274-2024</t>
        </is>
      </c>
      <c r="B3756" s="1" t="n">
        <v>45352</v>
      </c>
      <c r="C3756" s="1" t="n">
        <v>45627</v>
      </c>
      <c r="D3756" t="inlineStr">
        <is>
          <t>HALLANDS LÄN</t>
        </is>
      </c>
      <c r="E3756" t="inlineStr">
        <is>
          <t>LAHOLM</t>
        </is>
      </c>
      <c r="G3756" t="n">
        <v>1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8305-2024</t>
        </is>
      </c>
      <c r="B3757" s="1" t="n">
        <v>45352</v>
      </c>
      <c r="C3757" s="1" t="n">
        <v>45627</v>
      </c>
      <c r="D3757" t="inlineStr">
        <is>
          <t>HALLANDS LÄN</t>
        </is>
      </c>
      <c r="E3757" t="inlineStr">
        <is>
          <t>HYLTE</t>
        </is>
      </c>
      <c r="G3757" t="n">
        <v>0.7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8293-2024</t>
        </is>
      </c>
      <c r="B3758" s="1" t="n">
        <v>45352</v>
      </c>
      <c r="C3758" s="1" t="n">
        <v>45627</v>
      </c>
      <c r="D3758" t="inlineStr">
        <is>
          <t>HALLANDS LÄN</t>
        </is>
      </c>
      <c r="E3758" t="inlineStr">
        <is>
          <t>HYLTE</t>
        </is>
      </c>
      <c r="G3758" t="n">
        <v>0.7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8298-2024</t>
        </is>
      </c>
      <c r="B3759" s="1" t="n">
        <v>45352</v>
      </c>
      <c r="C3759" s="1" t="n">
        <v>45627</v>
      </c>
      <c r="D3759" t="inlineStr">
        <is>
          <t>HALLANDS LÄN</t>
        </is>
      </c>
      <c r="E3759" t="inlineStr">
        <is>
          <t>HYLTE</t>
        </is>
      </c>
      <c r="G3759" t="n">
        <v>4.6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8318-2024</t>
        </is>
      </c>
      <c r="B3760" s="1" t="n">
        <v>45352</v>
      </c>
      <c r="C3760" s="1" t="n">
        <v>45627</v>
      </c>
      <c r="D3760" t="inlineStr">
        <is>
          <t>HALLANDS LÄN</t>
        </is>
      </c>
      <c r="E3760" t="inlineStr">
        <is>
          <t>HYLTE</t>
        </is>
      </c>
      <c r="G3760" t="n">
        <v>0.6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8351-2024</t>
        </is>
      </c>
      <c r="B3761" s="1" t="n">
        <v>45352</v>
      </c>
      <c r="C3761" s="1" t="n">
        <v>45627</v>
      </c>
      <c r="D3761" t="inlineStr">
        <is>
          <t>HALLANDS LÄN</t>
        </is>
      </c>
      <c r="E3761" t="inlineStr">
        <is>
          <t>HYLTE</t>
        </is>
      </c>
      <c r="G3761" t="n">
        <v>1.7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8353-2024</t>
        </is>
      </c>
      <c r="B3762" s="1" t="n">
        <v>45352</v>
      </c>
      <c r="C3762" s="1" t="n">
        <v>45627</v>
      </c>
      <c r="D3762" t="inlineStr">
        <is>
          <t>HALLANDS LÄN</t>
        </is>
      </c>
      <c r="E3762" t="inlineStr">
        <is>
          <t>HYLTE</t>
        </is>
      </c>
      <c r="G3762" t="n">
        <v>2.1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8393-2024</t>
        </is>
      </c>
      <c r="B3763" s="1" t="n">
        <v>45352</v>
      </c>
      <c r="C3763" s="1" t="n">
        <v>45627</v>
      </c>
      <c r="D3763" t="inlineStr">
        <is>
          <t>HALLANDS LÄN</t>
        </is>
      </c>
      <c r="E3763" t="inlineStr">
        <is>
          <t>FALKENBERG</t>
        </is>
      </c>
      <c r="G3763" t="n">
        <v>1.3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8287-2024</t>
        </is>
      </c>
      <c r="B3764" s="1" t="n">
        <v>45352</v>
      </c>
      <c r="C3764" s="1" t="n">
        <v>45627</v>
      </c>
      <c r="D3764" t="inlineStr">
        <is>
          <t>HALLANDS LÄN</t>
        </is>
      </c>
      <c r="E3764" t="inlineStr">
        <is>
          <t>HYLTE</t>
        </is>
      </c>
      <c r="G3764" t="n">
        <v>0.5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8301-2024</t>
        </is>
      </c>
      <c r="B3765" s="1" t="n">
        <v>45352</v>
      </c>
      <c r="C3765" s="1" t="n">
        <v>45627</v>
      </c>
      <c r="D3765" t="inlineStr">
        <is>
          <t>HALLANDS LÄN</t>
        </is>
      </c>
      <c r="E3765" t="inlineStr">
        <is>
          <t>HYLTE</t>
        </is>
      </c>
      <c r="G3765" t="n">
        <v>1.3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8391-2024</t>
        </is>
      </c>
      <c r="B3766" s="1" t="n">
        <v>45352</v>
      </c>
      <c r="C3766" s="1" t="n">
        <v>45627</v>
      </c>
      <c r="D3766" t="inlineStr">
        <is>
          <t>HALLANDS LÄN</t>
        </is>
      </c>
      <c r="E3766" t="inlineStr">
        <is>
          <t>FALKENBERG</t>
        </is>
      </c>
      <c r="G3766" t="n">
        <v>7.7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8483-2024</t>
        </is>
      </c>
      <c r="B3767" s="1" t="n">
        <v>45355</v>
      </c>
      <c r="C3767" s="1" t="n">
        <v>45627</v>
      </c>
      <c r="D3767" t="inlineStr">
        <is>
          <t>HALLANDS LÄN</t>
        </is>
      </c>
      <c r="E3767" t="inlineStr">
        <is>
          <t>FALKENBERG</t>
        </is>
      </c>
      <c r="G3767" t="n">
        <v>2.7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8484-2024</t>
        </is>
      </c>
      <c r="B3768" s="1" t="n">
        <v>45355</v>
      </c>
      <c r="C3768" s="1" t="n">
        <v>45627</v>
      </c>
      <c r="D3768" t="inlineStr">
        <is>
          <t>HALLANDS LÄN</t>
        </is>
      </c>
      <c r="E3768" t="inlineStr">
        <is>
          <t>FALKENBERG</t>
        </is>
      </c>
      <c r="G3768" t="n">
        <v>1.1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8605-2024</t>
        </is>
      </c>
      <c r="B3769" s="1" t="n">
        <v>45355</v>
      </c>
      <c r="C3769" s="1" t="n">
        <v>45627</v>
      </c>
      <c r="D3769" t="inlineStr">
        <is>
          <t>HALLANDS LÄN</t>
        </is>
      </c>
      <c r="E3769" t="inlineStr">
        <is>
          <t>LAHOLM</t>
        </is>
      </c>
      <c r="G3769" t="n">
        <v>3.9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8516-2024</t>
        </is>
      </c>
      <c r="B3770" s="1" t="n">
        <v>45355</v>
      </c>
      <c r="C3770" s="1" t="n">
        <v>45627</v>
      </c>
      <c r="D3770" t="inlineStr">
        <is>
          <t>HALLANDS LÄN</t>
        </is>
      </c>
      <c r="E3770" t="inlineStr">
        <is>
          <t>FALKENBERG</t>
        </is>
      </c>
      <c r="G3770" t="n">
        <v>1.2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8709-2024</t>
        </is>
      </c>
      <c r="B3771" s="1" t="n">
        <v>45356</v>
      </c>
      <c r="C3771" s="1" t="n">
        <v>45627</v>
      </c>
      <c r="D3771" t="inlineStr">
        <is>
          <t>HALLANDS LÄN</t>
        </is>
      </c>
      <c r="E3771" t="inlineStr">
        <is>
          <t>HALMSTAD</t>
        </is>
      </c>
      <c r="G3771" t="n">
        <v>3.7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8680-2024</t>
        </is>
      </c>
      <c r="B3772" s="1" t="n">
        <v>45356</v>
      </c>
      <c r="C3772" s="1" t="n">
        <v>45627</v>
      </c>
      <c r="D3772" t="inlineStr">
        <is>
          <t>HALLANDS LÄN</t>
        </is>
      </c>
      <c r="E3772" t="inlineStr">
        <is>
          <t>VARBERG</t>
        </is>
      </c>
      <c r="G3772" t="n">
        <v>0.7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8705-2024</t>
        </is>
      </c>
      <c r="B3773" s="1" t="n">
        <v>45356</v>
      </c>
      <c r="C3773" s="1" t="n">
        <v>45627</v>
      </c>
      <c r="D3773" t="inlineStr">
        <is>
          <t>HALLANDS LÄN</t>
        </is>
      </c>
      <c r="E3773" t="inlineStr">
        <is>
          <t>HALMSTAD</t>
        </is>
      </c>
      <c r="G3773" t="n">
        <v>0.7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8789-2024</t>
        </is>
      </c>
      <c r="B3774" s="1" t="n">
        <v>45356</v>
      </c>
      <c r="C3774" s="1" t="n">
        <v>45627</v>
      </c>
      <c r="D3774" t="inlineStr">
        <is>
          <t>HALLANDS LÄN</t>
        </is>
      </c>
      <c r="E3774" t="inlineStr">
        <is>
          <t>KUNGSBACKA</t>
        </is>
      </c>
      <c r="G3774" t="n">
        <v>1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8676-2024</t>
        </is>
      </c>
      <c r="B3775" s="1" t="n">
        <v>45356</v>
      </c>
      <c r="C3775" s="1" t="n">
        <v>45627</v>
      </c>
      <c r="D3775" t="inlineStr">
        <is>
          <t>HALLANDS LÄN</t>
        </is>
      </c>
      <c r="E3775" t="inlineStr">
        <is>
          <t>VARBERG</t>
        </is>
      </c>
      <c r="G3775" t="n">
        <v>0.8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8891-2024</t>
        </is>
      </c>
      <c r="B3776" s="1" t="n">
        <v>45357</v>
      </c>
      <c r="C3776" s="1" t="n">
        <v>45627</v>
      </c>
      <c r="D3776" t="inlineStr">
        <is>
          <t>HALLANDS LÄN</t>
        </is>
      </c>
      <c r="E3776" t="inlineStr">
        <is>
          <t>LAHOLM</t>
        </is>
      </c>
      <c r="G3776" t="n">
        <v>4.2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9038-2024</t>
        </is>
      </c>
      <c r="B3777" s="1" t="n">
        <v>45357</v>
      </c>
      <c r="C3777" s="1" t="n">
        <v>45627</v>
      </c>
      <c r="D3777" t="inlineStr">
        <is>
          <t>HALLANDS LÄN</t>
        </is>
      </c>
      <c r="E3777" t="inlineStr">
        <is>
          <t>FALKENBERG</t>
        </is>
      </c>
      <c r="G3777" t="n">
        <v>1.9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8892-2024</t>
        </is>
      </c>
      <c r="B3778" s="1" t="n">
        <v>45357</v>
      </c>
      <c r="C3778" s="1" t="n">
        <v>45627</v>
      </c>
      <c r="D3778" t="inlineStr">
        <is>
          <t>HALLANDS LÄN</t>
        </is>
      </c>
      <c r="E3778" t="inlineStr">
        <is>
          <t>FALKENBERG</t>
        </is>
      </c>
      <c r="G3778" t="n">
        <v>5.1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8897-2024</t>
        </is>
      </c>
      <c r="B3779" s="1" t="n">
        <v>45357</v>
      </c>
      <c r="C3779" s="1" t="n">
        <v>45627</v>
      </c>
      <c r="D3779" t="inlineStr">
        <is>
          <t>HALLANDS LÄN</t>
        </is>
      </c>
      <c r="E3779" t="inlineStr">
        <is>
          <t>VARBERG</t>
        </is>
      </c>
      <c r="G3779" t="n">
        <v>1.9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8916-2024</t>
        </is>
      </c>
      <c r="B3780" s="1" t="n">
        <v>45357</v>
      </c>
      <c r="C3780" s="1" t="n">
        <v>45627</v>
      </c>
      <c r="D3780" t="inlineStr">
        <is>
          <t>HALLANDS LÄN</t>
        </is>
      </c>
      <c r="E3780" t="inlineStr">
        <is>
          <t>HYLTE</t>
        </is>
      </c>
      <c r="G3780" t="n">
        <v>0.9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8894-2024</t>
        </is>
      </c>
      <c r="B3781" s="1" t="n">
        <v>45357</v>
      </c>
      <c r="C3781" s="1" t="n">
        <v>45627</v>
      </c>
      <c r="D3781" t="inlineStr">
        <is>
          <t>HALLANDS LÄN</t>
        </is>
      </c>
      <c r="E3781" t="inlineStr">
        <is>
          <t>LAHOLM</t>
        </is>
      </c>
      <c r="G3781" t="n">
        <v>0.8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8908-2024</t>
        </is>
      </c>
      <c r="B3782" s="1" t="n">
        <v>45357</v>
      </c>
      <c r="C3782" s="1" t="n">
        <v>45627</v>
      </c>
      <c r="D3782" t="inlineStr">
        <is>
          <t>HALLANDS LÄN</t>
        </is>
      </c>
      <c r="E3782" t="inlineStr">
        <is>
          <t>FALKENBERG</t>
        </is>
      </c>
      <c r="G3782" t="n">
        <v>0.8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8912-2024</t>
        </is>
      </c>
      <c r="B3783" s="1" t="n">
        <v>45357</v>
      </c>
      <c r="C3783" s="1" t="n">
        <v>45627</v>
      </c>
      <c r="D3783" t="inlineStr">
        <is>
          <t>HALLANDS LÄN</t>
        </is>
      </c>
      <c r="E3783" t="inlineStr">
        <is>
          <t>HYLTE</t>
        </is>
      </c>
      <c r="G3783" t="n">
        <v>4.5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8900-2024</t>
        </is>
      </c>
      <c r="B3784" s="1" t="n">
        <v>45357</v>
      </c>
      <c r="C3784" s="1" t="n">
        <v>45627</v>
      </c>
      <c r="D3784" t="inlineStr">
        <is>
          <t>HALLANDS LÄN</t>
        </is>
      </c>
      <c r="E3784" t="inlineStr">
        <is>
          <t>FALKENBERG</t>
        </is>
      </c>
      <c r="G3784" t="n">
        <v>2.2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9031-2024</t>
        </is>
      </c>
      <c r="B3785" s="1" t="n">
        <v>45357</v>
      </c>
      <c r="C3785" s="1" t="n">
        <v>45627</v>
      </c>
      <c r="D3785" t="inlineStr">
        <is>
          <t>HALLANDS LÄN</t>
        </is>
      </c>
      <c r="E3785" t="inlineStr">
        <is>
          <t>LAHOLM</t>
        </is>
      </c>
      <c r="G3785" t="n">
        <v>4.4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9060-2024</t>
        </is>
      </c>
      <c r="B3786" s="1" t="n">
        <v>45357</v>
      </c>
      <c r="C3786" s="1" t="n">
        <v>45627</v>
      </c>
      <c r="D3786" t="inlineStr">
        <is>
          <t>HALLANDS LÄN</t>
        </is>
      </c>
      <c r="E3786" t="inlineStr">
        <is>
          <t>HYLTE</t>
        </is>
      </c>
      <c r="G3786" t="n">
        <v>4.3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9092-2024</t>
        </is>
      </c>
      <c r="B3787" s="1" t="n">
        <v>45357</v>
      </c>
      <c r="C3787" s="1" t="n">
        <v>45627</v>
      </c>
      <c r="D3787" t="inlineStr">
        <is>
          <t>HALLANDS LÄN</t>
        </is>
      </c>
      <c r="E3787" t="inlineStr">
        <is>
          <t>HALMSTAD</t>
        </is>
      </c>
      <c r="G3787" t="n">
        <v>0.4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9096-2024</t>
        </is>
      </c>
      <c r="B3788" s="1" t="n">
        <v>45357</v>
      </c>
      <c r="C3788" s="1" t="n">
        <v>45627</v>
      </c>
      <c r="D3788" t="inlineStr">
        <is>
          <t>HALLANDS LÄN</t>
        </is>
      </c>
      <c r="E3788" t="inlineStr">
        <is>
          <t>HALMSTAD</t>
        </is>
      </c>
      <c r="G3788" t="n">
        <v>0.6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9098-2024</t>
        </is>
      </c>
      <c r="B3789" s="1" t="n">
        <v>45357</v>
      </c>
      <c r="C3789" s="1" t="n">
        <v>45627</v>
      </c>
      <c r="D3789" t="inlineStr">
        <is>
          <t>HALLANDS LÄN</t>
        </is>
      </c>
      <c r="E3789" t="inlineStr">
        <is>
          <t>HALMSTAD</t>
        </is>
      </c>
      <c r="G3789" t="n">
        <v>1.1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9097-2024</t>
        </is>
      </c>
      <c r="B3790" s="1" t="n">
        <v>45357</v>
      </c>
      <c r="C3790" s="1" t="n">
        <v>45627</v>
      </c>
      <c r="D3790" t="inlineStr">
        <is>
          <t>HALLANDS LÄN</t>
        </is>
      </c>
      <c r="E3790" t="inlineStr">
        <is>
          <t>HALMSTAD</t>
        </is>
      </c>
      <c r="G3790" t="n">
        <v>1.4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9128-2024</t>
        </is>
      </c>
      <c r="B3791" s="1" t="n">
        <v>45358</v>
      </c>
      <c r="C3791" s="1" t="n">
        <v>45627</v>
      </c>
      <c r="D3791" t="inlineStr">
        <is>
          <t>HALLANDS LÄN</t>
        </is>
      </c>
      <c r="E3791" t="inlineStr">
        <is>
          <t>FALKENBERG</t>
        </is>
      </c>
      <c r="G3791" t="n">
        <v>2.2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9146-2024</t>
        </is>
      </c>
      <c r="B3792" s="1" t="n">
        <v>45358</v>
      </c>
      <c r="C3792" s="1" t="n">
        <v>45627</v>
      </c>
      <c r="D3792" t="inlineStr">
        <is>
          <t>HALLANDS LÄN</t>
        </is>
      </c>
      <c r="E3792" t="inlineStr">
        <is>
          <t>HALMSTAD</t>
        </is>
      </c>
      <c r="G3792" t="n">
        <v>1.6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9150-2024</t>
        </is>
      </c>
      <c r="B3793" s="1" t="n">
        <v>45358</v>
      </c>
      <c r="C3793" s="1" t="n">
        <v>45627</v>
      </c>
      <c r="D3793" t="inlineStr">
        <is>
          <t>HALLANDS LÄN</t>
        </is>
      </c>
      <c r="E3793" t="inlineStr">
        <is>
          <t>LAHOLM</t>
        </is>
      </c>
      <c r="G3793" t="n">
        <v>0.8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9148-2024</t>
        </is>
      </c>
      <c r="B3794" s="1" t="n">
        <v>45358</v>
      </c>
      <c r="C3794" s="1" t="n">
        <v>45627</v>
      </c>
      <c r="D3794" t="inlineStr">
        <is>
          <t>HALLANDS LÄN</t>
        </is>
      </c>
      <c r="E3794" t="inlineStr">
        <is>
          <t>HALMSTAD</t>
        </is>
      </c>
      <c r="G3794" t="n">
        <v>0.6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9149-2024</t>
        </is>
      </c>
      <c r="B3795" s="1" t="n">
        <v>45358</v>
      </c>
      <c r="C3795" s="1" t="n">
        <v>45627</v>
      </c>
      <c r="D3795" t="inlineStr">
        <is>
          <t>HALLANDS LÄN</t>
        </is>
      </c>
      <c r="E3795" t="inlineStr">
        <is>
          <t>HALMSTAD</t>
        </is>
      </c>
      <c r="G3795" t="n">
        <v>2.3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9469-2024</t>
        </is>
      </c>
      <c r="B3796" s="1" t="n">
        <v>45358</v>
      </c>
      <c r="C3796" s="1" t="n">
        <v>45627</v>
      </c>
      <c r="D3796" t="inlineStr">
        <is>
          <t>HALLANDS LÄN</t>
        </is>
      </c>
      <c r="E3796" t="inlineStr">
        <is>
          <t>HYLTE</t>
        </is>
      </c>
      <c r="F3796" t="inlineStr">
        <is>
          <t>Kyrkan</t>
        </is>
      </c>
      <c r="G3796" t="n">
        <v>1.5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9349-2024</t>
        </is>
      </c>
      <c r="B3797" s="1" t="n">
        <v>45359</v>
      </c>
      <c r="C3797" s="1" t="n">
        <v>45627</v>
      </c>
      <c r="D3797" t="inlineStr">
        <is>
          <t>HALLANDS LÄN</t>
        </is>
      </c>
      <c r="E3797" t="inlineStr">
        <is>
          <t>VARBERG</t>
        </is>
      </c>
      <c r="G3797" t="n">
        <v>1.4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9377-2024</t>
        </is>
      </c>
      <c r="B3798" s="1" t="n">
        <v>45359</v>
      </c>
      <c r="C3798" s="1" t="n">
        <v>45627</v>
      </c>
      <c r="D3798" t="inlineStr">
        <is>
          <t>HALLANDS LÄN</t>
        </is>
      </c>
      <c r="E3798" t="inlineStr">
        <is>
          <t>HYLTE</t>
        </is>
      </c>
      <c r="G3798" t="n">
        <v>0.6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9414-2024</t>
        </is>
      </c>
      <c r="B3799" s="1" t="n">
        <v>45359</v>
      </c>
      <c r="C3799" s="1" t="n">
        <v>45627</v>
      </c>
      <c r="D3799" t="inlineStr">
        <is>
          <t>HALLANDS LÄN</t>
        </is>
      </c>
      <c r="E3799" t="inlineStr">
        <is>
          <t>KUNGSBACKA</t>
        </is>
      </c>
      <c r="G3799" t="n">
        <v>0.7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9430-2024</t>
        </is>
      </c>
      <c r="B3800" s="1" t="n">
        <v>45359</v>
      </c>
      <c r="C3800" s="1" t="n">
        <v>45627</v>
      </c>
      <c r="D3800" t="inlineStr">
        <is>
          <t>HALLANDS LÄN</t>
        </is>
      </c>
      <c r="E3800" t="inlineStr">
        <is>
          <t>KUNGSBACKA</t>
        </is>
      </c>
      <c r="G3800" t="n">
        <v>2.1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9373-2024</t>
        </is>
      </c>
      <c r="B3801" s="1" t="n">
        <v>45359</v>
      </c>
      <c r="C3801" s="1" t="n">
        <v>45627</v>
      </c>
      <c r="D3801" t="inlineStr">
        <is>
          <t>HALLANDS LÄN</t>
        </is>
      </c>
      <c r="E3801" t="inlineStr">
        <is>
          <t>HYLTE</t>
        </is>
      </c>
      <c r="G3801" t="n">
        <v>1.2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9348-2024</t>
        </is>
      </c>
      <c r="B3802" s="1" t="n">
        <v>45359</v>
      </c>
      <c r="C3802" s="1" t="n">
        <v>45627</v>
      </c>
      <c r="D3802" t="inlineStr">
        <is>
          <t>HALLANDS LÄN</t>
        </is>
      </c>
      <c r="E3802" t="inlineStr">
        <is>
          <t>VARBERG</t>
        </is>
      </c>
      <c r="G3802" t="n">
        <v>1.3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9360-2024</t>
        </is>
      </c>
      <c r="B3803" s="1" t="n">
        <v>45359</v>
      </c>
      <c r="C3803" s="1" t="n">
        <v>45627</v>
      </c>
      <c r="D3803" t="inlineStr">
        <is>
          <t>HALLANDS LÄN</t>
        </is>
      </c>
      <c r="E3803" t="inlineStr">
        <is>
          <t>HYLTE</t>
        </is>
      </c>
      <c r="G3803" t="n">
        <v>3.8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9409-2024</t>
        </is>
      </c>
      <c r="B3804" s="1" t="n">
        <v>45359</v>
      </c>
      <c r="C3804" s="1" t="n">
        <v>45627</v>
      </c>
      <c r="D3804" t="inlineStr">
        <is>
          <t>HALLANDS LÄN</t>
        </is>
      </c>
      <c r="E3804" t="inlineStr">
        <is>
          <t>KUNGSBACKA</t>
        </is>
      </c>
      <c r="F3804" t="inlineStr">
        <is>
          <t>Kyrkan</t>
        </is>
      </c>
      <c r="G3804" t="n">
        <v>0.1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9421-2024</t>
        </is>
      </c>
      <c r="B3805" s="1" t="n">
        <v>45359</v>
      </c>
      <c r="C3805" s="1" t="n">
        <v>45627</v>
      </c>
      <c r="D3805" t="inlineStr">
        <is>
          <t>HALLANDS LÄN</t>
        </is>
      </c>
      <c r="E3805" t="inlineStr">
        <is>
          <t>KUNGSBACKA</t>
        </is>
      </c>
      <c r="G3805" t="n">
        <v>1.5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9476-2024</t>
        </is>
      </c>
      <c r="B3806" s="1" t="n">
        <v>45359</v>
      </c>
      <c r="C3806" s="1" t="n">
        <v>45627</v>
      </c>
      <c r="D3806" t="inlineStr">
        <is>
          <t>HALLANDS LÄN</t>
        </is>
      </c>
      <c r="E3806" t="inlineStr">
        <is>
          <t>VARBERG</t>
        </is>
      </c>
      <c r="G3806" t="n">
        <v>0.5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9492-2024</t>
        </is>
      </c>
      <c r="B3807" s="1" t="n">
        <v>45359</v>
      </c>
      <c r="C3807" s="1" t="n">
        <v>45627</v>
      </c>
      <c r="D3807" t="inlineStr">
        <is>
          <t>HALLANDS LÄN</t>
        </is>
      </c>
      <c r="E3807" t="inlineStr">
        <is>
          <t>KUNGSBACKA</t>
        </is>
      </c>
      <c r="F3807" t="inlineStr">
        <is>
          <t>Kyrkan</t>
        </is>
      </c>
      <c r="G3807" t="n">
        <v>1.7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9412-2024</t>
        </is>
      </c>
      <c r="B3808" s="1" t="n">
        <v>45359</v>
      </c>
      <c r="C3808" s="1" t="n">
        <v>45627</v>
      </c>
      <c r="D3808" t="inlineStr">
        <is>
          <t>HALLANDS LÄN</t>
        </is>
      </c>
      <c r="E3808" t="inlineStr">
        <is>
          <t>KUNGSBACKA</t>
        </is>
      </c>
      <c r="G3808" t="n">
        <v>0.5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9420-2024</t>
        </is>
      </c>
      <c r="B3809" s="1" t="n">
        <v>45359</v>
      </c>
      <c r="C3809" s="1" t="n">
        <v>45627</v>
      </c>
      <c r="D3809" t="inlineStr">
        <is>
          <t>HALLANDS LÄN</t>
        </is>
      </c>
      <c r="E3809" t="inlineStr">
        <is>
          <t>VARBERG</t>
        </is>
      </c>
      <c r="G3809" t="n">
        <v>2.5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9424-2024</t>
        </is>
      </c>
      <c r="B3810" s="1" t="n">
        <v>45359</v>
      </c>
      <c r="C3810" s="1" t="n">
        <v>45627</v>
      </c>
      <c r="D3810" t="inlineStr">
        <is>
          <t>HALLANDS LÄN</t>
        </is>
      </c>
      <c r="E3810" t="inlineStr">
        <is>
          <t>KUNGSBACKA</t>
        </is>
      </c>
      <c r="G3810" t="n">
        <v>10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9546-2024</t>
        </is>
      </c>
      <c r="B3811" s="1" t="n">
        <v>45359</v>
      </c>
      <c r="C3811" s="1" t="n">
        <v>45627</v>
      </c>
      <c r="D3811" t="inlineStr">
        <is>
          <t>HALLANDS LÄN</t>
        </is>
      </c>
      <c r="E3811" t="inlineStr">
        <is>
          <t>HALMSTAD</t>
        </is>
      </c>
      <c r="G3811" t="n">
        <v>3.8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9548-2024</t>
        </is>
      </c>
      <c r="B3812" s="1" t="n">
        <v>45359</v>
      </c>
      <c r="C3812" s="1" t="n">
        <v>45627</v>
      </c>
      <c r="D3812" t="inlineStr">
        <is>
          <t>HALLANDS LÄN</t>
        </is>
      </c>
      <c r="E3812" t="inlineStr">
        <is>
          <t>KUNGSBACKA</t>
        </is>
      </c>
      <c r="G3812" t="n">
        <v>0.3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9415-2024</t>
        </is>
      </c>
      <c r="B3813" s="1" t="n">
        <v>45359</v>
      </c>
      <c r="C3813" s="1" t="n">
        <v>45627</v>
      </c>
      <c r="D3813" t="inlineStr">
        <is>
          <t>HALLANDS LÄN</t>
        </is>
      </c>
      <c r="E3813" t="inlineStr">
        <is>
          <t>KUNGSBACKA</t>
        </is>
      </c>
      <c r="G3813" t="n">
        <v>2.8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9423-2024</t>
        </is>
      </c>
      <c r="B3814" s="1" t="n">
        <v>45359</v>
      </c>
      <c r="C3814" s="1" t="n">
        <v>45627</v>
      </c>
      <c r="D3814" t="inlineStr">
        <is>
          <t>HALLANDS LÄN</t>
        </is>
      </c>
      <c r="E3814" t="inlineStr">
        <is>
          <t>KUNGSBACKA</t>
        </is>
      </c>
      <c r="G3814" t="n">
        <v>0.7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9527-2024</t>
        </is>
      </c>
      <c r="B3815" s="1" t="n">
        <v>45359</v>
      </c>
      <c r="C3815" s="1" t="n">
        <v>45627</v>
      </c>
      <c r="D3815" t="inlineStr">
        <is>
          <t>HALLANDS LÄN</t>
        </is>
      </c>
      <c r="E3815" t="inlineStr">
        <is>
          <t>KUNGSBACKA</t>
        </is>
      </c>
      <c r="F3815" t="inlineStr">
        <is>
          <t>Kyrkan</t>
        </is>
      </c>
      <c r="G3815" t="n">
        <v>0.6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9613-2024</t>
        </is>
      </c>
      <c r="B3816" s="1" t="n">
        <v>45361</v>
      </c>
      <c r="C3816" s="1" t="n">
        <v>45627</v>
      </c>
      <c r="D3816" t="inlineStr">
        <is>
          <t>HALLANDS LÄN</t>
        </is>
      </c>
      <c r="E3816" t="inlineStr">
        <is>
          <t>HYLTE</t>
        </is>
      </c>
      <c r="G3816" t="n">
        <v>1.1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9614-2024</t>
        </is>
      </c>
      <c r="B3817" s="1" t="n">
        <v>45361</v>
      </c>
      <c r="C3817" s="1" t="n">
        <v>45627</v>
      </c>
      <c r="D3817" t="inlineStr">
        <is>
          <t>HALLANDS LÄN</t>
        </is>
      </c>
      <c r="E3817" t="inlineStr">
        <is>
          <t>VARBERG</t>
        </is>
      </c>
      <c r="G3817" t="n">
        <v>2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9694-2024</t>
        </is>
      </c>
      <c r="B3818" s="1" t="n">
        <v>45362</v>
      </c>
      <c r="C3818" s="1" t="n">
        <v>45627</v>
      </c>
      <c r="D3818" t="inlineStr">
        <is>
          <t>HALLANDS LÄN</t>
        </is>
      </c>
      <c r="E3818" t="inlineStr">
        <is>
          <t>LAHOLM</t>
        </is>
      </c>
      <c r="G3818" t="n">
        <v>6.3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9718-2024</t>
        </is>
      </c>
      <c r="B3819" s="1" t="n">
        <v>45362</v>
      </c>
      <c r="C3819" s="1" t="n">
        <v>45627</v>
      </c>
      <c r="D3819" t="inlineStr">
        <is>
          <t>HALLANDS LÄN</t>
        </is>
      </c>
      <c r="E3819" t="inlineStr">
        <is>
          <t>VARBERG</t>
        </is>
      </c>
      <c r="G3819" t="n">
        <v>7.2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9839-2024</t>
        </is>
      </c>
      <c r="B3820" s="1" t="n">
        <v>45363</v>
      </c>
      <c r="C3820" s="1" t="n">
        <v>45627</v>
      </c>
      <c r="D3820" t="inlineStr">
        <is>
          <t>HALLANDS LÄN</t>
        </is>
      </c>
      <c r="E3820" t="inlineStr">
        <is>
          <t>HALMSTAD</t>
        </is>
      </c>
      <c r="G3820" t="n">
        <v>0.5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9972-2024</t>
        </is>
      </c>
      <c r="B3821" s="1" t="n">
        <v>45363</v>
      </c>
      <c r="C3821" s="1" t="n">
        <v>45627</v>
      </c>
      <c r="D3821" t="inlineStr">
        <is>
          <t>HALLANDS LÄN</t>
        </is>
      </c>
      <c r="E3821" t="inlineStr">
        <is>
          <t>LAHOLM</t>
        </is>
      </c>
      <c r="G3821" t="n">
        <v>1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9848-2024</t>
        </is>
      </c>
      <c r="B3822" s="1" t="n">
        <v>45363</v>
      </c>
      <c r="C3822" s="1" t="n">
        <v>45627</v>
      </c>
      <c r="D3822" t="inlineStr">
        <is>
          <t>HALLANDS LÄN</t>
        </is>
      </c>
      <c r="E3822" t="inlineStr">
        <is>
          <t>KUNGSBACKA</t>
        </is>
      </c>
      <c r="F3822" t="inlineStr">
        <is>
          <t>Sveaskog</t>
        </is>
      </c>
      <c r="G3822" t="n">
        <v>1.5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9901-2024</t>
        </is>
      </c>
      <c r="B3823" s="1" t="n">
        <v>45363</v>
      </c>
      <c r="C3823" s="1" t="n">
        <v>45627</v>
      </c>
      <c r="D3823" t="inlineStr">
        <is>
          <t>HALLANDS LÄN</t>
        </is>
      </c>
      <c r="E3823" t="inlineStr">
        <is>
          <t>HYLTE</t>
        </is>
      </c>
      <c r="G3823" t="n">
        <v>1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9988-2024</t>
        </is>
      </c>
      <c r="B3824" s="1" t="n">
        <v>45363</v>
      </c>
      <c r="C3824" s="1" t="n">
        <v>45627</v>
      </c>
      <c r="D3824" t="inlineStr">
        <is>
          <t>HALLANDS LÄN</t>
        </is>
      </c>
      <c r="E3824" t="inlineStr">
        <is>
          <t>LAHOLM</t>
        </is>
      </c>
      <c r="G3824" t="n">
        <v>1.5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9992-2024</t>
        </is>
      </c>
      <c r="B3825" s="1" t="n">
        <v>45363</v>
      </c>
      <c r="C3825" s="1" t="n">
        <v>45627</v>
      </c>
      <c r="D3825" t="inlineStr">
        <is>
          <t>HALLANDS LÄN</t>
        </is>
      </c>
      <c r="E3825" t="inlineStr">
        <is>
          <t>LAHOLM</t>
        </is>
      </c>
      <c r="G3825" t="n">
        <v>0.9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9989-2024</t>
        </is>
      </c>
      <c r="B3826" s="1" t="n">
        <v>45363</v>
      </c>
      <c r="C3826" s="1" t="n">
        <v>45627</v>
      </c>
      <c r="D3826" t="inlineStr">
        <is>
          <t>HALLANDS LÄN</t>
        </is>
      </c>
      <c r="E3826" t="inlineStr">
        <is>
          <t>LAHOLM</t>
        </is>
      </c>
      <c r="G3826" t="n">
        <v>0.8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9993-2024</t>
        </is>
      </c>
      <c r="B3827" s="1" t="n">
        <v>45363</v>
      </c>
      <c r="C3827" s="1" t="n">
        <v>45627</v>
      </c>
      <c r="D3827" t="inlineStr">
        <is>
          <t>HALLANDS LÄN</t>
        </is>
      </c>
      <c r="E3827" t="inlineStr">
        <is>
          <t>LAHOLM</t>
        </is>
      </c>
      <c r="G3827" t="n">
        <v>1.6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10003-2024</t>
        </is>
      </c>
      <c r="B3828" s="1" t="n">
        <v>45363</v>
      </c>
      <c r="C3828" s="1" t="n">
        <v>45627</v>
      </c>
      <c r="D3828" t="inlineStr">
        <is>
          <t>HALLANDS LÄN</t>
        </is>
      </c>
      <c r="E3828" t="inlineStr">
        <is>
          <t>FALKENBERG</t>
        </is>
      </c>
      <c r="G3828" t="n">
        <v>0.4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9990-2024</t>
        </is>
      </c>
      <c r="B3829" s="1" t="n">
        <v>45363</v>
      </c>
      <c r="C3829" s="1" t="n">
        <v>45627</v>
      </c>
      <c r="D3829" t="inlineStr">
        <is>
          <t>HALLANDS LÄN</t>
        </is>
      </c>
      <c r="E3829" t="inlineStr">
        <is>
          <t>LAHOLM</t>
        </is>
      </c>
      <c r="G3829" t="n">
        <v>1.1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10053-2024</t>
        </is>
      </c>
      <c r="B3830" s="1" t="n">
        <v>45364</v>
      </c>
      <c r="C3830" s="1" t="n">
        <v>45627</v>
      </c>
      <c r="D3830" t="inlineStr">
        <is>
          <t>HALLANDS LÄN</t>
        </is>
      </c>
      <c r="E3830" t="inlineStr">
        <is>
          <t>LAHOLM</t>
        </is>
      </c>
      <c r="G3830" t="n">
        <v>0.7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10081-2024</t>
        </is>
      </c>
      <c r="B3831" s="1" t="n">
        <v>45364</v>
      </c>
      <c r="C3831" s="1" t="n">
        <v>45627</v>
      </c>
      <c r="D3831" t="inlineStr">
        <is>
          <t>HALLANDS LÄN</t>
        </is>
      </c>
      <c r="E3831" t="inlineStr">
        <is>
          <t>KUNGSBACKA</t>
        </is>
      </c>
      <c r="G3831" t="n">
        <v>3.2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10089-2024</t>
        </is>
      </c>
      <c r="B3832" s="1" t="n">
        <v>45364</v>
      </c>
      <c r="C3832" s="1" t="n">
        <v>45627</v>
      </c>
      <c r="D3832" t="inlineStr">
        <is>
          <t>HALLANDS LÄN</t>
        </is>
      </c>
      <c r="E3832" t="inlineStr">
        <is>
          <t>LAHOLM</t>
        </is>
      </c>
      <c r="G3832" t="n">
        <v>1.5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10169-2024</t>
        </is>
      </c>
      <c r="B3833" s="1" t="n">
        <v>45364</v>
      </c>
      <c r="C3833" s="1" t="n">
        <v>45627</v>
      </c>
      <c r="D3833" t="inlineStr">
        <is>
          <t>HALLANDS LÄN</t>
        </is>
      </c>
      <c r="E3833" t="inlineStr">
        <is>
          <t>VARBERG</t>
        </is>
      </c>
      <c r="G3833" t="n">
        <v>4.9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10102-2024</t>
        </is>
      </c>
      <c r="B3834" s="1" t="n">
        <v>45364</v>
      </c>
      <c r="C3834" s="1" t="n">
        <v>45627</v>
      </c>
      <c r="D3834" t="inlineStr">
        <is>
          <t>HALLANDS LÄN</t>
        </is>
      </c>
      <c r="E3834" t="inlineStr">
        <is>
          <t>FALKENBERG</t>
        </is>
      </c>
      <c r="F3834" t="inlineStr">
        <is>
          <t>Kyrkan</t>
        </is>
      </c>
      <c r="G3834" t="n">
        <v>1.7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10149-2024</t>
        </is>
      </c>
      <c r="B3835" s="1" t="n">
        <v>45364</v>
      </c>
      <c r="C3835" s="1" t="n">
        <v>45627</v>
      </c>
      <c r="D3835" t="inlineStr">
        <is>
          <t>HALLANDS LÄN</t>
        </is>
      </c>
      <c r="E3835" t="inlineStr">
        <is>
          <t>KUNGSBACKA</t>
        </is>
      </c>
      <c r="G3835" t="n">
        <v>0.6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10084-2024</t>
        </is>
      </c>
      <c r="B3836" s="1" t="n">
        <v>45364</v>
      </c>
      <c r="C3836" s="1" t="n">
        <v>45627</v>
      </c>
      <c r="D3836" t="inlineStr">
        <is>
          <t>HALLANDS LÄN</t>
        </is>
      </c>
      <c r="E3836" t="inlineStr">
        <is>
          <t>LAHOLM</t>
        </is>
      </c>
      <c r="G3836" t="n">
        <v>3.4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10170-2024</t>
        </is>
      </c>
      <c r="B3837" s="1" t="n">
        <v>45364</v>
      </c>
      <c r="C3837" s="1" t="n">
        <v>45627</v>
      </c>
      <c r="D3837" t="inlineStr">
        <is>
          <t>HALLANDS LÄN</t>
        </is>
      </c>
      <c r="E3837" t="inlineStr">
        <is>
          <t>VARBERG</t>
        </is>
      </c>
      <c r="G3837" t="n">
        <v>2.6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10265-2024</t>
        </is>
      </c>
      <c r="B3838" s="1" t="n">
        <v>45365</v>
      </c>
      <c r="C3838" s="1" t="n">
        <v>45627</v>
      </c>
      <c r="D3838" t="inlineStr">
        <is>
          <t>HALLANDS LÄN</t>
        </is>
      </c>
      <c r="E3838" t="inlineStr">
        <is>
          <t>HYLTE</t>
        </is>
      </c>
      <c r="G3838" t="n">
        <v>0.9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10225-2024</t>
        </is>
      </c>
      <c r="B3839" s="1" t="n">
        <v>45365</v>
      </c>
      <c r="C3839" s="1" t="n">
        <v>45627</v>
      </c>
      <c r="D3839" t="inlineStr">
        <is>
          <t>HALLANDS LÄN</t>
        </is>
      </c>
      <c r="E3839" t="inlineStr">
        <is>
          <t>HYLTE</t>
        </is>
      </c>
      <c r="G3839" t="n">
        <v>1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10396-2024</t>
        </is>
      </c>
      <c r="B3840" s="1" t="n">
        <v>45365</v>
      </c>
      <c r="C3840" s="1" t="n">
        <v>45627</v>
      </c>
      <c r="D3840" t="inlineStr">
        <is>
          <t>HALLANDS LÄN</t>
        </is>
      </c>
      <c r="E3840" t="inlineStr">
        <is>
          <t>KUNGSBACKA</t>
        </is>
      </c>
      <c r="G3840" t="n">
        <v>0.8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10428-2024</t>
        </is>
      </c>
      <c r="B3841" s="1" t="n">
        <v>45365</v>
      </c>
      <c r="C3841" s="1" t="n">
        <v>45627</v>
      </c>
      <c r="D3841" t="inlineStr">
        <is>
          <t>HALLANDS LÄN</t>
        </is>
      </c>
      <c r="E3841" t="inlineStr">
        <is>
          <t>VARBERG</t>
        </is>
      </c>
      <c r="G3841" t="n">
        <v>1.8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10531-2024</t>
        </is>
      </c>
      <c r="B3842" s="1" t="n">
        <v>45366</v>
      </c>
      <c r="C3842" s="1" t="n">
        <v>45627</v>
      </c>
      <c r="D3842" t="inlineStr">
        <is>
          <t>HALLANDS LÄN</t>
        </is>
      </c>
      <c r="E3842" t="inlineStr">
        <is>
          <t>HYLTE</t>
        </is>
      </c>
      <c r="G3842" t="n">
        <v>3.4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10572-2024</t>
        </is>
      </c>
      <c r="B3843" s="1" t="n">
        <v>45366</v>
      </c>
      <c r="C3843" s="1" t="n">
        <v>45627</v>
      </c>
      <c r="D3843" t="inlineStr">
        <is>
          <t>HALLANDS LÄN</t>
        </is>
      </c>
      <c r="E3843" t="inlineStr">
        <is>
          <t>KUNGSBACKA</t>
        </is>
      </c>
      <c r="G3843" t="n">
        <v>0.5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10600-2024</t>
        </is>
      </c>
      <c r="B3844" s="1" t="n">
        <v>45366</v>
      </c>
      <c r="C3844" s="1" t="n">
        <v>45627</v>
      </c>
      <c r="D3844" t="inlineStr">
        <is>
          <t>HALLANDS LÄN</t>
        </is>
      </c>
      <c r="E3844" t="inlineStr">
        <is>
          <t>HYLTE</t>
        </is>
      </c>
      <c r="F3844" t="inlineStr">
        <is>
          <t>Kyrkan</t>
        </is>
      </c>
      <c r="G3844" t="n">
        <v>5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10575-2024</t>
        </is>
      </c>
      <c r="B3845" s="1" t="n">
        <v>45366</v>
      </c>
      <c r="C3845" s="1" t="n">
        <v>45627</v>
      </c>
      <c r="D3845" t="inlineStr">
        <is>
          <t>HALLANDS LÄN</t>
        </is>
      </c>
      <c r="E3845" t="inlineStr">
        <is>
          <t>VARBERG</t>
        </is>
      </c>
      <c r="G3845" t="n">
        <v>0.9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10508-2024</t>
        </is>
      </c>
      <c r="B3846" s="1" t="n">
        <v>45368</v>
      </c>
      <c r="C3846" s="1" t="n">
        <v>45627</v>
      </c>
      <c r="D3846" t="inlineStr">
        <is>
          <t>HALLANDS LÄN</t>
        </is>
      </c>
      <c r="E3846" t="inlineStr">
        <is>
          <t>HYLTE</t>
        </is>
      </c>
      <c r="F3846" t="inlineStr">
        <is>
          <t>Kyrkan</t>
        </is>
      </c>
      <c r="G3846" t="n">
        <v>2.3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10808-2024</t>
        </is>
      </c>
      <c r="B3847" s="1" t="n">
        <v>45369</v>
      </c>
      <c r="C3847" s="1" t="n">
        <v>45627</v>
      </c>
      <c r="D3847" t="inlineStr">
        <is>
          <t>HALLANDS LÄN</t>
        </is>
      </c>
      <c r="E3847" t="inlineStr">
        <is>
          <t>VARBERG</t>
        </is>
      </c>
      <c r="G3847" t="n">
        <v>1.4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10821-2024</t>
        </is>
      </c>
      <c r="B3848" s="1" t="n">
        <v>45369</v>
      </c>
      <c r="C3848" s="1" t="n">
        <v>45627</v>
      </c>
      <c r="D3848" t="inlineStr">
        <is>
          <t>HALLANDS LÄN</t>
        </is>
      </c>
      <c r="E3848" t="inlineStr">
        <is>
          <t>FALKENBERG</t>
        </is>
      </c>
      <c r="G3848" t="n">
        <v>2.4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10949-2024</t>
        </is>
      </c>
      <c r="B3849" s="1" t="n">
        <v>45370</v>
      </c>
      <c r="C3849" s="1" t="n">
        <v>45627</v>
      </c>
      <c r="D3849" t="inlineStr">
        <is>
          <t>HALLANDS LÄN</t>
        </is>
      </c>
      <c r="E3849" t="inlineStr">
        <is>
          <t>KUNGSBACKA</t>
        </is>
      </c>
      <c r="G3849" t="n">
        <v>0.4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11171-2024</t>
        </is>
      </c>
      <c r="B3850" s="1" t="n">
        <v>45371</v>
      </c>
      <c r="C3850" s="1" t="n">
        <v>45627</v>
      </c>
      <c r="D3850" t="inlineStr">
        <is>
          <t>HALLANDS LÄN</t>
        </is>
      </c>
      <c r="E3850" t="inlineStr">
        <is>
          <t>HYLTE</t>
        </is>
      </c>
      <c r="G3850" t="n">
        <v>1.2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11175-2024</t>
        </is>
      </c>
      <c r="B3851" s="1" t="n">
        <v>45371</v>
      </c>
      <c r="C3851" s="1" t="n">
        <v>45627</v>
      </c>
      <c r="D3851" t="inlineStr">
        <is>
          <t>HALLANDS LÄN</t>
        </is>
      </c>
      <c r="E3851" t="inlineStr">
        <is>
          <t>HYLTE</t>
        </is>
      </c>
      <c r="G3851" t="n">
        <v>0.7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11170-2024</t>
        </is>
      </c>
      <c r="B3852" s="1" t="n">
        <v>45371</v>
      </c>
      <c r="C3852" s="1" t="n">
        <v>45627</v>
      </c>
      <c r="D3852" t="inlineStr">
        <is>
          <t>HALLANDS LÄN</t>
        </is>
      </c>
      <c r="E3852" t="inlineStr">
        <is>
          <t>HYLTE</t>
        </is>
      </c>
      <c r="G3852" t="n">
        <v>2.5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11178-2024</t>
        </is>
      </c>
      <c r="B3853" s="1" t="n">
        <v>45371</v>
      </c>
      <c r="C3853" s="1" t="n">
        <v>45627</v>
      </c>
      <c r="D3853" t="inlineStr">
        <is>
          <t>HALLANDS LÄN</t>
        </is>
      </c>
      <c r="E3853" t="inlineStr">
        <is>
          <t>HYLTE</t>
        </is>
      </c>
      <c r="G3853" t="n">
        <v>1.1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11186-2024</t>
        </is>
      </c>
      <c r="B3854" s="1" t="n">
        <v>45371</v>
      </c>
      <c r="C3854" s="1" t="n">
        <v>45627</v>
      </c>
      <c r="D3854" t="inlineStr">
        <is>
          <t>HALLANDS LÄN</t>
        </is>
      </c>
      <c r="E3854" t="inlineStr">
        <is>
          <t>HALMSTAD</t>
        </is>
      </c>
      <c r="G3854" t="n">
        <v>5.3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11306-2024</t>
        </is>
      </c>
      <c r="B3855" s="1" t="n">
        <v>45371</v>
      </c>
      <c r="C3855" s="1" t="n">
        <v>45627</v>
      </c>
      <c r="D3855" t="inlineStr">
        <is>
          <t>HALLANDS LÄN</t>
        </is>
      </c>
      <c r="E3855" t="inlineStr">
        <is>
          <t>KUNGSBACKA</t>
        </is>
      </c>
      <c r="G3855" t="n">
        <v>1.7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11310-2024</t>
        </is>
      </c>
      <c r="B3856" s="1" t="n">
        <v>45371</v>
      </c>
      <c r="C3856" s="1" t="n">
        <v>45627</v>
      </c>
      <c r="D3856" t="inlineStr">
        <is>
          <t>HALLANDS LÄN</t>
        </is>
      </c>
      <c r="E3856" t="inlineStr">
        <is>
          <t>KUNGSBACKA</t>
        </is>
      </c>
      <c r="G3856" t="n">
        <v>2.1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11293-2024</t>
        </is>
      </c>
      <c r="B3857" s="1" t="n">
        <v>45371</v>
      </c>
      <c r="C3857" s="1" t="n">
        <v>45627</v>
      </c>
      <c r="D3857" t="inlineStr">
        <is>
          <t>HALLANDS LÄN</t>
        </is>
      </c>
      <c r="E3857" t="inlineStr">
        <is>
          <t>KUNGSBACKA</t>
        </is>
      </c>
      <c r="G3857" t="n">
        <v>0.6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11296-2024</t>
        </is>
      </c>
      <c r="B3858" s="1" t="n">
        <v>45371</v>
      </c>
      <c r="C3858" s="1" t="n">
        <v>45627</v>
      </c>
      <c r="D3858" t="inlineStr">
        <is>
          <t>HALLANDS LÄN</t>
        </is>
      </c>
      <c r="E3858" t="inlineStr">
        <is>
          <t>KUNGSBACKA</t>
        </is>
      </c>
      <c r="G3858" t="n">
        <v>2.9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11404-2024</t>
        </is>
      </c>
      <c r="B3859" s="1" t="n">
        <v>45372</v>
      </c>
      <c r="C3859" s="1" t="n">
        <v>45627</v>
      </c>
      <c r="D3859" t="inlineStr">
        <is>
          <t>HALLANDS LÄN</t>
        </is>
      </c>
      <c r="E3859" t="inlineStr">
        <is>
          <t>HYLTE</t>
        </is>
      </c>
      <c r="G3859" t="n">
        <v>0.6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11403-2024</t>
        </is>
      </c>
      <c r="B3860" s="1" t="n">
        <v>45372</v>
      </c>
      <c r="C3860" s="1" t="n">
        <v>45627</v>
      </c>
      <c r="D3860" t="inlineStr">
        <is>
          <t>HALLANDS LÄN</t>
        </is>
      </c>
      <c r="E3860" t="inlineStr">
        <is>
          <t>HYLTE</t>
        </is>
      </c>
      <c r="G3860" t="n">
        <v>3.5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11455-2024</t>
        </is>
      </c>
      <c r="B3861" s="1" t="n">
        <v>45372</v>
      </c>
      <c r="C3861" s="1" t="n">
        <v>45627</v>
      </c>
      <c r="D3861" t="inlineStr">
        <is>
          <t>HALLANDS LÄN</t>
        </is>
      </c>
      <c r="E3861" t="inlineStr">
        <is>
          <t>HYLTE</t>
        </is>
      </c>
      <c r="G3861" t="n">
        <v>0.8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11406-2024</t>
        </is>
      </c>
      <c r="B3862" s="1" t="n">
        <v>45372</v>
      </c>
      <c r="C3862" s="1" t="n">
        <v>45627</v>
      </c>
      <c r="D3862" t="inlineStr">
        <is>
          <t>HALLANDS LÄN</t>
        </is>
      </c>
      <c r="E3862" t="inlineStr">
        <is>
          <t>HYLTE</t>
        </is>
      </c>
      <c r="G3862" t="n">
        <v>1.4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11419-2024</t>
        </is>
      </c>
      <c r="B3863" s="1" t="n">
        <v>45372</v>
      </c>
      <c r="C3863" s="1" t="n">
        <v>45627</v>
      </c>
      <c r="D3863" t="inlineStr">
        <is>
          <t>HALLANDS LÄN</t>
        </is>
      </c>
      <c r="E3863" t="inlineStr">
        <is>
          <t>LAHOLM</t>
        </is>
      </c>
      <c r="G3863" t="n">
        <v>0.9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11523-2024</t>
        </is>
      </c>
      <c r="B3864" s="1" t="n">
        <v>45372</v>
      </c>
      <c r="C3864" s="1" t="n">
        <v>45627</v>
      </c>
      <c r="D3864" t="inlineStr">
        <is>
          <t>HALLANDS LÄN</t>
        </is>
      </c>
      <c r="E3864" t="inlineStr">
        <is>
          <t>VARBERG</t>
        </is>
      </c>
      <c r="G3864" t="n">
        <v>1.6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11462-2024</t>
        </is>
      </c>
      <c r="B3865" s="1" t="n">
        <v>45372</v>
      </c>
      <c r="C3865" s="1" t="n">
        <v>45627</v>
      </c>
      <c r="D3865" t="inlineStr">
        <is>
          <t>HALLANDS LÄN</t>
        </is>
      </c>
      <c r="E3865" t="inlineStr">
        <is>
          <t>HYLTE</t>
        </is>
      </c>
      <c r="G3865" t="n">
        <v>1.2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11563-2024</t>
        </is>
      </c>
      <c r="B3866" s="1" t="n">
        <v>45373</v>
      </c>
      <c r="C3866" s="1" t="n">
        <v>45627</v>
      </c>
      <c r="D3866" t="inlineStr">
        <is>
          <t>HALLANDS LÄN</t>
        </is>
      </c>
      <c r="E3866" t="inlineStr">
        <is>
          <t>VARBERG</t>
        </is>
      </c>
      <c r="G3866" t="n">
        <v>3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11580-2024</t>
        </is>
      </c>
      <c r="B3867" s="1" t="n">
        <v>45373</v>
      </c>
      <c r="C3867" s="1" t="n">
        <v>45627</v>
      </c>
      <c r="D3867" t="inlineStr">
        <is>
          <t>HALLANDS LÄN</t>
        </is>
      </c>
      <c r="E3867" t="inlineStr">
        <is>
          <t>HALMSTAD</t>
        </is>
      </c>
      <c r="G3867" t="n">
        <v>2.2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11857-2024</t>
        </is>
      </c>
      <c r="B3868" s="1" t="n">
        <v>45376</v>
      </c>
      <c r="C3868" s="1" t="n">
        <v>45627</v>
      </c>
      <c r="D3868" t="inlineStr">
        <is>
          <t>HALLANDS LÄN</t>
        </is>
      </c>
      <c r="E3868" t="inlineStr">
        <is>
          <t>FALKENBERG</t>
        </is>
      </c>
      <c r="G3868" t="n">
        <v>1.6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12139-2024</t>
        </is>
      </c>
      <c r="B3869" s="1" t="n">
        <v>45377</v>
      </c>
      <c r="C3869" s="1" t="n">
        <v>45627</v>
      </c>
      <c r="D3869" t="inlineStr">
        <is>
          <t>HALLANDS LÄN</t>
        </is>
      </c>
      <c r="E3869" t="inlineStr">
        <is>
          <t>HYLTE</t>
        </is>
      </c>
      <c r="F3869" t="inlineStr">
        <is>
          <t>Kyrkan</t>
        </is>
      </c>
      <c r="G3869" t="n">
        <v>1.3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12074-2024</t>
        </is>
      </c>
      <c r="B3870" s="1" t="n">
        <v>45377</v>
      </c>
      <c r="C3870" s="1" t="n">
        <v>45627</v>
      </c>
      <c r="D3870" t="inlineStr">
        <is>
          <t>HALLANDS LÄN</t>
        </is>
      </c>
      <c r="E3870" t="inlineStr">
        <is>
          <t>FALKENBERG</t>
        </is>
      </c>
      <c r="G3870" t="n">
        <v>1.4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12001-2024</t>
        </is>
      </c>
      <c r="B3871" s="1" t="n">
        <v>45377</v>
      </c>
      <c r="C3871" s="1" t="n">
        <v>45627</v>
      </c>
      <c r="D3871" t="inlineStr">
        <is>
          <t>HALLANDS LÄN</t>
        </is>
      </c>
      <c r="E3871" t="inlineStr">
        <is>
          <t>LAHOLM</t>
        </is>
      </c>
      <c r="G3871" t="n">
        <v>0.9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11999-2024</t>
        </is>
      </c>
      <c r="B3872" s="1" t="n">
        <v>45377</v>
      </c>
      <c r="C3872" s="1" t="n">
        <v>45627</v>
      </c>
      <c r="D3872" t="inlineStr">
        <is>
          <t>HALLANDS LÄN</t>
        </is>
      </c>
      <c r="E3872" t="inlineStr">
        <is>
          <t>LAHOLM</t>
        </is>
      </c>
      <c r="G3872" t="n">
        <v>0.6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12076-2024</t>
        </is>
      </c>
      <c r="B3873" s="1" t="n">
        <v>45377</v>
      </c>
      <c r="C3873" s="1" t="n">
        <v>45627</v>
      </c>
      <c r="D3873" t="inlineStr">
        <is>
          <t>HALLANDS LÄN</t>
        </is>
      </c>
      <c r="E3873" t="inlineStr">
        <is>
          <t>FALKENBERG</t>
        </is>
      </c>
      <c r="G3873" t="n">
        <v>0.8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12259-2024</t>
        </is>
      </c>
      <c r="B3874" s="1" t="n">
        <v>45378</v>
      </c>
      <c r="C3874" s="1" t="n">
        <v>45627</v>
      </c>
      <c r="D3874" t="inlineStr">
        <is>
          <t>HALLANDS LÄN</t>
        </is>
      </c>
      <c r="E3874" t="inlineStr">
        <is>
          <t>HYLTE</t>
        </is>
      </c>
      <c r="G3874" t="n">
        <v>0.5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12299-2024</t>
        </is>
      </c>
      <c r="B3875" s="1" t="n">
        <v>45378</v>
      </c>
      <c r="C3875" s="1" t="n">
        <v>45627</v>
      </c>
      <c r="D3875" t="inlineStr">
        <is>
          <t>HALLANDS LÄN</t>
        </is>
      </c>
      <c r="E3875" t="inlineStr">
        <is>
          <t>VARBERG</t>
        </is>
      </c>
      <c r="G3875" t="n">
        <v>2.3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12303-2024</t>
        </is>
      </c>
      <c r="B3876" s="1" t="n">
        <v>45378</v>
      </c>
      <c r="C3876" s="1" t="n">
        <v>45627</v>
      </c>
      <c r="D3876" t="inlineStr">
        <is>
          <t>HALLANDS LÄN</t>
        </is>
      </c>
      <c r="E3876" t="inlineStr">
        <is>
          <t>VARBERG</t>
        </is>
      </c>
      <c r="G3876" t="n">
        <v>3.7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12307-2024</t>
        </is>
      </c>
      <c r="B3877" s="1" t="n">
        <v>45378</v>
      </c>
      <c r="C3877" s="1" t="n">
        <v>45627</v>
      </c>
      <c r="D3877" t="inlineStr">
        <is>
          <t>HALLANDS LÄN</t>
        </is>
      </c>
      <c r="E3877" t="inlineStr">
        <is>
          <t>HALMSTAD</t>
        </is>
      </c>
      <c r="G3877" t="n">
        <v>3.2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12499-2024</t>
        </is>
      </c>
      <c r="B3878" s="1" t="n">
        <v>45379</v>
      </c>
      <c r="C3878" s="1" t="n">
        <v>45627</v>
      </c>
      <c r="D3878" t="inlineStr">
        <is>
          <t>HALLANDS LÄN</t>
        </is>
      </c>
      <c r="E3878" t="inlineStr">
        <is>
          <t>FALKENBERG</t>
        </is>
      </c>
      <c r="G3878" t="n">
        <v>1.3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12502-2024</t>
        </is>
      </c>
      <c r="B3879" s="1" t="n">
        <v>45379</v>
      </c>
      <c r="C3879" s="1" t="n">
        <v>45627</v>
      </c>
      <c r="D3879" t="inlineStr">
        <is>
          <t>HALLANDS LÄN</t>
        </is>
      </c>
      <c r="E3879" t="inlineStr">
        <is>
          <t>FALKENBERG</t>
        </is>
      </c>
      <c r="G3879" t="n">
        <v>0.5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12464-2024</t>
        </is>
      </c>
      <c r="B3880" s="1" t="n">
        <v>45379</v>
      </c>
      <c r="C3880" s="1" t="n">
        <v>45627</v>
      </c>
      <c r="D3880" t="inlineStr">
        <is>
          <t>HALLANDS LÄN</t>
        </is>
      </c>
      <c r="E3880" t="inlineStr">
        <is>
          <t>FALKENBERG</t>
        </is>
      </c>
      <c r="G3880" t="n">
        <v>2.2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12383-2024</t>
        </is>
      </c>
      <c r="B3881" s="1" t="n">
        <v>45379</v>
      </c>
      <c r="C3881" s="1" t="n">
        <v>45627</v>
      </c>
      <c r="D3881" t="inlineStr">
        <is>
          <t>HALLANDS LÄN</t>
        </is>
      </c>
      <c r="E3881" t="inlineStr">
        <is>
          <t>FALKENBERG</t>
        </is>
      </c>
      <c r="G3881" t="n">
        <v>1.1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12606-2024</t>
        </is>
      </c>
      <c r="B3882" s="1" t="n">
        <v>45381</v>
      </c>
      <c r="C3882" s="1" t="n">
        <v>45627</v>
      </c>
      <c r="D3882" t="inlineStr">
        <is>
          <t>HALLANDS LÄN</t>
        </is>
      </c>
      <c r="E3882" t="inlineStr">
        <is>
          <t>FALKENBERG</t>
        </is>
      </c>
      <c r="G3882" t="n">
        <v>14.4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12608-2024</t>
        </is>
      </c>
      <c r="B3883" s="1" t="n">
        <v>45382</v>
      </c>
      <c r="C3883" s="1" t="n">
        <v>45627</v>
      </c>
      <c r="D3883" t="inlineStr">
        <is>
          <t>HALLANDS LÄN</t>
        </is>
      </c>
      <c r="E3883" t="inlineStr">
        <is>
          <t>HYLTE</t>
        </is>
      </c>
      <c r="G3883" t="n">
        <v>0.5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12648-2024</t>
        </is>
      </c>
      <c r="B3884" s="1" t="n">
        <v>45384</v>
      </c>
      <c r="C3884" s="1" t="n">
        <v>45627</v>
      </c>
      <c r="D3884" t="inlineStr">
        <is>
          <t>HALLANDS LÄN</t>
        </is>
      </c>
      <c r="E3884" t="inlineStr">
        <is>
          <t>VARBERG</t>
        </is>
      </c>
      <c r="G3884" t="n">
        <v>1.3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12686-2024</t>
        </is>
      </c>
      <c r="B3885" s="1" t="n">
        <v>45384</v>
      </c>
      <c r="C3885" s="1" t="n">
        <v>45627</v>
      </c>
      <c r="D3885" t="inlineStr">
        <is>
          <t>HALLANDS LÄN</t>
        </is>
      </c>
      <c r="E3885" t="inlineStr">
        <is>
          <t>FALKENBERG</t>
        </is>
      </c>
      <c r="G3885" t="n">
        <v>2.6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12680-2024</t>
        </is>
      </c>
      <c r="B3886" s="1" t="n">
        <v>45384</v>
      </c>
      <c r="C3886" s="1" t="n">
        <v>45627</v>
      </c>
      <c r="D3886" t="inlineStr">
        <is>
          <t>HALLANDS LÄN</t>
        </is>
      </c>
      <c r="E3886" t="inlineStr">
        <is>
          <t>FALKENBERG</t>
        </is>
      </c>
      <c r="G3886" t="n">
        <v>1.5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12695-2024</t>
        </is>
      </c>
      <c r="B3887" s="1" t="n">
        <v>45384</v>
      </c>
      <c r="C3887" s="1" t="n">
        <v>45627</v>
      </c>
      <c r="D3887" t="inlineStr">
        <is>
          <t>HALLANDS LÄN</t>
        </is>
      </c>
      <c r="E3887" t="inlineStr">
        <is>
          <t>VARBERG</t>
        </is>
      </c>
      <c r="G3887" t="n">
        <v>1.9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12702-2024</t>
        </is>
      </c>
      <c r="B3888" s="1" t="n">
        <v>45384</v>
      </c>
      <c r="C3888" s="1" t="n">
        <v>45627</v>
      </c>
      <c r="D3888" t="inlineStr">
        <is>
          <t>HALLANDS LÄN</t>
        </is>
      </c>
      <c r="E3888" t="inlineStr">
        <is>
          <t>VARBERG</t>
        </is>
      </c>
      <c r="G3888" t="n">
        <v>1.4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12707-2024</t>
        </is>
      </c>
      <c r="B3889" s="1" t="n">
        <v>45384</v>
      </c>
      <c r="C3889" s="1" t="n">
        <v>45627</v>
      </c>
      <c r="D3889" t="inlineStr">
        <is>
          <t>HALLANDS LÄN</t>
        </is>
      </c>
      <c r="E3889" t="inlineStr">
        <is>
          <t>LAHOLM</t>
        </is>
      </c>
      <c r="G3889" t="n">
        <v>1.3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12923-2024</t>
        </is>
      </c>
      <c r="B3890" s="1" t="n">
        <v>45385</v>
      </c>
      <c r="C3890" s="1" t="n">
        <v>45627</v>
      </c>
      <c r="D3890" t="inlineStr">
        <is>
          <t>HALLANDS LÄN</t>
        </is>
      </c>
      <c r="E3890" t="inlineStr">
        <is>
          <t>LAHOLM</t>
        </is>
      </c>
      <c r="G3890" t="n">
        <v>5.7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12935-2024</t>
        </is>
      </c>
      <c r="B3891" s="1" t="n">
        <v>45385</v>
      </c>
      <c r="C3891" s="1" t="n">
        <v>45627</v>
      </c>
      <c r="D3891" t="inlineStr">
        <is>
          <t>HALLANDS LÄN</t>
        </is>
      </c>
      <c r="E3891" t="inlineStr">
        <is>
          <t>LAHOLM</t>
        </is>
      </c>
      <c r="G3891" t="n">
        <v>0.4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12928-2024</t>
        </is>
      </c>
      <c r="B3892" s="1" t="n">
        <v>45385</v>
      </c>
      <c r="C3892" s="1" t="n">
        <v>45627</v>
      </c>
      <c r="D3892" t="inlineStr">
        <is>
          <t>HALLANDS LÄN</t>
        </is>
      </c>
      <c r="E3892" t="inlineStr">
        <is>
          <t>LAHOLM</t>
        </is>
      </c>
      <c r="G3892" t="n">
        <v>0.5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13331-2024</t>
        </is>
      </c>
      <c r="B3893" s="1" t="n">
        <v>45386</v>
      </c>
      <c r="C3893" s="1" t="n">
        <v>45627</v>
      </c>
      <c r="D3893" t="inlineStr">
        <is>
          <t>HALLANDS LÄN</t>
        </is>
      </c>
      <c r="E3893" t="inlineStr">
        <is>
          <t>HALMSTAD</t>
        </is>
      </c>
      <c r="G3893" t="n">
        <v>1.1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13259-2024</t>
        </is>
      </c>
      <c r="B3894" s="1" t="n">
        <v>45386</v>
      </c>
      <c r="C3894" s="1" t="n">
        <v>45627</v>
      </c>
      <c r="D3894" t="inlineStr">
        <is>
          <t>HALLANDS LÄN</t>
        </is>
      </c>
      <c r="E3894" t="inlineStr">
        <is>
          <t>LAHOLM</t>
        </is>
      </c>
      <c r="G3894" t="n">
        <v>0.9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13457-2024</t>
        </is>
      </c>
      <c r="B3895" s="1" t="n">
        <v>45387</v>
      </c>
      <c r="C3895" s="1" t="n">
        <v>45627</v>
      </c>
      <c r="D3895" t="inlineStr">
        <is>
          <t>HALLANDS LÄN</t>
        </is>
      </c>
      <c r="E3895" t="inlineStr">
        <is>
          <t>LAHOLM</t>
        </is>
      </c>
      <c r="G3895" t="n">
        <v>1.4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13445-2024</t>
        </is>
      </c>
      <c r="B3896" s="1" t="n">
        <v>45387</v>
      </c>
      <c r="C3896" s="1" t="n">
        <v>45627</v>
      </c>
      <c r="D3896" t="inlineStr">
        <is>
          <t>HALLANDS LÄN</t>
        </is>
      </c>
      <c r="E3896" t="inlineStr">
        <is>
          <t>HALMSTAD</t>
        </is>
      </c>
      <c r="G3896" t="n">
        <v>1.6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13412-2024</t>
        </is>
      </c>
      <c r="B3897" s="1" t="n">
        <v>45387</v>
      </c>
      <c r="C3897" s="1" t="n">
        <v>45627</v>
      </c>
      <c r="D3897" t="inlineStr">
        <is>
          <t>HALLANDS LÄN</t>
        </is>
      </c>
      <c r="E3897" t="inlineStr">
        <is>
          <t>VARBERG</t>
        </is>
      </c>
      <c r="G3897" t="n">
        <v>4.1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13396-2024</t>
        </is>
      </c>
      <c r="B3898" s="1" t="n">
        <v>45387</v>
      </c>
      <c r="C3898" s="1" t="n">
        <v>45627</v>
      </c>
      <c r="D3898" t="inlineStr">
        <is>
          <t>HALLANDS LÄN</t>
        </is>
      </c>
      <c r="E3898" t="inlineStr">
        <is>
          <t>LAHOLM</t>
        </is>
      </c>
      <c r="G3898" t="n">
        <v>0.8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13516-2024</t>
        </is>
      </c>
      <c r="B3899" s="1" t="n">
        <v>45387</v>
      </c>
      <c r="C3899" s="1" t="n">
        <v>45627</v>
      </c>
      <c r="D3899" t="inlineStr">
        <is>
          <t>HALLANDS LÄN</t>
        </is>
      </c>
      <c r="E3899" t="inlineStr">
        <is>
          <t>HYLTE</t>
        </is>
      </c>
      <c r="G3899" t="n">
        <v>11.1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13448-2024</t>
        </is>
      </c>
      <c r="B3900" s="1" t="n">
        <v>45387</v>
      </c>
      <c r="C3900" s="1" t="n">
        <v>45627</v>
      </c>
      <c r="D3900" t="inlineStr">
        <is>
          <t>HALLANDS LÄN</t>
        </is>
      </c>
      <c r="E3900" t="inlineStr">
        <is>
          <t>HALMSTAD</t>
        </is>
      </c>
      <c r="G3900" t="n">
        <v>1.2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13514-2024</t>
        </is>
      </c>
      <c r="B3901" s="1" t="n">
        <v>45387</v>
      </c>
      <c r="C3901" s="1" t="n">
        <v>45627</v>
      </c>
      <c r="D3901" t="inlineStr">
        <is>
          <t>HALLANDS LÄN</t>
        </is>
      </c>
      <c r="E3901" t="inlineStr">
        <is>
          <t>FALKENBERG</t>
        </is>
      </c>
      <c r="G3901" t="n">
        <v>1.2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13621-2024</t>
        </is>
      </c>
      <c r="B3902" s="1" t="n">
        <v>45390</v>
      </c>
      <c r="C3902" s="1" t="n">
        <v>45627</v>
      </c>
      <c r="D3902" t="inlineStr">
        <is>
          <t>HALLANDS LÄN</t>
        </is>
      </c>
      <c r="E3902" t="inlineStr">
        <is>
          <t>FALKENBERG</t>
        </is>
      </c>
      <c r="G3902" t="n">
        <v>2.2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13686-2024</t>
        </is>
      </c>
      <c r="B3903" s="1" t="n">
        <v>45390</v>
      </c>
      <c r="C3903" s="1" t="n">
        <v>45627</v>
      </c>
      <c r="D3903" t="inlineStr">
        <is>
          <t>HALLANDS LÄN</t>
        </is>
      </c>
      <c r="E3903" t="inlineStr">
        <is>
          <t>HYLTE</t>
        </is>
      </c>
      <c r="G3903" t="n">
        <v>0.5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13792-2024</t>
        </is>
      </c>
      <c r="B3904" s="1" t="n">
        <v>45391</v>
      </c>
      <c r="C3904" s="1" t="n">
        <v>45627</v>
      </c>
      <c r="D3904" t="inlineStr">
        <is>
          <t>HALLANDS LÄN</t>
        </is>
      </c>
      <c r="E3904" t="inlineStr">
        <is>
          <t>HYLTE</t>
        </is>
      </c>
      <c r="G3904" t="n">
        <v>1.7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13845-2024</t>
        </is>
      </c>
      <c r="B3905" s="1" t="n">
        <v>45391</v>
      </c>
      <c r="C3905" s="1" t="n">
        <v>45627</v>
      </c>
      <c r="D3905" t="inlineStr">
        <is>
          <t>HALLANDS LÄN</t>
        </is>
      </c>
      <c r="E3905" t="inlineStr">
        <is>
          <t>FALKENBERG</t>
        </is>
      </c>
      <c r="G3905" t="n">
        <v>7.3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13789-2024</t>
        </is>
      </c>
      <c r="B3906" s="1" t="n">
        <v>45391</v>
      </c>
      <c r="C3906" s="1" t="n">
        <v>45627</v>
      </c>
      <c r="D3906" t="inlineStr">
        <is>
          <t>HALLANDS LÄN</t>
        </is>
      </c>
      <c r="E3906" t="inlineStr">
        <is>
          <t>HYLTE</t>
        </is>
      </c>
      <c r="G3906" t="n">
        <v>3.7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14015-2024</t>
        </is>
      </c>
      <c r="B3907" s="1" t="n">
        <v>45392</v>
      </c>
      <c r="C3907" s="1" t="n">
        <v>45627</v>
      </c>
      <c r="D3907" t="inlineStr">
        <is>
          <t>HALLANDS LÄN</t>
        </is>
      </c>
      <c r="E3907" t="inlineStr">
        <is>
          <t>HYLTE</t>
        </is>
      </c>
      <c r="G3907" t="n">
        <v>1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14042-2024</t>
        </is>
      </c>
      <c r="B3908" s="1" t="n">
        <v>45392</v>
      </c>
      <c r="C3908" s="1" t="n">
        <v>45627</v>
      </c>
      <c r="D3908" t="inlineStr">
        <is>
          <t>HALLANDS LÄN</t>
        </is>
      </c>
      <c r="E3908" t="inlineStr">
        <is>
          <t>VARBERG</t>
        </is>
      </c>
      <c r="G3908" t="n">
        <v>5.5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14059-2024</t>
        </is>
      </c>
      <c r="B3909" s="1" t="n">
        <v>45392</v>
      </c>
      <c r="C3909" s="1" t="n">
        <v>45627</v>
      </c>
      <c r="D3909" t="inlineStr">
        <is>
          <t>HALLANDS LÄN</t>
        </is>
      </c>
      <c r="E3909" t="inlineStr">
        <is>
          <t>KUNGSBACKA</t>
        </is>
      </c>
      <c r="G3909" t="n">
        <v>0.7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14300-2024</t>
        </is>
      </c>
      <c r="B3910" s="1" t="n">
        <v>45393</v>
      </c>
      <c r="C3910" s="1" t="n">
        <v>45627</v>
      </c>
      <c r="D3910" t="inlineStr">
        <is>
          <t>HALLANDS LÄN</t>
        </is>
      </c>
      <c r="E3910" t="inlineStr">
        <is>
          <t>FALKENBERG</t>
        </is>
      </c>
      <c r="G3910" t="n">
        <v>1.7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14307-2024</t>
        </is>
      </c>
      <c r="B3911" s="1" t="n">
        <v>45393</v>
      </c>
      <c r="C3911" s="1" t="n">
        <v>45627</v>
      </c>
      <c r="D3911" t="inlineStr">
        <is>
          <t>HALLANDS LÄN</t>
        </is>
      </c>
      <c r="E3911" t="inlineStr">
        <is>
          <t>FALKENBERG</t>
        </is>
      </c>
      <c r="G3911" t="n">
        <v>0.9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14550-2024</t>
        </is>
      </c>
      <c r="B3912" s="1" t="n">
        <v>45394</v>
      </c>
      <c r="C3912" s="1" t="n">
        <v>45627</v>
      </c>
      <c r="D3912" t="inlineStr">
        <is>
          <t>HALLANDS LÄN</t>
        </is>
      </c>
      <c r="E3912" t="inlineStr">
        <is>
          <t>HALMSTAD</t>
        </is>
      </c>
      <c r="G3912" t="n">
        <v>2.1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14590-2024</t>
        </is>
      </c>
      <c r="B3913" s="1" t="n">
        <v>45395</v>
      </c>
      <c r="C3913" s="1" t="n">
        <v>45627</v>
      </c>
      <c r="D3913" t="inlineStr">
        <is>
          <t>HALLANDS LÄN</t>
        </is>
      </c>
      <c r="E3913" t="inlineStr">
        <is>
          <t>HYLTE</t>
        </is>
      </c>
      <c r="G3913" t="n">
        <v>1.5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14585-2024</t>
        </is>
      </c>
      <c r="B3914" s="1" t="n">
        <v>45395</v>
      </c>
      <c r="C3914" s="1" t="n">
        <v>45627</v>
      </c>
      <c r="D3914" t="inlineStr">
        <is>
          <t>HALLANDS LÄN</t>
        </is>
      </c>
      <c r="E3914" t="inlineStr">
        <is>
          <t>HYLTE</t>
        </is>
      </c>
      <c r="G3914" t="n">
        <v>1.8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14584-2024</t>
        </is>
      </c>
      <c r="B3915" s="1" t="n">
        <v>45395</v>
      </c>
      <c r="C3915" s="1" t="n">
        <v>45627</v>
      </c>
      <c r="D3915" t="inlineStr">
        <is>
          <t>HALLANDS LÄN</t>
        </is>
      </c>
      <c r="E3915" t="inlineStr">
        <is>
          <t>HYLTE</t>
        </is>
      </c>
      <c r="G3915" t="n">
        <v>1.4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14658-2024</t>
        </is>
      </c>
      <c r="B3916" s="1" t="n">
        <v>45397</v>
      </c>
      <c r="C3916" s="1" t="n">
        <v>45627</v>
      </c>
      <c r="D3916" t="inlineStr">
        <is>
          <t>HALLANDS LÄN</t>
        </is>
      </c>
      <c r="E3916" t="inlineStr">
        <is>
          <t>LAHOLM</t>
        </is>
      </c>
      <c r="G3916" t="n">
        <v>0.7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14689-2024</t>
        </is>
      </c>
      <c r="B3917" s="1" t="n">
        <v>45397</v>
      </c>
      <c r="C3917" s="1" t="n">
        <v>45627</v>
      </c>
      <c r="D3917" t="inlineStr">
        <is>
          <t>HALLANDS LÄN</t>
        </is>
      </c>
      <c r="E3917" t="inlineStr">
        <is>
          <t>FALKENBERG</t>
        </is>
      </c>
      <c r="G3917" t="n">
        <v>3.1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14756-2024</t>
        </is>
      </c>
      <c r="B3918" s="1" t="n">
        <v>45397</v>
      </c>
      <c r="C3918" s="1" t="n">
        <v>45627</v>
      </c>
      <c r="D3918" t="inlineStr">
        <is>
          <t>HALLANDS LÄN</t>
        </is>
      </c>
      <c r="E3918" t="inlineStr">
        <is>
          <t>VARBERG</t>
        </is>
      </c>
      <c r="G3918" t="n">
        <v>1.5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14760-2024</t>
        </is>
      </c>
      <c r="B3919" s="1" t="n">
        <v>45397</v>
      </c>
      <c r="C3919" s="1" t="n">
        <v>45627</v>
      </c>
      <c r="D3919" t="inlineStr">
        <is>
          <t>HALLANDS LÄN</t>
        </is>
      </c>
      <c r="E3919" t="inlineStr">
        <is>
          <t>HALMSTAD</t>
        </is>
      </c>
      <c r="F3919" t="inlineStr">
        <is>
          <t>Kommuner</t>
        </is>
      </c>
      <c r="G3919" t="n">
        <v>2.4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14846-2024</t>
        </is>
      </c>
      <c r="B3920" s="1" t="n">
        <v>45398</v>
      </c>
      <c r="C3920" s="1" t="n">
        <v>45627</v>
      </c>
      <c r="D3920" t="inlineStr">
        <is>
          <t>HALLANDS LÄN</t>
        </is>
      </c>
      <c r="E3920" t="inlineStr">
        <is>
          <t>KUNGSBACKA</t>
        </is>
      </c>
      <c r="G3920" t="n">
        <v>0.9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14938-2024</t>
        </is>
      </c>
      <c r="B3921" s="1" t="n">
        <v>45398</v>
      </c>
      <c r="C3921" s="1" t="n">
        <v>45627</v>
      </c>
      <c r="D3921" t="inlineStr">
        <is>
          <t>HALLANDS LÄN</t>
        </is>
      </c>
      <c r="E3921" t="inlineStr">
        <is>
          <t>KUNGSBACKA</t>
        </is>
      </c>
      <c r="G3921" t="n">
        <v>2.6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14843-2024</t>
        </is>
      </c>
      <c r="B3922" s="1" t="n">
        <v>45398</v>
      </c>
      <c r="C3922" s="1" t="n">
        <v>45627</v>
      </c>
      <c r="D3922" t="inlineStr">
        <is>
          <t>HALLANDS LÄN</t>
        </is>
      </c>
      <c r="E3922" t="inlineStr">
        <is>
          <t>KUNGSBACKA</t>
        </is>
      </c>
      <c r="G3922" t="n">
        <v>0.5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14830-2024</t>
        </is>
      </c>
      <c r="B3923" s="1" t="n">
        <v>45398</v>
      </c>
      <c r="C3923" s="1" t="n">
        <v>45627</v>
      </c>
      <c r="D3923" t="inlineStr">
        <is>
          <t>HALLANDS LÄN</t>
        </is>
      </c>
      <c r="E3923" t="inlineStr">
        <is>
          <t>LAHOLM</t>
        </is>
      </c>
      <c r="G3923" t="n">
        <v>3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15019-2024</t>
        </is>
      </c>
      <c r="B3924" s="1" t="n">
        <v>45399</v>
      </c>
      <c r="C3924" s="1" t="n">
        <v>45627</v>
      </c>
      <c r="D3924" t="inlineStr">
        <is>
          <t>HALLANDS LÄN</t>
        </is>
      </c>
      <c r="E3924" t="inlineStr">
        <is>
          <t>KUNGSBACKA</t>
        </is>
      </c>
      <c r="G3924" t="n">
        <v>4.4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15020-2024</t>
        </is>
      </c>
      <c r="B3925" s="1" t="n">
        <v>45399</v>
      </c>
      <c r="C3925" s="1" t="n">
        <v>45627</v>
      </c>
      <c r="D3925" t="inlineStr">
        <is>
          <t>HALLANDS LÄN</t>
        </is>
      </c>
      <c r="E3925" t="inlineStr">
        <is>
          <t>KUNGSBACKA</t>
        </is>
      </c>
      <c r="G3925" t="n">
        <v>1.2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15221-2024</t>
        </is>
      </c>
      <c r="B3926" s="1" t="n">
        <v>45400</v>
      </c>
      <c r="C3926" s="1" t="n">
        <v>45627</v>
      </c>
      <c r="D3926" t="inlineStr">
        <is>
          <t>HALLANDS LÄN</t>
        </is>
      </c>
      <c r="E3926" t="inlineStr">
        <is>
          <t>LAHOLM</t>
        </is>
      </c>
      <c r="G3926" t="n">
        <v>0.5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15163-2024</t>
        </is>
      </c>
      <c r="B3927" s="1" t="n">
        <v>45400</v>
      </c>
      <c r="C3927" s="1" t="n">
        <v>45627</v>
      </c>
      <c r="D3927" t="inlineStr">
        <is>
          <t>HALLANDS LÄN</t>
        </is>
      </c>
      <c r="E3927" t="inlineStr">
        <is>
          <t>KUNGSBACKA</t>
        </is>
      </c>
      <c r="G3927" t="n">
        <v>0.5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15260-2024</t>
        </is>
      </c>
      <c r="B3928" s="1" t="n">
        <v>45400</v>
      </c>
      <c r="C3928" s="1" t="n">
        <v>45627</v>
      </c>
      <c r="D3928" t="inlineStr">
        <is>
          <t>HALLANDS LÄN</t>
        </is>
      </c>
      <c r="E3928" t="inlineStr">
        <is>
          <t>VARBERG</t>
        </is>
      </c>
      <c r="F3928" t="inlineStr">
        <is>
          <t>Kyrkan</t>
        </is>
      </c>
      <c r="G3928" t="n">
        <v>6.7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15276-2024</t>
        </is>
      </c>
      <c r="B3929" s="1" t="n">
        <v>45400</v>
      </c>
      <c r="C3929" s="1" t="n">
        <v>45627</v>
      </c>
      <c r="D3929" t="inlineStr">
        <is>
          <t>HALLANDS LÄN</t>
        </is>
      </c>
      <c r="E3929" t="inlineStr">
        <is>
          <t>HYLTE</t>
        </is>
      </c>
      <c r="G3929" t="n">
        <v>1.2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15339-2024</t>
        </is>
      </c>
      <c r="B3930" s="1" t="n">
        <v>45400</v>
      </c>
      <c r="C3930" s="1" t="n">
        <v>45627</v>
      </c>
      <c r="D3930" t="inlineStr">
        <is>
          <t>HALLANDS LÄN</t>
        </is>
      </c>
      <c r="E3930" t="inlineStr">
        <is>
          <t>FALKENBERG</t>
        </is>
      </c>
      <c r="G3930" t="n">
        <v>1.6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15340-2024</t>
        </is>
      </c>
      <c r="B3931" s="1" t="n">
        <v>45400</v>
      </c>
      <c r="C3931" s="1" t="n">
        <v>45627</v>
      </c>
      <c r="D3931" t="inlineStr">
        <is>
          <t>HALLANDS LÄN</t>
        </is>
      </c>
      <c r="E3931" t="inlineStr">
        <is>
          <t>FALKENBERG</t>
        </is>
      </c>
      <c r="G3931" t="n">
        <v>1.2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15338-2024</t>
        </is>
      </c>
      <c r="B3932" s="1" t="n">
        <v>45400</v>
      </c>
      <c r="C3932" s="1" t="n">
        <v>45627</v>
      </c>
      <c r="D3932" t="inlineStr">
        <is>
          <t>HALLANDS LÄN</t>
        </is>
      </c>
      <c r="E3932" t="inlineStr">
        <is>
          <t>FALKENBERG</t>
        </is>
      </c>
      <c r="G3932" t="n">
        <v>0.6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15559-2024</t>
        </is>
      </c>
      <c r="B3933" s="1" t="n">
        <v>45401</v>
      </c>
      <c r="C3933" s="1" t="n">
        <v>45627</v>
      </c>
      <c r="D3933" t="inlineStr">
        <is>
          <t>HALLANDS LÄN</t>
        </is>
      </c>
      <c r="E3933" t="inlineStr">
        <is>
          <t>VARBERG</t>
        </is>
      </c>
      <c r="G3933" t="n">
        <v>7.4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15550-2024</t>
        </is>
      </c>
      <c r="B3934" s="1" t="n">
        <v>45401</v>
      </c>
      <c r="C3934" s="1" t="n">
        <v>45627</v>
      </c>
      <c r="D3934" t="inlineStr">
        <is>
          <t>HALLANDS LÄN</t>
        </is>
      </c>
      <c r="E3934" t="inlineStr">
        <is>
          <t>HALMSTAD</t>
        </is>
      </c>
      <c r="G3934" t="n">
        <v>6.2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15426-2024</t>
        </is>
      </c>
      <c r="B3935" s="1" t="n">
        <v>45401</v>
      </c>
      <c r="C3935" s="1" t="n">
        <v>45627</v>
      </c>
      <c r="D3935" t="inlineStr">
        <is>
          <t>HALLANDS LÄN</t>
        </is>
      </c>
      <c r="E3935" t="inlineStr">
        <is>
          <t>VARBERG</t>
        </is>
      </c>
      <c r="G3935" t="n">
        <v>0.6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15413-2024</t>
        </is>
      </c>
      <c r="B3936" s="1" t="n">
        <v>45401</v>
      </c>
      <c r="C3936" s="1" t="n">
        <v>45627</v>
      </c>
      <c r="D3936" t="inlineStr">
        <is>
          <t>HALLANDS LÄN</t>
        </is>
      </c>
      <c r="E3936" t="inlineStr">
        <is>
          <t>VARBERG</t>
        </is>
      </c>
      <c r="G3936" t="n">
        <v>3.3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15427-2024</t>
        </is>
      </c>
      <c r="B3937" s="1" t="n">
        <v>45401</v>
      </c>
      <c r="C3937" s="1" t="n">
        <v>45627</v>
      </c>
      <c r="D3937" t="inlineStr">
        <is>
          <t>HALLANDS LÄN</t>
        </is>
      </c>
      <c r="E3937" t="inlineStr">
        <is>
          <t>FALKENBERG</t>
        </is>
      </c>
      <c r="F3937" t="inlineStr">
        <is>
          <t>Kyrkan</t>
        </is>
      </c>
      <c r="G3937" t="n">
        <v>4.5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15492-2024</t>
        </is>
      </c>
      <c r="B3938" s="1" t="n">
        <v>45401</v>
      </c>
      <c r="C3938" s="1" t="n">
        <v>45627</v>
      </c>
      <c r="D3938" t="inlineStr">
        <is>
          <t>HALLANDS LÄN</t>
        </is>
      </c>
      <c r="E3938" t="inlineStr">
        <is>
          <t>FALKENBERG</t>
        </is>
      </c>
      <c r="F3938" t="inlineStr">
        <is>
          <t>Kyrkan</t>
        </is>
      </c>
      <c r="G3938" t="n">
        <v>3.1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15678-2024</t>
        </is>
      </c>
      <c r="B3939" s="1" t="n">
        <v>45404</v>
      </c>
      <c r="C3939" s="1" t="n">
        <v>45627</v>
      </c>
      <c r="D3939" t="inlineStr">
        <is>
          <t>HALLANDS LÄN</t>
        </is>
      </c>
      <c r="E3939" t="inlineStr">
        <is>
          <t>HALMSTAD</t>
        </is>
      </c>
      <c r="G3939" t="n">
        <v>2.4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15726-2024</t>
        </is>
      </c>
      <c r="B3940" s="1" t="n">
        <v>45404</v>
      </c>
      <c r="C3940" s="1" t="n">
        <v>45627</v>
      </c>
      <c r="D3940" t="inlineStr">
        <is>
          <t>HALLANDS LÄN</t>
        </is>
      </c>
      <c r="E3940" t="inlineStr">
        <is>
          <t>KUNGSBACKA</t>
        </is>
      </c>
      <c r="F3940" t="inlineStr">
        <is>
          <t>Sveaskog</t>
        </is>
      </c>
      <c r="G3940" t="n">
        <v>3.2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15746-2024</t>
        </is>
      </c>
      <c r="B3941" s="1" t="n">
        <v>45404</v>
      </c>
      <c r="C3941" s="1" t="n">
        <v>45627</v>
      </c>
      <c r="D3941" t="inlineStr">
        <is>
          <t>HALLANDS LÄN</t>
        </is>
      </c>
      <c r="E3941" t="inlineStr">
        <is>
          <t>VARBERG</t>
        </is>
      </c>
      <c r="G3941" t="n">
        <v>1.1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15723-2024</t>
        </is>
      </c>
      <c r="B3942" s="1" t="n">
        <v>45404</v>
      </c>
      <c r="C3942" s="1" t="n">
        <v>45627</v>
      </c>
      <c r="D3942" t="inlineStr">
        <is>
          <t>HALLANDS LÄN</t>
        </is>
      </c>
      <c r="E3942" t="inlineStr">
        <is>
          <t>KUNGSBACKA</t>
        </is>
      </c>
      <c r="F3942" t="inlineStr">
        <is>
          <t>Sveaskog</t>
        </is>
      </c>
      <c r="G3942" t="n">
        <v>2.7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15751-2024</t>
        </is>
      </c>
      <c r="B3943" s="1" t="n">
        <v>45404</v>
      </c>
      <c r="C3943" s="1" t="n">
        <v>45627</v>
      </c>
      <c r="D3943" t="inlineStr">
        <is>
          <t>HALLANDS LÄN</t>
        </is>
      </c>
      <c r="E3943" t="inlineStr">
        <is>
          <t>VARBERG</t>
        </is>
      </c>
      <c r="G3943" t="n">
        <v>1.7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15844-2024</t>
        </is>
      </c>
      <c r="B3944" s="1" t="n">
        <v>45404</v>
      </c>
      <c r="C3944" s="1" t="n">
        <v>45627</v>
      </c>
      <c r="D3944" t="inlineStr">
        <is>
          <t>HALLANDS LÄN</t>
        </is>
      </c>
      <c r="E3944" t="inlineStr">
        <is>
          <t>VARBERG</t>
        </is>
      </c>
      <c r="G3944" t="n">
        <v>1.5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15843-2024</t>
        </is>
      </c>
      <c r="B3945" s="1" t="n">
        <v>45404</v>
      </c>
      <c r="C3945" s="1" t="n">
        <v>45627</v>
      </c>
      <c r="D3945" t="inlineStr">
        <is>
          <t>HALLANDS LÄN</t>
        </is>
      </c>
      <c r="E3945" t="inlineStr">
        <is>
          <t>VARBERG</t>
        </is>
      </c>
      <c r="G3945" t="n">
        <v>1.3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15883-2024</t>
        </is>
      </c>
      <c r="B3946" s="1" t="n">
        <v>45405</v>
      </c>
      <c r="C3946" s="1" t="n">
        <v>45627</v>
      </c>
      <c r="D3946" t="inlineStr">
        <is>
          <t>HALLANDS LÄN</t>
        </is>
      </c>
      <c r="E3946" t="inlineStr">
        <is>
          <t>HYLTE</t>
        </is>
      </c>
      <c r="G3946" t="n">
        <v>2.9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15894-2024</t>
        </is>
      </c>
      <c r="B3947" s="1" t="n">
        <v>45405</v>
      </c>
      <c r="C3947" s="1" t="n">
        <v>45627</v>
      </c>
      <c r="D3947" t="inlineStr">
        <is>
          <t>HALLANDS LÄN</t>
        </is>
      </c>
      <c r="E3947" t="inlineStr">
        <is>
          <t>HYLTE</t>
        </is>
      </c>
      <c r="G3947" t="n">
        <v>1.4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16125-2024</t>
        </is>
      </c>
      <c r="B3948" s="1" t="n">
        <v>45406</v>
      </c>
      <c r="C3948" s="1" t="n">
        <v>45627</v>
      </c>
      <c r="D3948" t="inlineStr">
        <is>
          <t>HALLANDS LÄN</t>
        </is>
      </c>
      <c r="E3948" t="inlineStr">
        <is>
          <t>HYLTE</t>
        </is>
      </c>
      <c r="G3948" t="n">
        <v>5.4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16124-2024</t>
        </is>
      </c>
      <c r="B3949" s="1" t="n">
        <v>45406</v>
      </c>
      <c r="C3949" s="1" t="n">
        <v>45627</v>
      </c>
      <c r="D3949" t="inlineStr">
        <is>
          <t>HALLANDS LÄN</t>
        </is>
      </c>
      <c r="E3949" t="inlineStr">
        <is>
          <t>LAHOLM</t>
        </is>
      </c>
      <c r="G3949" t="n">
        <v>1.1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16257-2024</t>
        </is>
      </c>
      <c r="B3950" s="1" t="n">
        <v>45407</v>
      </c>
      <c r="C3950" s="1" t="n">
        <v>45627</v>
      </c>
      <c r="D3950" t="inlineStr">
        <is>
          <t>HALLANDS LÄN</t>
        </is>
      </c>
      <c r="E3950" t="inlineStr">
        <is>
          <t>VARBERG</t>
        </is>
      </c>
      <c r="G3950" t="n">
        <v>1.5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16295-2024</t>
        </is>
      </c>
      <c r="B3951" s="1" t="n">
        <v>45407</v>
      </c>
      <c r="C3951" s="1" t="n">
        <v>45627</v>
      </c>
      <c r="D3951" t="inlineStr">
        <is>
          <t>HALLANDS LÄN</t>
        </is>
      </c>
      <c r="E3951" t="inlineStr">
        <is>
          <t>HYLTE</t>
        </is>
      </c>
      <c r="G3951" t="n">
        <v>0.9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16290-2024</t>
        </is>
      </c>
      <c r="B3952" s="1" t="n">
        <v>45407</v>
      </c>
      <c r="C3952" s="1" t="n">
        <v>45627</v>
      </c>
      <c r="D3952" t="inlineStr">
        <is>
          <t>HALLANDS LÄN</t>
        </is>
      </c>
      <c r="E3952" t="inlineStr">
        <is>
          <t>HALMSTAD</t>
        </is>
      </c>
      <c r="G3952" t="n">
        <v>0.5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16326-2024</t>
        </is>
      </c>
      <c r="B3953" s="1" t="n">
        <v>45407</v>
      </c>
      <c r="C3953" s="1" t="n">
        <v>45627</v>
      </c>
      <c r="D3953" t="inlineStr">
        <is>
          <t>HALLANDS LÄN</t>
        </is>
      </c>
      <c r="E3953" t="inlineStr">
        <is>
          <t>HALMSTAD</t>
        </is>
      </c>
      <c r="G3953" t="n">
        <v>1.4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16330-2024</t>
        </is>
      </c>
      <c r="B3954" s="1" t="n">
        <v>45407</v>
      </c>
      <c r="C3954" s="1" t="n">
        <v>45627</v>
      </c>
      <c r="D3954" t="inlineStr">
        <is>
          <t>HALLANDS LÄN</t>
        </is>
      </c>
      <c r="E3954" t="inlineStr">
        <is>
          <t>HYLTE</t>
        </is>
      </c>
      <c r="G3954" t="n">
        <v>1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16409-2024</t>
        </is>
      </c>
      <c r="B3955" s="1" t="n">
        <v>45407</v>
      </c>
      <c r="C3955" s="1" t="n">
        <v>45627</v>
      </c>
      <c r="D3955" t="inlineStr">
        <is>
          <t>HALLANDS LÄN</t>
        </is>
      </c>
      <c r="E3955" t="inlineStr">
        <is>
          <t>KUNGSBACKA</t>
        </is>
      </c>
      <c r="G3955" t="n">
        <v>0.6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16648-2024</t>
        </is>
      </c>
      <c r="B3956" s="1" t="n">
        <v>45408</v>
      </c>
      <c r="C3956" s="1" t="n">
        <v>45627</v>
      </c>
      <c r="D3956" t="inlineStr">
        <is>
          <t>HALLANDS LÄN</t>
        </is>
      </c>
      <c r="E3956" t="inlineStr">
        <is>
          <t>HALMSTAD</t>
        </is>
      </c>
      <c r="G3956" t="n">
        <v>1.7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16660-2024</t>
        </is>
      </c>
      <c r="B3957" s="1" t="n">
        <v>45408</v>
      </c>
      <c r="C3957" s="1" t="n">
        <v>45627</v>
      </c>
      <c r="D3957" t="inlineStr">
        <is>
          <t>HALLANDS LÄN</t>
        </is>
      </c>
      <c r="E3957" t="inlineStr">
        <is>
          <t>LAHOLM</t>
        </is>
      </c>
      <c r="G3957" t="n">
        <v>2.9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16646-2024</t>
        </is>
      </c>
      <c r="B3958" s="1" t="n">
        <v>45408</v>
      </c>
      <c r="C3958" s="1" t="n">
        <v>45627</v>
      </c>
      <c r="D3958" t="inlineStr">
        <is>
          <t>HALLANDS LÄN</t>
        </is>
      </c>
      <c r="E3958" t="inlineStr">
        <is>
          <t>HALMSTAD</t>
        </is>
      </c>
      <c r="G3958" t="n">
        <v>5.8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16755-2024</t>
        </is>
      </c>
      <c r="B3959" s="1" t="n">
        <v>45411</v>
      </c>
      <c r="C3959" s="1" t="n">
        <v>45627</v>
      </c>
      <c r="D3959" t="inlineStr">
        <is>
          <t>HALLANDS LÄN</t>
        </is>
      </c>
      <c r="E3959" t="inlineStr">
        <is>
          <t>VARBERG</t>
        </is>
      </c>
      <c r="G3959" t="n">
        <v>2.8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16775-2024</t>
        </is>
      </c>
      <c r="B3960" s="1" t="n">
        <v>45411</v>
      </c>
      <c r="C3960" s="1" t="n">
        <v>45627</v>
      </c>
      <c r="D3960" t="inlineStr">
        <is>
          <t>HALLANDS LÄN</t>
        </is>
      </c>
      <c r="E3960" t="inlineStr">
        <is>
          <t>FALKENBERG</t>
        </is>
      </c>
      <c r="G3960" t="n">
        <v>0.8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16795-2024</t>
        </is>
      </c>
      <c r="B3961" s="1" t="n">
        <v>45411</v>
      </c>
      <c r="C3961" s="1" t="n">
        <v>45627</v>
      </c>
      <c r="D3961" t="inlineStr">
        <is>
          <t>HALLANDS LÄN</t>
        </is>
      </c>
      <c r="E3961" t="inlineStr">
        <is>
          <t>FALKENBERG</t>
        </is>
      </c>
      <c r="G3961" t="n">
        <v>0.8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16899-2024</t>
        </is>
      </c>
      <c r="B3962" s="1" t="n">
        <v>45411</v>
      </c>
      <c r="C3962" s="1" t="n">
        <v>45627</v>
      </c>
      <c r="D3962" t="inlineStr">
        <is>
          <t>HALLANDS LÄN</t>
        </is>
      </c>
      <c r="E3962" t="inlineStr">
        <is>
          <t>VARBERG</t>
        </is>
      </c>
      <c r="G3962" t="n">
        <v>0.3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16853-2024</t>
        </is>
      </c>
      <c r="B3963" s="1" t="n">
        <v>45411</v>
      </c>
      <c r="C3963" s="1" t="n">
        <v>45627</v>
      </c>
      <c r="D3963" t="inlineStr">
        <is>
          <t>HALLANDS LÄN</t>
        </is>
      </c>
      <c r="E3963" t="inlineStr">
        <is>
          <t>FALKENBERG</t>
        </is>
      </c>
      <c r="G3963" t="n">
        <v>6.4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16776-2024</t>
        </is>
      </c>
      <c r="B3964" s="1" t="n">
        <v>45411</v>
      </c>
      <c r="C3964" s="1" t="n">
        <v>45627</v>
      </c>
      <c r="D3964" t="inlineStr">
        <is>
          <t>HALLANDS LÄN</t>
        </is>
      </c>
      <c r="E3964" t="inlineStr">
        <is>
          <t>KUNGSBACKA</t>
        </is>
      </c>
      <c r="G3964" t="n">
        <v>2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16778-2024</t>
        </is>
      </c>
      <c r="B3965" s="1" t="n">
        <v>45411</v>
      </c>
      <c r="C3965" s="1" t="n">
        <v>45627</v>
      </c>
      <c r="D3965" t="inlineStr">
        <is>
          <t>HALLANDS LÄN</t>
        </is>
      </c>
      <c r="E3965" t="inlineStr">
        <is>
          <t>HYLTE</t>
        </is>
      </c>
      <c r="G3965" t="n">
        <v>7.8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17130-2024</t>
        </is>
      </c>
      <c r="B3966" s="1" t="n">
        <v>45412</v>
      </c>
      <c r="C3966" s="1" t="n">
        <v>45627</v>
      </c>
      <c r="D3966" t="inlineStr">
        <is>
          <t>HALLANDS LÄN</t>
        </is>
      </c>
      <c r="E3966" t="inlineStr">
        <is>
          <t>VARBERG</t>
        </is>
      </c>
      <c r="G3966" t="n">
        <v>2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17123-2024</t>
        </is>
      </c>
      <c r="B3967" s="1" t="n">
        <v>45412</v>
      </c>
      <c r="C3967" s="1" t="n">
        <v>45627</v>
      </c>
      <c r="D3967" t="inlineStr">
        <is>
          <t>HALLANDS LÄN</t>
        </is>
      </c>
      <c r="E3967" t="inlineStr">
        <is>
          <t>FALKENBERG</t>
        </is>
      </c>
      <c r="G3967" t="n">
        <v>1.6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17077-2024</t>
        </is>
      </c>
      <c r="B3968" s="1" t="n">
        <v>45412</v>
      </c>
      <c r="C3968" s="1" t="n">
        <v>45627</v>
      </c>
      <c r="D3968" t="inlineStr">
        <is>
          <t>HALLANDS LÄN</t>
        </is>
      </c>
      <c r="E3968" t="inlineStr">
        <is>
          <t>FALKENBERG</t>
        </is>
      </c>
      <c r="G3968" t="n">
        <v>7.5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17121-2024</t>
        </is>
      </c>
      <c r="B3969" s="1" t="n">
        <v>45412</v>
      </c>
      <c r="C3969" s="1" t="n">
        <v>45627</v>
      </c>
      <c r="D3969" t="inlineStr">
        <is>
          <t>HALLANDS LÄN</t>
        </is>
      </c>
      <c r="E3969" t="inlineStr">
        <is>
          <t>FALKENBERG</t>
        </is>
      </c>
      <c r="G3969" t="n">
        <v>2.2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17015-2024</t>
        </is>
      </c>
      <c r="B3970" s="1" t="n">
        <v>45412</v>
      </c>
      <c r="C3970" s="1" t="n">
        <v>45627</v>
      </c>
      <c r="D3970" t="inlineStr">
        <is>
          <t>HALLANDS LÄN</t>
        </is>
      </c>
      <c r="E3970" t="inlineStr">
        <is>
          <t>HALMSTAD</t>
        </is>
      </c>
      <c r="G3970" t="n">
        <v>0.8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17264-2024</t>
        </is>
      </c>
      <c r="B3971" s="1" t="n">
        <v>45414</v>
      </c>
      <c r="C3971" s="1" t="n">
        <v>45627</v>
      </c>
      <c r="D3971" t="inlineStr">
        <is>
          <t>HALLANDS LÄN</t>
        </is>
      </c>
      <c r="E3971" t="inlineStr">
        <is>
          <t>VARBERG</t>
        </is>
      </c>
      <c r="G3971" t="n">
        <v>1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17269-2024</t>
        </is>
      </c>
      <c r="B3972" s="1" t="n">
        <v>45414</v>
      </c>
      <c r="C3972" s="1" t="n">
        <v>45627</v>
      </c>
      <c r="D3972" t="inlineStr">
        <is>
          <t>HALLANDS LÄN</t>
        </is>
      </c>
      <c r="E3972" t="inlineStr">
        <is>
          <t>VARBERG</t>
        </is>
      </c>
      <c r="G3972" t="n">
        <v>1.2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17271-2024</t>
        </is>
      </c>
      <c r="B3973" s="1" t="n">
        <v>45414</v>
      </c>
      <c r="C3973" s="1" t="n">
        <v>45627</v>
      </c>
      <c r="D3973" t="inlineStr">
        <is>
          <t>HALLANDS LÄN</t>
        </is>
      </c>
      <c r="E3973" t="inlineStr">
        <is>
          <t>VARBERG</t>
        </is>
      </c>
      <c r="G3973" t="n">
        <v>1.2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17262-2024</t>
        </is>
      </c>
      <c r="B3974" s="1" t="n">
        <v>45414</v>
      </c>
      <c r="C3974" s="1" t="n">
        <v>45627</v>
      </c>
      <c r="D3974" t="inlineStr">
        <is>
          <t>HALLANDS LÄN</t>
        </is>
      </c>
      <c r="E3974" t="inlineStr">
        <is>
          <t>HYLTE</t>
        </is>
      </c>
      <c r="G3974" t="n">
        <v>1.5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17373-2024</t>
        </is>
      </c>
      <c r="B3975" s="1" t="n">
        <v>45414</v>
      </c>
      <c r="C3975" s="1" t="n">
        <v>45627</v>
      </c>
      <c r="D3975" t="inlineStr">
        <is>
          <t>HALLANDS LÄN</t>
        </is>
      </c>
      <c r="E3975" t="inlineStr">
        <is>
          <t>FALKENBERG</t>
        </is>
      </c>
      <c r="F3975" t="inlineStr">
        <is>
          <t>Kyrkan</t>
        </is>
      </c>
      <c r="G3975" t="n">
        <v>0.9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17447-2024</t>
        </is>
      </c>
      <c r="B3976" s="1" t="n">
        <v>45415</v>
      </c>
      <c r="C3976" s="1" t="n">
        <v>45627</v>
      </c>
      <c r="D3976" t="inlineStr">
        <is>
          <t>HALLANDS LÄN</t>
        </is>
      </c>
      <c r="E3976" t="inlineStr">
        <is>
          <t>LAHOLM</t>
        </is>
      </c>
      <c r="G3976" t="n">
        <v>0.6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17548-2024</t>
        </is>
      </c>
      <c r="B3977" s="1" t="n">
        <v>45415</v>
      </c>
      <c r="C3977" s="1" t="n">
        <v>45627</v>
      </c>
      <c r="D3977" t="inlineStr">
        <is>
          <t>HALLANDS LÄN</t>
        </is>
      </c>
      <c r="E3977" t="inlineStr">
        <is>
          <t>LAHOLM</t>
        </is>
      </c>
      <c r="G3977" t="n">
        <v>1.3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17560-2024</t>
        </is>
      </c>
      <c r="B3978" s="1" t="n">
        <v>45415</v>
      </c>
      <c r="C3978" s="1" t="n">
        <v>45627</v>
      </c>
      <c r="D3978" t="inlineStr">
        <is>
          <t>HALLANDS LÄN</t>
        </is>
      </c>
      <c r="E3978" t="inlineStr">
        <is>
          <t>LAHOLM</t>
        </is>
      </c>
      <c r="G3978" t="n">
        <v>6.8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17433-2024</t>
        </is>
      </c>
      <c r="B3979" s="1" t="n">
        <v>45415</v>
      </c>
      <c r="C3979" s="1" t="n">
        <v>45627</v>
      </c>
      <c r="D3979" t="inlineStr">
        <is>
          <t>HALLANDS LÄN</t>
        </is>
      </c>
      <c r="E3979" t="inlineStr">
        <is>
          <t>HYLTE</t>
        </is>
      </c>
      <c r="G3979" t="n">
        <v>1.7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17449-2024</t>
        </is>
      </c>
      <c r="B3980" s="1" t="n">
        <v>45415</v>
      </c>
      <c r="C3980" s="1" t="n">
        <v>45627</v>
      </c>
      <c r="D3980" t="inlineStr">
        <is>
          <t>HALLANDS LÄN</t>
        </is>
      </c>
      <c r="E3980" t="inlineStr">
        <is>
          <t>LAHOLM</t>
        </is>
      </c>
      <c r="G3980" t="n">
        <v>1.2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17522-2024</t>
        </is>
      </c>
      <c r="B3981" s="1" t="n">
        <v>45415</v>
      </c>
      <c r="C3981" s="1" t="n">
        <v>45627</v>
      </c>
      <c r="D3981" t="inlineStr">
        <is>
          <t>HALLANDS LÄN</t>
        </is>
      </c>
      <c r="E3981" t="inlineStr">
        <is>
          <t>HYLTE</t>
        </is>
      </c>
      <c r="G3981" t="n">
        <v>2.4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17448-2024</t>
        </is>
      </c>
      <c r="B3982" s="1" t="n">
        <v>45415</v>
      </c>
      <c r="C3982" s="1" t="n">
        <v>45627</v>
      </c>
      <c r="D3982" t="inlineStr">
        <is>
          <t>HALLANDS LÄN</t>
        </is>
      </c>
      <c r="E3982" t="inlineStr">
        <is>
          <t>LAHOLM</t>
        </is>
      </c>
      <c r="G3982" t="n">
        <v>1.5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17476-2024</t>
        </is>
      </c>
      <c r="B3983" s="1" t="n">
        <v>45415</v>
      </c>
      <c r="C3983" s="1" t="n">
        <v>45627</v>
      </c>
      <c r="D3983" t="inlineStr">
        <is>
          <t>HALLANDS LÄN</t>
        </is>
      </c>
      <c r="E3983" t="inlineStr">
        <is>
          <t>HALMSTAD</t>
        </is>
      </c>
      <c r="G3983" t="n">
        <v>1.9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17508-2024</t>
        </is>
      </c>
      <c r="B3984" s="1" t="n">
        <v>45415</v>
      </c>
      <c r="C3984" s="1" t="n">
        <v>45627</v>
      </c>
      <c r="D3984" t="inlineStr">
        <is>
          <t>HALLANDS LÄN</t>
        </is>
      </c>
      <c r="E3984" t="inlineStr">
        <is>
          <t>HYLTE</t>
        </is>
      </c>
      <c r="G3984" t="n">
        <v>1.1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17610-2024</t>
        </is>
      </c>
      <c r="B3985" s="1" t="n">
        <v>45416</v>
      </c>
      <c r="C3985" s="1" t="n">
        <v>45627</v>
      </c>
      <c r="D3985" t="inlineStr">
        <is>
          <t>HALLANDS LÄN</t>
        </is>
      </c>
      <c r="E3985" t="inlineStr">
        <is>
          <t>VARBERG</t>
        </is>
      </c>
      <c r="F3985" t="inlineStr">
        <is>
          <t>Kyrkan</t>
        </is>
      </c>
      <c r="G3985" t="n">
        <v>2.2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17611-2024</t>
        </is>
      </c>
      <c r="B3986" s="1" t="n">
        <v>45416</v>
      </c>
      <c r="C3986" s="1" t="n">
        <v>45627</v>
      </c>
      <c r="D3986" t="inlineStr">
        <is>
          <t>HALLANDS LÄN</t>
        </is>
      </c>
      <c r="E3986" t="inlineStr">
        <is>
          <t>HYLTE</t>
        </is>
      </c>
      <c r="F3986" t="inlineStr">
        <is>
          <t>Kyrkan</t>
        </is>
      </c>
      <c r="G3986" t="n">
        <v>5.3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17690-2024</t>
        </is>
      </c>
      <c r="B3987" s="1" t="n">
        <v>45418</v>
      </c>
      <c r="C3987" s="1" t="n">
        <v>45627</v>
      </c>
      <c r="D3987" t="inlineStr">
        <is>
          <t>HALLANDS LÄN</t>
        </is>
      </c>
      <c r="E3987" t="inlineStr">
        <is>
          <t>HYLTE</t>
        </is>
      </c>
      <c r="G3987" t="n">
        <v>1.8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17763-2024</t>
        </is>
      </c>
      <c r="B3988" s="1" t="n">
        <v>45418</v>
      </c>
      <c r="C3988" s="1" t="n">
        <v>45627</v>
      </c>
      <c r="D3988" t="inlineStr">
        <is>
          <t>HALLANDS LÄN</t>
        </is>
      </c>
      <c r="E3988" t="inlineStr">
        <is>
          <t>FALKENBERG</t>
        </is>
      </c>
      <c r="G3988" t="n">
        <v>2.1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17848-2024</t>
        </is>
      </c>
      <c r="B3989" s="1" t="n">
        <v>45419</v>
      </c>
      <c r="C3989" s="1" t="n">
        <v>45627</v>
      </c>
      <c r="D3989" t="inlineStr">
        <is>
          <t>HALLANDS LÄN</t>
        </is>
      </c>
      <c r="E3989" t="inlineStr">
        <is>
          <t>FALKENBERG</t>
        </is>
      </c>
      <c r="G3989" t="n">
        <v>2.2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17846-2024</t>
        </is>
      </c>
      <c r="B3990" s="1" t="n">
        <v>45419</v>
      </c>
      <c r="C3990" s="1" t="n">
        <v>45627</v>
      </c>
      <c r="D3990" t="inlineStr">
        <is>
          <t>HALLANDS LÄN</t>
        </is>
      </c>
      <c r="E3990" t="inlineStr">
        <is>
          <t>FALKENBERG</t>
        </is>
      </c>
      <c r="G3990" t="n">
        <v>0.6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18147-2024</t>
        </is>
      </c>
      <c r="B3991" s="1" t="n">
        <v>45420</v>
      </c>
      <c r="C3991" s="1" t="n">
        <v>45627</v>
      </c>
      <c r="D3991" t="inlineStr">
        <is>
          <t>HALLANDS LÄN</t>
        </is>
      </c>
      <c r="E3991" t="inlineStr">
        <is>
          <t>HYLTE</t>
        </is>
      </c>
      <c r="G3991" t="n">
        <v>9.1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18211-2024</t>
        </is>
      </c>
      <c r="B3992" s="1" t="n">
        <v>45420</v>
      </c>
      <c r="C3992" s="1" t="n">
        <v>45627</v>
      </c>
      <c r="D3992" t="inlineStr">
        <is>
          <t>HALLANDS LÄN</t>
        </is>
      </c>
      <c r="E3992" t="inlineStr">
        <is>
          <t>FALKENBERG</t>
        </is>
      </c>
      <c r="G3992" t="n">
        <v>2.5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18343-2024</t>
        </is>
      </c>
      <c r="B3993" s="1" t="n">
        <v>45422</v>
      </c>
      <c r="C3993" s="1" t="n">
        <v>45627</v>
      </c>
      <c r="D3993" t="inlineStr">
        <is>
          <t>HALLANDS LÄN</t>
        </is>
      </c>
      <c r="E3993" t="inlineStr">
        <is>
          <t>VARBERG</t>
        </is>
      </c>
      <c r="G3993" t="n">
        <v>1.3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18319-2024</t>
        </is>
      </c>
      <c r="B3994" s="1" t="n">
        <v>45422</v>
      </c>
      <c r="C3994" s="1" t="n">
        <v>45627</v>
      </c>
      <c r="D3994" t="inlineStr">
        <is>
          <t>HALLANDS LÄN</t>
        </is>
      </c>
      <c r="E3994" t="inlineStr">
        <is>
          <t>FALKENBERG</t>
        </is>
      </c>
      <c r="F3994" t="inlineStr">
        <is>
          <t>Bergvik skog väst AB</t>
        </is>
      </c>
      <c r="G3994" t="n">
        <v>3.1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18323-2024</t>
        </is>
      </c>
      <c r="B3995" s="1" t="n">
        <v>45422</v>
      </c>
      <c r="C3995" s="1" t="n">
        <v>45627</v>
      </c>
      <c r="D3995" t="inlineStr">
        <is>
          <t>HALLANDS LÄN</t>
        </is>
      </c>
      <c r="E3995" t="inlineStr">
        <is>
          <t>FALKENBERG</t>
        </is>
      </c>
      <c r="F3995" t="inlineStr">
        <is>
          <t>Bergvik skog väst AB</t>
        </is>
      </c>
      <c r="G3995" t="n">
        <v>10.4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18333-2024</t>
        </is>
      </c>
      <c r="B3996" s="1" t="n">
        <v>45422</v>
      </c>
      <c r="C3996" s="1" t="n">
        <v>45627</v>
      </c>
      <c r="D3996" t="inlineStr">
        <is>
          <t>HALLANDS LÄN</t>
        </is>
      </c>
      <c r="E3996" t="inlineStr">
        <is>
          <t>VARBERG</t>
        </is>
      </c>
      <c r="G3996" t="n">
        <v>1.6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18329-2024</t>
        </is>
      </c>
      <c r="B3997" s="1" t="n">
        <v>45422</v>
      </c>
      <c r="C3997" s="1" t="n">
        <v>45627</v>
      </c>
      <c r="D3997" t="inlineStr">
        <is>
          <t>HALLANDS LÄN</t>
        </is>
      </c>
      <c r="E3997" t="inlineStr">
        <is>
          <t>FALKENBERG</t>
        </is>
      </c>
      <c r="F3997" t="inlineStr">
        <is>
          <t>Bergvik skog väst AB</t>
        </is>
      </c>
      <c r="G3997" t="n">
        <v>7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18321-2024</t>
        </is>
      </c>
      <c r="B3998" s="1" t="n">
        <v>45422</v>
      </c>
      <c r="C3998" s="1" t="n">
        <v>45627</v>
      </c>
      <c r="D3998" t="inlineStr">
        <is>
          <t>HALLANDS LÄN</t>
        </is>
      </c>
      <c r="E3998" t="inlineStr">
        <is>
          <t>FALKENBERG</t>
        </is>
      </c>
      <c r="F3998" t="inlineStr">
        <is>
          <t>Bergvik skog väst AB</t>
        </is>
      </c>
      <c r="G3998" t="n">
        <v>1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18317-2024</t>
        </is>
      </c>
      <c r="B3999" s="1" t="n">
        <v>45422</v>
      </c>
      <c r="C3999" s="1" t="n">
        <v>45627</v>
      </c>
      <c r="D3999" t="inlineStr">
        <is>
          <t>HALLANDS LÄN</t>
        </is>
      </c>
      <c r="E3999" t="inlineStr">
        <is>
          <t>FALKENBERG</t>
        </is>
      </c>
      <c r="F3999" t="inlineStr">
        <is>
          <t>Bergvik skog väst AB</t>
        </is>
      </c>
      <c r="G3999" t="n">
        <v>2.6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18390-2024</t>
        </is>
      </c>
      <c r="B4000" s="1" t="n">
        <v>45424</v>
      </c>
      <c r="C4000" s="1" t="n">
        <v>45627</v>
      </c>
      <c r="D4000" t="inlineStr">
        <is>
          <t>HALLANDS LÄN</t>
        </is>
      </c>
      <c r="E4000" t="inlineStr">
        <is>
          <t>HYLTE</t>
        </is>
      </c>
      <c r="G4000" t="n">
        <v>0.7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18459-2024</t>
        </is>
      </c>
      <c r="B4001" s="1" t="n">
        <v>45425</v>
      </c>
      <c r="C4001" s="1" t="n">
        <v>45627</v>
      </c>
      <c r="D4001" t="inlineStr">
        <is>
          <t>HALLANDS LÄN</t>
        </is>
      </c>
      <c r="E4001" t="inlineStr">
        <is>
          <t>LAHOLM</t>
        </is>
      </c>
      <c r="G4001" t="n">
        <v>1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18537-2024</t>
        </is>
      </c>
      <c r="B4002" s="1" t="n">
        <v>45425</v>
      </c>
      <c r="C4002" s="1" t="n">
        <v>45627</v>
      </c>
      <c r="D4002" t="inlineStr">
        <is>
          <t>HALLANDS LÄN</t>
        </is>
      </c>
      <c r="E4002" t="inlineStr">
        <is>
          <t>VARBERG</t>
        </is>
      </c>
      <c r="G4002" t="n">
        <v>0.7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18417-2024</t>
        </is>
      </c>
      <c r="B4003" s="1" t="n">
        <v>45425</v>
      </c>
      <c r="C4003" s="1" t="n">
        <v>45627</v>
      </c>
      <c r="D4003" t="inlineStr">
        <is>
          <t>HALLANDS LÄN</t>
        </is>
      </c>
      <c r="E4003" t="inlineStr">
        <is>
          <t>HYLTE</t>
        </is>
      </c>
      <c r="G4003" t="n">
        <v>2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18547-2024</t>
        </is>
      </c>
      <c r="B4004" s="1" t="n">
        <v>45425</v>
      </c>
      <c r="C4004" s="1" t="n">
        <v>45627</v>
      </c>
      <c r="D4004" t="inlineStr">
        <is>
          <t>HALLANDS LÄN</t>
        </is>
      </c>
      <c r="E4004" t="inlineStr">
        <is>
          <t>FALKENBERG</t>
        </is>
      </c>
      <c r="G4004" t="n">
        <v>4.6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18410-2024</t>
        </is>
      </c>
      <c r="B4005" s="1" t="n">
        <v>45425</v>
      </c>
      <c r="C4005" s="1" t="n">
        <v>45627</v>
      </c>
      <c r="D4005" t="inlineStr">
        <is>
          <t>HALLANDS LÄN</t>
        </is>
      </c>
      <c r="E4005" t="inlineStr">
        <is>
          <t>HYLTE</t>
        </is>
      </c>
      <c r="G4005" t="n">
        <v>3.1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18418-2024</t>
        </is>
      </c>
      <c r="B4006" s="1" t="n">
        <v>45425</v>
      </c>
      <c r="C4006" s="1" t="n">
        <v>45627</v>
      </c>
      <c r="D4006" t="inlineStr">
        <is>
          <t>HALLANDS LÄN</t>
        </is>
      </c>
      <c r="E4006" t="inlineStr">
        <is>
          <t>LAHOLM</t>
        </is>
      </c>
      <c r="G4006" t="n">
        <v>2.2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18540-2024</t>
        </is>
      </c>
      <c r="B4007" s="1" t="n">
        <v>45425</v>
      </c>
      <c r="C4007" s="1" t="n">
        <v>45627</v>
      </c>
      <c r="D4007" t="inlineStr">
        <is>
          <t>HALLANDS LÄN</t>
        </is>
      </c>
      <c r="E4007" t="inlineStr">
        <is>
          <t>VARBERG</t>
        </is>
      </c>
      <c r="G4007" t="n">
        <v>1.1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18544-2024</t>
        </is>
      </c>
      <c r="B4008" s="1" t="n">
        <v>45425</v>
      </c>
      <c r="C4008" s="1" t="n">
        <v>45627</v>
      </c>
      <c r="D4008" t="inlineStr">
        <is>
          <t>HALLANDS LÄN</t>
        </is>
      </c>
      <c r="E4008" t="inlineStr">
        <is>
          <t>FALKENBERG</t>
        </is>
      </c>
      <c r="G4008" t="n">
        <v>0.9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18732-2024</t>
        </is>
      </c>
      <c r="B4009" s="1" t="n">
        <v>45426</v>
      </c>
      <c r="C4009" s="1" t="n">
        <v>45627</v>
      </c>
      <c r="D4009" t="inlineStr">
        <is>
          <t>HALLANDS LÄN</t>
        </is>
      </c>
      <c r="E4009" t="inlineStr">
        <is>
          <t>FALKENBERG</t>
        </is>
      </c>
      <c r="G4009" t="n">
        <v>3.8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18737-2024</t>
        </is>
      </c>
      <c r="B4010" s="1" t="n">
        <v>45426</v>
      </c>
      <c r="C4010" s="1" t="n">
        <v>45627</v>
      </c>
      <c r="D4010" t="inlineStr">
        <is>
          <t>HALLANDS LÄN</t>
        </is>
      </c>
      <c r="E4010" t="inlineStr">
        <is>
          <t>KUNGSBACKA</t>
        </is>
      </c>
      <c r="G4010" t="n">
        <v>0.9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18817-2024</t>
        </is>
      </c>
      <c r="B4011" s="1" t="n">
        <v>45426</v>
      </c>
      <c r="C4011" s="1" t="n">
        <v>45627</v>
      </c>
      <c r="D4011" t="inlineStr">
        <is>
          <t>HALLANDS LÄN</t>
        </is>
      </c>
      <c r="E4011" t="inlineStr">
        <is>
          <t>LAHOLM</t>
        </is>
      </c>
      <c r="G4011" t="n">
        <v>5.1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18840-2024</t>
        </is>
      </c>
      <c r="B4012" s="1" t="n">
        <v>45426</v>
      </c>
      <c r="C4012" s="1" t="n">
        <v>45627</v>
      </c>
      <c r="D4012" t="inlineStr">
        <is>
          <t>HALLANDS LÄN</t>
        </is>
      </c>
      <c r="E4012" t="inlineStr">
        <is>
          <t>HYLTE</t>
        </is>
      </c>
      <c r="G4012" t="n">
        <v>1.3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18844-2024</t>
        </is>
      </c>
      <c r="B4013" s="1" t="n">
        <v>45426</v>
      </c>
      <c r="C4013" s="1" t="n">
        <v>45627</v>
      </c>
      <c r="D4013" t="inlineStr">
        <is>
          <t>HALLANDS LÄN</t>
        </is>
      </c>
      <c r="E4013" t="inlineStr">
        <is>
          <t>HYLTE</t>
        </is>
      </c>
      <c r="G4013" t="n">
        <v>1.3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18820-2024</t>
        </is>
      </c>
      <c r="B4014" s="1" t="n">
        <v>45426</v>
      </c>
      <c r="C4014" s="1" t="n">
        <v>45627</v>
      </c>
      <c r="D4014" t="inlineStr">
        <is>
          <t>HALLANDS LÄN</t>
        </is>
      </c>
      <c r="E4014" t="inlineStr">
        <is>
          <t>LAHOLM</t>
        </is>
      </c>
      <c r="G4014" t="n">
        <v>0.6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18843-2024</t>
        </is>
      </c>
      <c r="B4015" s="1" t="n">
        <v>45426</v>
      </c>
      <c r="C4015" s="1" t="n">
        <v>45627</v>
      </c>
      <c r="D4015" t="inlineStr">
        <is>
          <t>HALLANDS LÄN</t>
        </is>
      </c>
      <c r="E4015" t="inlineStr">
        <is>
          <t>HYLTE</t>
        </is>
      </c>
      <c r="G4015" t="n">
        <v>1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18702-2024</t>
        </is>
      </c>
      <c r="B4016" s="1" t="n">
        <v>45426</v>
      </c>
      <c r="C4016" s="1" t="n">
        <v>45627</v>
      </c>
      <c r="D4016" t="inlineStr">
        <is>
          <t>HALLANDS LÄN</t>
        </is>
      </c>
      <c r="E4016" t="inlineStr">
        <is>
          <t>FALKENBERG</t>
        </is>
      </c>
      <c r="G4016" t="n">
        <v>3.1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18710-2024</t>
        </is>
      </c>
      <c r="B4017" s="1" t="n">
        <v>45426</v>
      </c>
      <c r="C4017" s="1" t="n">
        <v>45627</v>
      </c>
      <c r="D4017" t="inlineStr">
        <is>
          <t>HALLANDS LÄN</t>
        </is>
      </c>
      <c r="E4017" t="inlineStr">
        <is>
          <t>HALMSTAD</t>
        </is>
      </c>
      <c r="G4017" t="n">
        <v>1.1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18913-2024</t>
        </is>
      </c>
      <c r="B4018" s="1" t="n">
        <v>45427</v>
      </c>
      <c r="C4018" s="1" t="n">
        <v>45627</v>
      </c>
      <c r="D4018" t="inlineStr">
        <is>
          <t>HALLANDS LÄN</t>
        </is>
      </c>
      <c r="E4018" t="inlineStr">
        <is>
          <t>VARBERG</t>
        </is>
      </c>
      <c r="G4018" t="n">
        <v>3.3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19132-2024</t>
        </is>
      </c>
      <c r="B4019" s="1" t="n">
        <v>45428</v>
      </c>
      <c r="C4019" s="1" t="n">
        <v>45627</v>
      </c>
      <c r="D4019" t="inlineStr">
        <is>
          <t>HALLANDS LÄN</t>
        </is>
      </c>
      <c r="E4019" t="inlineStr">
        <is>
          <t>LAHOLM</t>
        </is>
      </c>
      <c r="G4019" t="n">
        <v>2.4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19130-2024</t>
        </is>
      </c>
      <c r="B4020" s="1" t="n">
        <v>45428</v>
      </c>
      <c r="C4020" s="1" t="n">
        <v>45627</v>
      </c>
      <c r="D4020" t="inlineStr">
        <is>
          <t>HALLANDS LÄN</t>
        </is>
      </c>
      <c r="E4020" t="inlineStr">
        <is>
          <t>LAHOLM</t>
        </is>
      </c>
      <c r="G4020" t="n">
        <v>4.8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19128-2024</t>
        </is>
      </c>
      <c r="B4021" s="1" t="n">
        <v>45428</v>
      </c>
      <c r="C4021" s="1" t="n">
        <v>45627</v>
      </c>
      <c r="D4021" t="inlineStr">
        <is>
          <t>HALLANDS LÄN</t>
        </is>
      </c>
      <c r="E4021" t="inlineStr">
        <is>
          <t>LAHOLM</t>
        </is>
      </c>
      <c r="G4021" t="n">
        <v>1.5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19393-2024</t>
        </is>
      </c>
      <c r="B4022" s="1" t="n">
        <v>45429</v>
      </c>
      <c r="C4022" s="1" t="n">
        <v>45627</v>
      </c>
      <c r="D4022" t="inlineStr">
        <is>
          <t>HALLANDS LÄN</t>
        </is>
      </c>
      <c r="E4022" t="inlineStr">
        <is>
          <t>HYLTE</t>
        </is>
      </c>
      <c r="G4022" t="n">
        <v>4.2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19468-2024</t>
        </is>
      </c>
      <c r="B4023" s="1" t="n">
        <v>45429</v>
      </c>
      <c r="C4023" s="1" t="n">
        <v>45627</v>
      </c>
      <c r="D4023" t="inlineStr">
        <is>
          <t>HALLANDS LÄN</t>
        </is>
      </c>
      <c r="E4023" t="inlineStr">
        <is>
          <t>HALMSTAD</t>
        </is>
      </c>
      <c r="G4023" t="n">
        <v>2.3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19418-2024</t>
        </is>
      </c>
      <c r="B4024" s="1" t="n">
        <v>45429</v>
      </c>
      <c r="C4024" s="1" t="n">
        <v>45627</v>
      </c>
      <c r="D4024" t="inlineStr">
        <is>
          <t>HALLANDS LÄN</t>
        </is>
      </c>
      <c r="E4024" t="inlineStr">
        <is>
          <t>HALMSTAD</t>
        </is>
      </c>
      <c r="G4024" t="n">
        <v>0.7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19513-2024</t>
        </is>
      </c>
      <c r="B4025" s="1" t="n">
        <v>45429</v>
      </c>
      <c r="C4025" s="1" t="n">
        <v>45627</v>
      </c>
      <c r="D4025" t="inlineStr">
        <is>
          <t>HALLANDS LÄN</t>
        </is>
      </c>
      <c r="E4025" t="inlineStr">
        <is>
          <t>HYLTE</t>
        </is>
      </c>
      <c r="G4025" t="n">
        <v>1.4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19507-2024</t>
        </is>
      </c>
      <c r="B4026" s="1" t="n">
        <v>45429</v>
      </c>
      <c r="C4026" s="1" t="n">
        <v>45627</v>
      </c>
      <c r="D4026" t="inlineStr">
        <is>
          <t>HALLANDS LÄN</t>
        </is>
      </c>
      <c r="E4026" t="inlineStr">
        <is>
          <t>HYLTE</t>
        </is>
      </c>
      <c r="G4026" t="n">
        <v>2.2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19675-2024</t>
        </is>
      </c>
      <c r="B4027" s="1" t="n">
        <v>45432</v>
      </c>
      <c r="C4027" s="1" t="n">
        <v>45627</v>
      </c>
      <c r="D4027" t="inlineStr">
        <is>
          <t>HALLANDS LÄN</t>
        </is>
      </c>
      <c r="E4027" t="inlineStr">
        <is>
          <t>HYLTE</t>
        </is>
      </c>
      <c r="G4027" t="n">
        <v>2.3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19727-2024</t>
        </is>
      </c>
      <c r="B4028" s="1" t="n">
        <v>45432</v>
      </c>
      <c r="C4028" s="1" t="n">
        <v>45627</v>
      </c>
      <c r="D4028" t="inlineStr">
        <is>
          <t>HALLANDS LÄN</t>
        </is>
      </c>
      <c r="E4028" t="inlineStr">
        <is>
          <t>HYLTE</t>
        </is>
      </c>
      <c r="G4028" t="n">
        <v>4.2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19792-2024</t>
        </is>
      </c>
      <c r="B4029" s="1" t="n">
        <v>45432</v>
      </c>
      <c r="C4029" s="1" t="n">
        <v>45627</v>
      </c>
      <c r="D4029" t="inlineStr">
        <is>
          <t>HALLANDS LÄN</t>
        </is>
      </c>
      <c r="E4029" t="inlineStr">
        <is>
          <t>HYLTE</t>
        </is>
      </c>
      <c r="G4029" t="n">
        <v>3.9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19791-2024</t>
        </is>
      </c>
      <c r="B4030" s="1" t="n">
        <v>45432</v>
      </c>
      <c r="C4030" s="1" t="n">
        <v>45627</v>
      </c>
      <c r="D4030" t="inlineStr">
        <is>
          <t>HALLANDS LÄN</t>
        </is>
      </c>
      <c r="E4030" t="inlineStr">
        <is>
          <t>HYLTE</t>
        </is>
      </c>
      <c r="G4030" t="n">
        <v>1.7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19648-2024</t>
        </is>
      </c>
      <c r="B4031" s="1" t="n">
        <v>45432</v>
      </c>
      <c r="C4031" s="1" t="n">
        <v>45627</v>
      </c>
      <c r="D4031" t="inlineStr">
        <is>
          <t>HALLANDS LÄN</t>
        </is>
      </c>
      <c r="E4031" t="inlineStr">
        <is>
          <t>HYLTE</t>
        </is>
      </c>
      <c r="G4031" t="n">
        <v>2.2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19732-2024</t>
        </is>
      </c>
      <c r="B4032" s="1" t="n">
        <v>45432</v>
      </c>
      <c r="C4032" s="1" t="n">
        <v>45627</v>
      </c>
      <c r="D4032" t="inlineStr">
        <is>
          <t>HALLANDS LÄN</t>
        </is>
      </c>
      <c r="E4032" t="inlineStr">
        <is>
          <t>VARBERG</t>
        </is>
      </c>
      <c r="G4032" t="n">
        <v>6.5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19833-2024</t>
        </is>
      </c>
      <c r="B4033" s="1" t="n">
        <v>45433</v>
      </c>
      <c r="C4033" s="1" t="n">
        <v>45627</v>
      </c>
      <c r="D4033" t="inlineStr">
        <is>
          <t>HALLANDS LÄN</t>
        </is>
      </c>
      <c r="E4033" t="inlineStr">
        <is>
          <t>FALKENBERG</t>
        </is>
      </c>
      <c r="G4033" t="n">
        <v>2.3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19917-2024</t>
        </is>
      </c>
      <c r="B4034" s="1" t="n">
        <v>45433</v>
      </c>
      <c r="C4034" s="1" t="n">
        <v>45627</v>
      </c>
      <c r="D4034" t="inlineStr">
        <is>
          <t>HALLANDS LÄN</t>
        </is>
      </c>
      <c r="E4034" t="inlineStr">
        <is>
          <t>HYLTE</t>
        </is>
      </c>
      <c r="G4034" t="n">
        <v>4.9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20038-2024</t>
        </is>
      </c>
      <c r="B4035" s="1" t="n">
        <v>45434</v>
      </c>
      <c r="C4035" s="1" t="n">
        <v>45627</v>
      </c>
      <c r="D4035" t="inlineStr">
        <is>
          <t>HALLANDS LÄN</t>
        </is>
      </c>
      <c r="E4035" t="inlineStr">
        <is>
          <t>HYLTE</t>
        </is>
      </c>
      <c r="G4035" t="n">
        <v>7.5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20072-2024</t>
        </is>
      </c>
      <c r="B4036" s="1" t="n">
        <v>45434</v>
      </c>
      <c r="C4036" s="1" t="n">
        <v>45627</v>
      </c>
      <c r="D4036" t="inlineStr">
        <is>
          <t>HALLANDS LÄN</t>
        </is>
      </c>
      <c r="E4036" t="inlineStr">
        <is>
          <t>VARBERG</t>
        </is>
      </c>
      <c r="G4036" t="n">
        <v>9.1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20037-2024</t>
        </is>
      </c>
      <c r="B4037" s="1" t="n">
        <v>45434</v>
      </c>
      <c r="C4037" s="1" t="n">
        <v>45627</v>
      </c>
      <c r="D4037" t="inlineStr">
        <is>
          <t>HALLANDS LÄN</t>
        </is>
      </c>
      <c r="E4037" t="inlineStr">
        <is>
          <t>HYLTE</t>
        </is>
      </c>
      <c r="G4037" t="n">
        <v>13.1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20107-2024</t>
        </is>
      </c>
      <c r="B4038" s="1" t="n">
        <v>45434</v>
      </c>
      <c r="C4038" s="1" t="n">
        <v>45627</v>
      </c>
      <c r="D4038" t="inlineStr">
        <is>
          <t>HALLANDS LÄN</t>
        </is>
      </c>
      <c r="E4038" t="inlineStr">
        <is>
          <t>VARBERG</t>
        </is>
      </c>
      <c r="G4038" t="n">
        <v>2.3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20045-2024</t>
        </is>
      </c>
      <c r="B4039" s="1" t="n">
        <v>45434</v>
      </c>
      <c r="C4039" s="1" t="n">
        <v>45627</v>
      </c>
      <c r="D4039" t="inlineStr">
        <is>
          <t>HALLANDS LÄN</t>
        </is>
      </c>
      <c r="E4039" t="inlineStr">
        <is>
          <t>VARBERG</t>
        </is>
      </c>
      <c r="G4039" t="n">
        <v>3.8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20250-2024</t>
        </is>
      </c>
      <c r="B4040" s="1" t="n">
        <v>45434</v>
      </c>
      <c r="C4040" s="1" t="n">
        <v>45627</v>
      </c>
      <c r="D4040" t="inlineStr">
        <is>
          <t>HALLANDS LÄN</t>
        </is>
      </c>
      <c r="E4040" t="inlineStr">
        <is>
          <t>FALKENBERG</t>
        </is>
      </c>
      <c r="G4040" t="n">
        <v>0.6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20251-2024</t>
        </is>
      </c>
      <c r="B4041" s="1" t="n">
        <v>45434</v>
      </c>
      <c r="C4041" s="1" t="n">
        <v>45627</v>
      </c>
      <c r="D4041" t="inlineStr">
        <is>
          <t>HALLANDS LÄN</t>
        </is>
      </c>
      <c r="E4041" t="inlineStr">
        <is>
          <t>FALKENBERG</t>
        </is>
      </c>
      <c r="G4041" t="n">
        <v>3.4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20348-2024</t>
        </is>
      </c>
      <c r="B4042" s="1" t="n">
        <v>45435</v>
      </c>
      <c r="C4042" s="1" t="n">
        <v>45627</v>
      </c>
      <c r="D4042" t="inlineStr">
        <is>
          <t>HALLANDS LÄN</t>
        </is>
      </c>
      <c r="E4042" t="inlineStr">
        <is>
          <t>FALKENBERG</t>
        </is>
      </c>
      <c r="G4042" t="n">
        <v>0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20349-2024</t>
        </is>
      </c>
      <c r="B4043" s="1" t="n">
        <v>45435</v>
      </c>
      <c r="C4043" s="1" t="n">
        <v>45627</v>
      </c>
      <c r="D4043" t="inlineStr">
        <is>
          <t>HALLANDS LÄN</t>
        </is>
      </c>
      <c r="E4043" t="inlineStr">
        <is>
          <t>FALKENBERG</t>
        </is>
      </c>
      <c r="G4043" t="n">
        <v>0.7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20353-2024</t>
        </is>
      </c>
      <c r="B4044" s="1" t="n">
        <v>45435</v>
      </c>
      <c r="C4044" s="1" t="n">
        <v>45627</v>
      </c>
      <c r="D4044" t="inlineStr">
        <is>
          <t>HALLANDS LÄN</t>
        </is>
      </c>
      <c r="E4044" t="inlineStr">
        <is>
          <t>FALKENBERG</t>
        </is>
      </c>
      <c r="G4044" t="n">
        <v>0.4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20351-2024</t>
        </is>
      </c>
      <c r="B4045" s="1" t="n">
        <v>45435</v>
      </c>
      <c r="C4045" s="1" t="n">
        <v>45627</v>
      </c>
      <c r="D4045" t="inlineStr">
        <is>
          <t>HALLANDS LÄN</t>
        </is>
      </c>
      <c r="E4045" t="inlineStr">
        <is>
          <t>FALKENBERG</t>
        </is>
      </c>
      <c r="G4045" t="n">
        <v>2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20481-2024</t>
        </is>
      </c>
      <c r="B4046" s="1" t="n">
        <v>45435</v>
      </c>
      <c r="C4046" s="1" t="n">
        <v>45627</v>
      </c>
      <c r="D4046" t="inlineStr">
        <is>
          <t>HALLANDS LÄN</t>
        </is>
      </c>
      <c r="E4046" t="inlineStr">
        <is>
          <t>HALMSTAD</t>
        </is>
      </c>
      <c r="G4046" t="n">
        <v>1.1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20427-2024</t>
        </is>
      </c>
      <c r="B4047" s="1" t="n">
        <v>45435</v>
      </c>
      <c r="C4047" s="1" t="n">
        <v>45627</v>
      </c>
      <c r="D4047" t="inlineStr">
        <is>
          <t>HALLANDS LÄN</t>
        </is>
      </c>
      <c r="E4047" t="inlineStr">
        <is>
          <t>HYLTE</t>
        </is>
      </c>
      <c r="G4047" t="n">
        <v>2.2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20358-2024</t>
        </is>
      </c>
      <c r="B4048" s="1" t="n">
        <v>45435</v>
      </c>
      <c r="C4048" s="1" t="n">
        <v>45627</v>
      </c>
      <c r="D4048" t="inlineStr">
        <is>
          <t>HALLANDS LÄN</t>
        </is>
      </c>
      <c r="E4048" t="inlineStr">
        <is>
          <t>FALKENBERG</t>
        </is>
      </c>
      <c r="G4048" t="n">
        <v>3.4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20352-2024</t>
        </is>
      </c>
      <c r="B4049" s="1" t="n">
        <v>45435</v>
      </c>
      <c r="C4049" s="1" t="n">
        <v>45627</v>
      </c>
      <c r="D4049" t="inlineStr">
        <is>
          <t>HALLANDS LÄN</t>
        </is>
      </c>
      <c r="E4049" t="inlineStr">
        <is>
          <t>FALKENBERG</t>
        </is>
      </c>
      <c r="G4049" t="n">
        <v>1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20741-2024</t>
        </is>
      </c>
      <c r="B4050" s="1" t="n">
        <v>45436</v>
      </c>
      <c r="C4050" s="1" t="n">
        <v>45627</v>
      </c>
      <c r="D4050" t="inlineStr">
        <is>
          <t>HALLANDS LÄN</t>
        </is>
      </c>
      <c r="E4050" t="inlineStr">
        <is>
          <t>HYLTE</t>
        </is>
      </c>
      <c r="G4050" t="n">
        <v>1.4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20719-2024</t>
        </is>
      </c>
      <c r="B4051" s="1" t="n">
        <v>45436</v>
      </c>
      <c r="C4051" s="1" t="n">
        <v>45627</v>
      </c>
      <c r="D4051" t="inlineStr">
        <is>
          <t>HALLANDS LÄN</t>
        </is>
      </c>
      <c r="E4051" t="inlineStr">
        <is>
          <t>VARBERG</t>
        </is>
      </c>
      <c r="F4051" t="inlineStr">
        <is>
          <t>Kyrkan</t>
        </is>
      </c>
      <c r="G4051" t="n">
        <v>3.2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20737-2024</t>
        </is>
      </c>
      <c r="B4052" s="1" t="n">
        <v>45436</v>
      </c>
      <c r="C4052" s="1" t="n">
        <v>45627</v>
      </c>
      <c r="D4052" t="inlineStr">
        <is>
          <t>HALLANDS LÄN</t>
        </is>
      </c>
      <c r="E4052" t="inlineStr">
        <is>
          <t>HYLTE</t>
        </is>
      </c>
      <c r="G4052" t="n">
        <v>2.2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20702-2024</t>
        </is>
      </c>
      <c r="B4053" s="1" t="n">
        <v>45436</v>
      </c>
      <c r="C4053" s="1" t="n">
        <v>45627</v>
      </c>
      <c r="D4053" t="inlineStr">
        <is>
          <t>HALLANDS LÄN</t>
        </is>
      </c>
      <c r="E4053" t="inlineStr">
        <is>
          <t>VARBERG</t>
        </is>
      </c>
      <c r="F4053" t="inlineStr">
        <is>
          <t>Kyrkan</t>
        </is>
      </c>
      <c r="G4053" t="n">
        <v>1.3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21037-2024</t>
        </is>
      </c>
      <c r="B4054" s="1" t="n">
        <v>45439</v>
      </c>
      <c r="C4054" s="1" t="n">
        <v>45627</v>
      </c>
      <c r="D4054" t="inlineStr">
        <is>
          <t>HALLANDS LÄN</t>
        </is>
      </c>
      <c r="E4054" t="inlineStr">
        <is>
          <t>FALKENBERG</t>
        </is>
      </c>
      <c r="G4054" t="n">
        <v>0.5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20971-2024</t>
        </is>
      </c>
      <c r="B4055" s="1" t="n">
        <v>45439</v>
      </c>
      <c r="C4055" s="1" t="n">
        <v>45627</v>
      </c>
      <c r="D4055" t="inlineStr">
        <is>
          <t>HALLANDS LÄN</t>
        </is>
      </c>
      <c r="E4055" t="inlineStr">
        <is>
          <t>HYLTE</t>
        </is>
      </c>
      <c r="G4055" t="n">
        <v>1.7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21190-2024</t>
        </is>
      </c>
      <c r="B4056" s="1" t="n">
        <v>45440</v>
      </c>
      <c r="C4056" s="1" t="n">
        <v>45627</v>
      </c>
      <c r="D4056" t="inlineStr">
        <is>
          <t>HALLANDS LÄN</t>
        </is>
      </c>
      <c r="E4056" t="inlineStr">
        <is>
          <t>LAHOLM</t>
        </is>
      </c>
      <c r="G4056" t="n">
        <v>2.3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21253-2024</t>
        </is>
      </c>
      <c r="B4057" s="1" t="n">
        <v>45440</v>
      </c>
      <c r="C4057" s="1" t="n">
        <v>45627</v>
      </c>
      <c r="D4057" t="inlineStr">
        <is>
          <t>HALLANDS LÄN</t>
        </is>
      </c>
      <c r="E4057" t="inlineStr">
        <is>
          <t>LAHOLM</t>
        </is>
      </c>
      <c r="F4057" t="inlineStr">
        <is>
          <t>Sveaskog</t>
        </is>
      </c>
      <c r="G4057" t="n">
        <v>5.1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21279-2024</t>
        </is>
      </c>
      <c r="B4058" s="1" t="n">
        <v>45440</v>
      </c>
      <c r="C4058" s="1" t="n">
        <v>45627</v>
      </c>
      <c r="D4058" t="inlineStr">
        <is>
          <t>HALLANDS LÄN</t>
        </is>
      </c>
      <c r="E4058" t="inlineStr">
        <is>
          <t>KUNGSBACKA</t>
        </is>
      </c>
      <c r="G4058" t="n">
        <v>1.2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21430-2024</t>
        </is>
      </c>
      <c r="B4059" s="1" t="n">
        <v>45441</v>
      </c>
      <c r="C4059" s="1" t="n">
        <v>45627</v>
      </c>
      <c r="D4059" t="inlineStr">
        <is>
          <t>HALLANDS LÄN</t>
        </is>
      </c>
      <c r="E4059" t="inlineStr">
        <is>
          <t>FALKENBERG</t>
        </is>
      </c>
      <c r="F4059" t="inlineStr">
        <is>
          <t>Kyrkan</t>
        </is>
      </c>
      <c r="G4059" t="n">
        <v>1.6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21459-2024</t>
        </is>
      </c>
      <c r="B4060" s="1" t="n">
        <v>45441</v>
      </c>
      <c r="C4060" s="1" t="n">
        <v>45627</v>
      </c>
      <c r="D4060" t="inlineStr">
        <is>
          <t>HALLANDS LÄN</t>
        </is>
      </c>
      <c r="E4060" t="inlineStr">
        <is>
          <t>HYLTE</t>
        </is>
      </c>
      <c r="G4060" t="n">
        <v>0.6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21483-2024</t>
        </is>
      </c>
      <c r="B4061" s="1" t="n">
        <v>45441</v>
      </c>
      <c r="C4061" s="1" t="n">
        <v>45627</v>
      </c>
      <c r="D4061" t="inlineStr">
        <is>
          <t>HALLANDS LÄN</t>
        </is>
      </c>
      <c r="E4061" t="inlineStr">
        <is>
          <t>HALMSTAD</t>
        </is>
      </c>
      <c r="G4061" t="n">
        <v>0.8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21490-2024</t>
        </is>
      </c>
      <c r="B4062" s="1" t="n">
        <v>45441</v>
      </c>
      <c r="C4062" s="1" t="n">
        <v>45627</v>
      </c>
      <c r="D4062" t="inlineStr">
        <is>
          <t>HALLANDS LÄN</t>
        </is>
      </c>
      <c r="E4062" t="inlineStr">
        <is>
          <t>HALMSTAD</t>
        </is>
      </c>
      <c r="G4062" t="n">
        <v>2.8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21462-2024</t>
        </is>
      </c>
      <c r="B4063" s="1" t="n">
        <v>45441</v>
      </c>
      <c r="C4063" s="1" t="n">
        <v>45627</v>
      </c>
      <c r="D4063" t="inlineStr">
        <is>
          <t>HALLANDS LÄN</t>
        </is>
      </c>
      <c r="E4063" t="inlineStr">
        <is>
          <t>HYLTE</t>
        </is>
      </c>
      <c r="G4063" t="n">
        <v>1.4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21433-2024</t>
        </is>
      </c>
      <c r="B4064" s="1" t="n">
        <v>45441</v>
      </c>
      <c r="C4064" s="1" t="n">
        <v>45627</v>
      </c>
      <c r="D4064" t="inlineStr">
        <is>
          <t>HALLANDS LÄN</t>
        </is>
      </c>
      <c r="E4064" t="inlineStr">
        <is>
          <t>HYLTE</t>
        </is>
      </c>
      <c r="F4064" t="inlineStr">
        <is>
          <t>Kyrkan</t>
        </is>
      </c>
      <c r="G4064" t="n">
        <v>0.6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21417-2024</t>
        </is>
      </c>
      <c r="B4065" s="1" t="n">
        <v>45441</v>
      </c>
      <c r="C4065" s="1" t="n">
        <v>45627</v>
      </c>
      <c r="D4065" t="inlineStr">
        <is>
          <t>HALLANDS LÄN</t>
        </is>
      </c>
      <c r="E4065" t="inlineStr">
        <is>
          <t>KUNGSBACKA</t>
        </is>
      </c>
      <c r="G4065" t="n">
        <v>1.6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21432-2024</t>
        </is>
      </c>
      <c r="B4066" s="1" t="n">
        <v>45441</v>
      </c>
      <c r="C4066" s="1" t="n">
        <v>45627</v>
      </c>
      <c r="D4066" t="inlineStr">
        <is>
          <t>HALLANDS LÄN</t>
        </is>
      </c>
      <c r="E4066" t="inlineStr">
        <is>
          <t>HYLTE</t>
        </is>
      </c>
      <c r="F4066" t="inlineStr">
        <is>
          <t>Kyrkan</t>
        </is>
      </c>
      <c r="G4066" t="n">
        <v>0.8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21428-2024</t>
        </is>
      </c>
      <c r="B4067" s="1" t="n">
        <v>45441</v>
      </c>
      <c r="C4067" s="1" t="n">
        <v>45627</v>
      </c>
      <c r="D4067" t="inlineStr">
        <is>
          <t>HALLANDS LÄN</t>
        </is>
      </c>
      <c r="E4067" t="inlineStr">
        <is>
          <t>HYLTE</t>
        </is>
      </c>
      <c r="F4067" t="inlineStr">
        <is>
          <t>Kyrkan</t>
        </is>
      </c>
      <c r="G4067" t="n">
        <v>7.8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21492-2024</t>
        </is>
      </c>
      <c r="B4068" s="1" t="n">
        <v>45441</v>
      </c>
      <c r="C4068" s="1" t="n">
        <v>45627</v>
      </c>
      <c r="D4068" t="inlineStr">
        <is>
          <t>HALLANDS LÄN</t>
        </is>
      </c>
      <c r="E4068" t="inlineStr">
        <is>
          <t>HALMSTAD</t>
        </is>
      </c>
      <c r="G4068" t="n">
        <v>1.6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21488-2024</t>
        </is>
      </c>
      <c r="B4069" s="1" t="n">
        <v>45441</v>
      </c>
      <c r="C4069" s="1" t="n">
        <v>45627</v>
      </c>
      <c r="D4069" t="inlineStr">
        <is>
          <t>HALLANDS LÄN</t>
        </is>
      </c>
      <c r="E4069" t="inlineStr">
        <is>
          <t>HALMSTAD</t>
        </is>
      </c>
      <c r="G4069" t="n">
        <v>0.5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21464-2024</t>
        </is>
      </c>
      <c r="B4070" s="1" t="n">
        <v>45441</v>
      </c>
      <c r="C4070" s="1" t="n">
        <v>45627</v>
      </c>
      <c r="D4070" t="inlineStr">
        <is>
          <t>HALLANDS LÄN</t>
        </is>
      </c>
      <c r="E4070" t="inlineStr">
        <is>
          <t>HYLTE</t>
        </is>
      </c>
      <c r="G4070" t="n">
        <v>0.7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21460-2024</t>
        </is>
      </c>
      <c r="B4071" s="1" t="n">
        <v>45441</v>
      </c>
      <c r="C4071" s="1" t="n">
        <v>45627</v>
      </c>
      <c r="D4071" t="inlineStr">
        <is>
          <t>HALLANDS LÄN</t>
        </is>
      </c>
      <c r="E4071" t="inlineStr">
        <is>
          <t>HYLTE</t>
        </is>
      </c>
      <c r="G4071" t="n">
        <v>1.4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21456-2024</t>
        </is>
      </c>
      <c r="B4072" s="1" t="n">
        <v>45441</v>
      </c>
      <c r="C4072" s="1" t="n">
        <v>45627</v>
      </c>
      <c r="D4072" t="inlineStr">
        <is>
          <t>HALLANDS LÄN</t>
        </is>
      </c>
      <c r="E4072" t="inlineStr">
        <is>
          <t>HYLTE</t>
        </is>
      </c>
      <c r="G4072" t="n">
        <v>2.2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21619-2024</t>
        </is>
      </c>
      <c r="B4073" s="1" t="n">
        <v>45442</v>
      </c>
      <c r="C4073" s="1" t="n">
        <v>45627</v>
      </c>
      <c r="D4073" t="inlineStr">
        <is>
          <t>HALLANDS LÄN</t>
        </is>
      </c>
      <c r="E4073" t="inlineStr">
        <is>
          <t>LAHOLM</t>
        </is>
      </c>
      <c r="G4073" t="n">
        <v>4.5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21623-2024</t>
        </is>
      </c>
      <c r="B4074" s="1" t="n">
        <v>45442</v>
      </c>
      <c r="C4074" s="1" t="n">
        <v>45627</v>
      </c>
      <c r="D4074" t="inlineStr">
        <is>
          <t>HALLANDS LÄN</t>
        </is>
      </c>
      <c r="E4074" t="inlineStr">
        <is>
          <t>HALMSTAD</t>
        </is>
      </c>
      <c r="G4074" t="n">
        <v>2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21925-2024</t>
        </is>
      </c>
      <c r="B4075" s="1" t="n">
        <v>45443</v>
      </c>
      <c r="C4075" s="1" t="n">
        <v>45627</v>
      </c>
      <c r="D4075" t="inlineStr">
        <is>
          <t>HALLANDS LÄN</t>
        </is>
      </c>
      <c r="E4075" t="inlineStr">
        <is>
          <t>FALKENBERG</t>
        </is>
      </c>
      <c r="G4075" t="n">
        <v>1.7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21947-2024</t>
        </is>
      </c>
      <c r="B4076" s="1" t="n">
        <v>45443</v>
      </c>
      <c r="C4076" s="1" t="n">
        <v>45627</v>
      </c>
      <c r="D4076" t="inlineStr">
        <is>
          <t>HALLANDS LÄN</t>
        </is>
      </c>
      <c r="E4076" t="inlineStr">
        <is>
          <t>HALMSTAD</t>
        </is>
      </c>
      <c r="G4076" t="n">
        <v>3.1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22003-2024</t>
        </is>
      </c>
      <c r="B4077" s="1" t="n">
        <v>45443</v>
      </c>
      <c r="C4077" s="1" t="n">
        <v>45627</v>
      </c>
      <c r="D4077" t="inlineStr">
        <is>
          <t>HALLANDS LÄN</t>
        </is>
      </c>
      <c r="E4077" t="inlineStr">
        <is>
          <t>KUNGSBACKA</t>
        </is>
      </c>
      <c r="G4077" t="n">
        <v>1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21954-2024</t>
        </is>
      </c>
      <c r="B4078" s="1" t="n">
        <v>45443</v>
      </c>
      <c r="C4078" s="1" t="n">
        <v>45627</v>
      </c>
      <c r="D4078" t="inlineStr">
        <is>
          <t>HALLANDS LÄN</t>
        </is>
      </c>
      <c r="E4078" t="inlineStr">
        <is>
          <t>FALKENBERG</t>
        </is>
      </c>
      <c r="G4078" t="n">
        <v>1.1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21946-2024</t>
        </is>
      </c>
      <c r="B4079" s="1" t="n">
        <v>45443</v>
      </c>
      <c r="C4079" s="1" t="n">
        <v>45627</v>
      </c>
      <c r="D4079" t="inlineStr">
        <is>
          <t>HALLANDS LÄN</t>
        </is>
      </c>
      <c r="E4079" t="inlineStr">
        <is>
          <t>HALMSTAD</t>
        </is>
      </c>
      <c r="G4079" t="n">
        <v>1.7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22149-2024</t>
        </is>
      </c>
      <c r="B4080" s="1" t="n">
        <v>45445</v>
      </c>
      <c r="C4080" s="1" t="n">
        <v>45627</v>
      </c>
      <c r="D4080" t="inlineStr">
        <is>
          <t>HALLANDS LÄN</t>
        </is>
      </c>
      <c r="E4080" t="inlineStr">
        <is>
          <t>LAHOLM</t>
        </is>
      </c>
      <c r="G4080" t="n">
        <v>3.2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22313-2024</t>
        </is>
      </c>
      <c r="B4081" s="1" t="n">
        <v>45446</v>
      </c>
      <c r="C4081" s="1" t="n">
        <v>45627</v>
      </c>
      <c r="D4081" t="inlineStr">
        <is>
          <t>HALLANDS LÄN</t>
        </is>
      </c>
      <c r="E4081" t="inlineStr">
        <is>
          <t>HALMSTAD</t>
        </is>
      </c>
      <c r="G4081" t="n">
        <v>1.1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22240-2024</t>
        </is>
      </c>
      <c r="B4082" s="1" t="n">
        <v>45446</v>
      </c>
      <c r="C4082" s="1" t="n">
        <v>45627</v>
      </c>
      <c r="D4082" t="inlineStr">
        <is>
          <t>HALLANDS LÄN</t>
        </is>
      </c>
      <c r="E4082" t="inlineStr">
        <is>
          <t>HALMSTAD</t>
        </is>
      </c>
      <c r="G4082" t="n">
        <v>3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22329-2024</t>
        </is>
      </c>
      <c r="B4083" s="1" t="n">
        <v>45446</v>
      </c>
      <c r="C4083" s="1" t="n">
        <v>45627</v>
      </c>
      <c r="D4083" t="inlineStr">
        <is>
          <t>HALLANDS LÄN</t>
        </is>
      </c>
      <c r="E4083" t="inlineStr">
        <is>
          <t>HALMSTAD</t>
        </is>
      </c>
      <c r="G4083" t="n">
        <v>1.4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22355-2024</t>
        </is>
      </c>
      <c r="B4084" s="1" t="n">
        <v>45446</v>
      </c>
      <c r="C4084" s="1" t="n">
        <v>45627</v>
      </c>
      <c r="D4084" t="inlineStr">
        <is>
          <t>HALLANDS LÄN</t>
        </is>
      </c>
      <c r="E4084" t="inlineStr">
        <is>
          <t>VARBERG</t>
        </is>
      </c>
      <c r="G4084" t="n">
        <v>5.6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22361-2024</t>
        </is>
      </c>
      <c r="B4085" s="1" t="n">
        <v>45446</v>
      </c>
      <c r="C4085" s="1" t="n">
        <v>45627</v>
      </c>
      <c r="D4085" t="inlineStr">
        <is>
          <t>HALLANDS LÄN</t>
        </is>
      </c>
      <c r="E4085" t="inlineStr">
        <is>
          <t>HYLTE</t>
        </is>
      </c>
      <c r="G4085" t="n">
        <v>3.5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22181-2024</t>
        </is>
      </c>
      <c r="B4086" s="1" t="n">
        <v>45446</v>
      </c>
      <c r="C4086" s="1" t="n">
        <v>45627</v>
      </c>
      <c r="D4086" t="inlineStr">
        <is>
          <t>HALLANDS LÄN</t>
        </is>
      </c>
      <c r="E4086" t="inlineStr">
        <is>
          <t>LAHOLM</t>
        </is>
      </c>
      <c r="G4086" t="n">
        <v>0.8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22527-2024</t>
        </is>
      </c>
      <c r="B4087" s="1" t="n">
        <v>45447</v>
      </c>
      <c r="C4087" s="1" t="n">
        <v>45627</v>
      </c>
      <c r="D4087" t="inlineStr">
        <is>
          <t>HALLANDS LÄN</t>
        </is>
      </c>
      <c r="E4087" t="inlineStr">
        <is>
          <t>HALMSTAD</t>
        </is>
      </c>
      <c r="G4087" t="n">
        <v>1.1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22768-2024</t>
        </is>
      </c>
      <c r="B4088" s="1" t="n">
        <v>45448</v>
      </c>
      <c r="C4088" s="1" t="n">
        <v>45627</v>
      </c>
      <c r="D4088" t="inlineStr">
        <is>
          <t>HALLANDS LÄN</t>
        </is>
      </c>
      <c r="E4088" t="inlineStr">
        <is>
          <t>HALMSTAD</t>
        </is>
      </c>
      <c r="G4088" t="n">
        <v>1.9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22719-2024</t>
        </is>
      </c>
      <c r="B4089" s="1" t="n">
        <v>45448</v>
      </c>
      <c r="C4089" s="1" t="n">
        <v>45627</v>
      </c>
      <c r="D4089" t="inlineStr">
        <is>
          <t>HALLANDS LÄN</t>
        </is>
      </c>
      <c r="E4089" t="inlineStr">
        <is>
          <t>LAHOLM</t>
        </is>
      </c>
      <c r="G4089" t="n">
        <v>1.1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22761-2024</t>
        </is>
      </c>
      <c r="B4090" s="1" t="n">
        <v>45448</v>
      </c>
      <c r="C4090" s="1" t="n">
        <v>45627</v>
      </c>
      <c r="D4090" t="inlineStr">
        <is>
          <t>HALLANDS LÄN</t>
        </is>
      </c>
      <c r="E4090" t="inlineStr">
        <is>
          <t>HALMSTAD</t>
        </is>
      </c>
      <c r="G4090" t="n">
        <v>1.7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23160-2024</t>
        </is>
      </c>
      <c r="B4091" s="1" t="n">
        <v>45450</v>
      </c>
      <c r="C4091" s="1" t="n">
        <v>45627</v>
      </c>
      <c r="D4091" t="inlineStr">
        <is>
          <t>HALLANDS LÄN</t>
        </is>
      </c>
      <c r="E4091" t="inlineStr">
        <is>
          <t>LAHOLM</t>
        </is>
      </c>
      <c r="G4091" t="n">
        <v>2.8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23147-2024</t>
        </is>
      </c>
      <c r="B4092" s="1" t="n">
        <v>45450</v>
      </c>
      <c r="C4092" s="1" t="n">
        <v>45627</v>
      </c>
      <c r="D4092" t="inlineStr">
        <is>
          <t>HALLANDS LÄN</t>
        </is>
      </c>
      <c r="E4092" t="inlineStr">
        <is>
          <t>HALMSTAD</t>
        </is>
      </c>
      <c r="G4092" t="n">
        <v>2.2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23242-2024</t>
        </is>
      </c>
      <c r="B4093" s="1" t="n">
        <v>45453</v>
      </c>
      <c r="C4093" s="1" t="n">
        <v>45627</v>
      </c>
      <c r="D4093" t="inlineStr">
        <is>
          <t>HALLANDS LÄN</t>
        </is>
      </c>
      <c r="E4093" t="inlineStr">
        <is>
          <t>LAHOLM</t>
        </is>
      </c>
      <c r="F4093" t="inlineStr">
        <is>
          <t>Sveaskog</t>
        </is>
      </c>
      <c r="G4093" t="n">
        <v>0.8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23244-2024</t>
        </is>
      </c>
      <c r="B4094" s="1" t="n">
        <v>45453</v>
      </c>
      <c r="C4094" s="1" t="n">
        <v>45627</v>
      </c>
      <c r="D4094" t="inlineStr">
        <is>
          <t>HALLANDS LÄN</t>
        </is>
      </c>
      <c r="E4094" t="inlineStr">
        <is>
          <t>LAHOLM</t>
        </is>
      </c>
      <c r="F4094" t="inlineStr">
        <is>
          <t>Sveaskog</t>
        </is>
      </c>
      <c r="G4094" t="n">
        <v>14.1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23602-2024</t>
        </is>
      </c>
      <c r="B4095" s="1" t="n">
        <v>45454</v>
      </c>
      <c r="C4095" s="1" t="n">
        <v>45627</v>
      </c>
      <c r="D4095" t="inlineStr">
        <is>
          <t>HALLANDS LÄN</t>
        </is>
      </c>
      <c r="E4095" t="inlineStr">
        <is>
          <t>HYLTE</t>
        </is>
      </c>
      <c r="G4095" t="n">
        <v>2.1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23738-2024</t>
        </is>
      </c>
      <c r="B4096" s="1" t="n">
        <v>45454</v>
      </c>
      <c r="C4096" s="1" t="n">
        <v>45627</v>
      </c>
      <c r="D4096" t="inlineStr">
        <is>
          <t>HALLANDS LÄN</t>
        </is>
      </c>
      <c r="E4096" t="inlineStr">
        <is>
          <t>HYLTE</t>
        </is>
      </c>
      <c r="G4096" t="n">
        <v>7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23760-2024</t>
        </is>
      </c>
      <c r="B4097" s="1" t="n">
        <v>45455</v>
      </c>
      <c r="C4097" s="1" t="n">
        <v>45627</v>
      </c>
      <c r="D4097" t="inlineStr">
        <is>
          <t>HALLANDS LÄN</t>
        </is>
      </c>
      <c r="E4097" t="inlineStr">
        <is>
          <t>HALMSTAD</t>
        </is>
      </c>
      <c r="G4097" t="n">
        <v>1.4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23764-2024</t>
        </is>
      </c>
      <c r="B4098" s="1" t="n">
        <v>45455</v>
      </c>
      <c r="C4098" s="1" t="n">
        <v>45627</v>
      </c>
      <c r="D4098" t="inlineStr">
        <is>
          <t>HALLANDS LÄN</t>
        </is>
      </c>
      <c r="E4098" t="inlineStr">
        <is>
          <t>HALMSTAD</t>
        </is>
      </c>
      <c r="G4098" t="n">
        <v>0.8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23768-2024</t>
        </is>
      </c>
      <c r="B4099" s="1" t="n">
        <v>45455</v>
      </c>
      <c r="C4099" s="1" t="n">
        <v>45627</v>
      </c>
      <c r="D4099" t="inlineStr">
        <is>
          <t>HALLANDS LÄN</t>
        </is>
      </c>
      <c r="E4099" t="inlineStr">
        <is>
          <t>KUNGSBACKA</t>
        </is>
      </c>
      <c r="G4099" t="n">
        <v>1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23816-2024</t>
        </is>
      </c>
      <c r="B4100" s="1" t="n">
        <v>45455</v>
      </c>
      <c r="C4100" s="1" t="n">
        <v>45627</v>
      </c>
      <c r="D4100" t="inlineStr">
        <is>
          <t>HALLANDS LÄN</t>
        </is>
      </c>
      <c r="E4100" t="inlineStr">
        <is>
          <t>HALMSTAD</t>
        </is>
      </c>
      <c r="G4100" t="n">
        <v>1.5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23886-2024</t>
        </is>
      </c>
      <c r="B4101" s="1" t="n">
        <v>45455</v>
      </c>
      <c r="C4101" s="1" t="n">
        <v>45627</v>
      </c>
      <c r="D4101" t="inlineStr">
        <is>
          <t>HALLANDS LÄN</t>
        </is>
      </c>
      <c r="E4101" t="inlineStr">
        <is>
          <t>VARBERG</t>
        </is>
      </c>
      <c r="F4101" t="inlineStr">
        <is>
          <t>Kyrkan</t>
        </is>
      </c>
      <c r="G4101" t="n">
        <v>0.4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23833-2024</t>
        </is>
      </c>
      <c r="B4102" s="1" t="n">
        <v>45455</v>
      </c>
      <c r="C4102" s="1" t="n">
        <v>45627</v>
      </c>
      <c r="D4102" t="inlineStr">
        <is>
          <t>HALLANDS LÄN</t>
        </is>
      </c>
      <c r="E4102" t="inlineStr">
        <is>
          <t>HYLTE</t>
        </is>
      </c>
      <c r="G4102" t="n">
        <v>3.8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24035-2024</t>
        </is>
      </c>
      <c r="B4103" s="1" t="n">
        <v>45456</v>
      </c>
      <c r="C4103" s="1" t="n">
        <v>45627</v>
      </c>
      <c r="D4103" t="inlineStr">
        <is>
          <t>HALLANDS LÄN</t>
        </is>
      </c>
      <c r="E4103" t="inlineStr">
        <is>
          <t>HYLTE</t>
        </is>
      </c>
      <c r="G4103" t="n">
        <v>1.7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24072-2024</t>
        </is>
      </c>
      <c r="B4104" s="1" t="n">
        <v>45456</v>
      </c>
      <c r="C4104" s="1" t="n">
        <v>45627</v>
      </c>
      <c r="D4104" t="inlineStr">
        <is>
          <t>HALLANDS LÄN</t>
        </is>
      </c>
      <c r="E4104" t="inlineStr">
        <is>
          <t>HALMSTAD</t>
        </is>
      </c>
      <c r="G4104" t="n">
        <v>0.9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23985-2024</t>
        </is>
      </c>
      <c r="B4105" s="1" t="n">
        <v>45456</v>
      </c>
      <c r="C4105" s="1" t="n">
        <v>45627</v>
      </c>
      <c r="D4105" t="inlineStr">
        <is>
          <t>HALLANDS LÄN</t>
        </is>
      </c>
      <c r="E4105" t="inlineStr">
        <is>
          <t>FALKENBERG</t>
        </is>
      </c>
      <c r="G4105" t="n">
        <v>1.7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24048-2024</t>
        </is>
      </c>
      <c r="B4106" s="1" t="n">
        <v>45456</v>
      </c>
      <c r="C4106" s="1" t="n">
        <v>45627</v>
      </c>
      <c r="D4106" t="inlineStr">
        <is>
          <t>HALLANDS LÄN</t>
        </is>
      </c>
      <c r="E4106" t="inlineStr">
        <is>
          <t>HYLTE</t>
        </is>
      </c>
      <c r="G4106" t="n">
        <v>2.2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24052-2024</t>
        </is>
      </c>
      <c r="B4107" s="1" t="n">
        <v>45456</v>
      </c>
      <c r="C4107" s="1" t="n">
        <v>45627</v>
      </c>
      <c r="D4107" t="inlineStr">
        <is>
          <t>HALLANDS LÄN</t>
        </is>
      </c>
      <c r="E4107" t="inlineStr">
        <is>
          <t>LAHOLM</t>
        </is>
      </c>
      <c r="F4107" t="inlineStr">
        <is>
          <t>Sveaskog</t>
        </is>
      </c>
      <c r="G4107" t="n">
        <v>2.5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23986-2024</t>
        </is>
      </c>
      <c r="B4108" s="1" t="n">
        <v>45456</v>
      </c>
      <c r="C4108" s="1" t="n">
        <v>45627</v>
      </c>
      <c r="D4108" t="inlineStr">
        <is>
          <t>HALLANDS LÄN</t>
        </is>
      </c>
      <c r="E4108" t="inlineStr">
        <is>
          <t>HYLTE</t>
        </is>
      </c>
      <c r="G4108" t="n">
        <v>4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24045-2024</t>
        </is>
      </c>
      <c r="B4109" s="1" t="n">
        <v>45456</v>
      </c>
      <c r="C4109" s="1" t="n">
        <v>45627</v>
      </c>
      <c r="D4109" t="inlineStr">
        <is>
          <t>HALLANDS LÄN</t>
        </is>
      </c>
      <c r="E4109" t="inlineStr">
        <is>
          <t>HYLTE</t>
        </is>
      </c>
      <c r="G4109" t="n">
        <v>3.8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24053-2024</t>
        </is>
      </c>
      <c r="B4110" s="1" t="n">
        <v>45456</v>
      </c>
      <c r="C4110" s="1" t="n">
        <v>45627</v>
      </c>
      <c r="D4110" t="inlineStr">
        <is>
          <t>HALLANDS LÄN</t>
        </is>
      </c>
      <c r="E4110" t="inlineStr">
        <is>
          <t>LAHOLM</t>
        </is>
      </c>
      <c r="F4110" t="inlineStr">
        <is>
          <t>Sveaskog</t>
        </is>
      </c>
      <c r="G4110" t="n">
        <v>3.2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24122-2024</t>
        </is>
      </c>
      <c r="B4111" s="1" t="n">
        <v>45456</v>
      </c>
      <c r="C4111" s="1" t="n">
        <v>45627</v>
      </c>
      <c r="D4111" t="inlineStr">
        <is>
          <t>HALLANDS LÄN</t>
        </is>
      </c>
      <c r="E4111" t="inlineStr">
        <is>
          <t>FALKENBERG</t>
        </is>
      </c>
      <c r="G4111" t="n">
        <v>1.1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24149-2024</t>
        </is>
      </c>
      <c r="B4112" s="1" t="n">
        <v>45456</v>
      </c>
      <c r="C4112" s="1" t="n">
        <v>45627</v>
      </c>
      <c r="D4112" t="inlineStr">
        <is>
          <t>HALLANDS LÄN</t>
        </is>
      </c>
      <c r="E4112" t="inlineStr">
        <is>
          <t>HYLTE</t>
        </is>
      </c>
      <c r="G4112" t="n">
        <v>1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24050-2024</t>
        </is>
      </c>
      <c r="B4113" s="1" t="n">
        <v>45456</v>
      </c>
      <c r="C4113" s="1" t="n">
        <v>45627</v>
      </c>
      <c r="D4113" t="inlineStr">
        <is>
          <t>HALLANDS LÄN</t>
        </is>
      </c>
      <c r="E4113" t="inlineStr">
        <is>
          <t>LAHOLM</t>
        </is>
      </c>
      <c r="F4113" t="inlineStr">
        <is>
          <t>Sveaskog</t>
        </is>
      </c>
      <c r="G4113" t="n">
        <v>3.3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24174-2024</t>
        </is>
      </c>
      <c r="B4114" s="1" t="n">
        <v>45456</v>
      </c>
      <c r="C4114" s="1" t="n">
        <v>45627</v>
      </c>
      <c r="D4114" t="inlineStr">
        <is>
          <t>HALLANDS LÄN</t>
        </is>
      </c>
      <c r="E4114" t="inlineStr">
        <is>
          <t>KUNGSBACKA</t>
        </is>
      </c>
      <c r="G4114" t="n">
        <v>1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24227-2024</t>
        </is>
      </c>
      <c r="B4115" s="1" t="n">
        <v>45457</v>
      </c>
      <c r="C4115" s="1" t="n">
        <v>45627</v>
      </c>
      <c r="D4115" t="inlineStr">
        <is>
          <t>HALLANDS LÄN</t>
        </is>
      </c>
      <c r="E4115" t="inlineStr">
        <is>
          <t>VARBERG</t>
        </is>
      </c>
      <c r="F4115" t="inlineStr">
        <is>
          <t>Kyrkan</t>
        </is>
      </c>
      <c r="G4115" t="n">
        <v>3.8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24598-2024</t>
        </is>
      </c>
      <c r="B4116" s="1" t="n">
        <v>45460</v>
      </c>
      <c r="C4116" s="1" t="n">
        <v>45627</v>
      </c>
      <c r="D4116" t="inlineStr">
        <is>
          <t>HALLANDS LÄN</t>
        </is>
      </c>
      <c r="E4116" t="inlineStr">
        <is>
          <t>HYLTE</t>
        </is>
      </c>
      <c r="G4116" t="n">
        <v>5.4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24580-2024</t>
        </is>
      </c>
      <c r="B4117" s="1" t="n">
        <v>45460</v>
      </c>
      <c r="C4117" s="1" t="n">
        <v>45627</v>
      </c>
      <c r="D4117" t="inlineStr">
        <is>
          <t>HALLANDS LÄN</t>
        </is>
      </c>
      <c r="E4117" t="inlineStr">
        <is>
          <t>HYLTE</t>
        </is>
      </c>
      <c r="G4117" t="n">
        <v>1.4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24585-2024</t>
        </is>
      </c>
      <c r="B4118" s="1" t="n">
        <v>45460</v>
      </c>
      <c r="C4118" s="1" t="n">
        <v>45627</v>
      </c>
      <c r="D4118" t="inlineStr">
        <is>
          <t>HALLANDS LÄN</t>
        </is>
      </c>
      <c r="E4118" t="inlineStr">
        <is>
          <t>HYLTE</t>
        </is>
      </c>
      <c r="G4118" t="n">
        <v>1.4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24790-2024</t>
        </is>
      </c>
      <c r="B4119" s="1" t="n">
        <v>45460</v>
      </c>
      <c r="C4119" s="1" t="n">
        <v>45627</v>
      </c>
      <c r="D4119" t="inlineStr">
        <is>
          <t>HALLANDS LÄN</t>
        </is>
      </c>
      <c r="E4119" t="inlineStr">
        <is>
          <t>HYLTE</t>
        </is>
      </c>
      <c r="G4119" t="n">
        <v>4.3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24975-2024</t>
        </is>
      </c>
      <c r="B4120" s="1" t="n">
        <v>45461</v>
      </c>
      <c r="C4120" s="1" t="n">
        <v>45627</v>
      </c>
      <c r="D4120" t="inlineStr">
        <is>
          <t>HALLANDS LÄN</t>
        </is>
      </c>
      <c r="E4120" t="inlineStr">
        <is>
          <t>KUNGSBACKA</t>
        </is>
      </c>
      <c r="G4120" t="n">
        <v>1.5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24970-2024</t>
        </is>
      </c>
      <c r="B4121" s="1" t="n">
        <v>45461</v>
      </c>
      <c r="C4121" s="1" t="n">
        <v>45627</v>
      </c>
      <c r="D4121" t="inlineStr">
        <is>
          <t>HALLANDS LÄN</t>
        </is>
      </c>
      <c r="E4121" t="inlineStr">
        <is>
          <t>HYLTE</t>
        </is>
      </c>
      <c r="G4121" t="n">
        <v>8.699999999999999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24941-2024</t>
        </is>
      </c>
      <c r="B4122" s="1" t="n">
        <v>45461</v>
      </c>
      <c r="C4122" s="1" t="n">
        <v>45627</v>
      </c>
      <c r="D4122" t="inlineStr">
        <is>
          <t>HALLANDS LÄN</t>
        </is>
      </c>
      <c r="E4122" t="inlineStr">
        <is>
          <t>KUNGSBACKA</t>
        </is>
      </c>
      <c r="F4122" t="inlineStr">
        <is>
          <t>Kommuner</t>
        </is>
      </c>
      <c r="G4122" t="n">
        <v>0.6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24924-2024</t>
        </is>
      </c>
      <c r="B4123" s="1" t="n">
        <v>45461</v>
      </c>
      <c r="C4123" s="1" t="n">
        <v>45627</v>
      </c>
      <c r="D4123" t="inlineStr">
        <is>
          <t>HALLANDS LÄN</t>
        </is>
      </c>
      <c r="E4123" t="inlineStr">
        <is>
          <t>KUNGSBACKA</t>
        </is>
      </c>
      <c r="F4123" t="inlineStr">
        <is>
          <t>Kommuner</t>
        </is>
      </c>
      <c r="G4123" t="n">
        <v>8.4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24964-2024</t>
        </is>
      </c>
      <c r="B4124" s="1" t="n">
        <v>45461</v>
      </c>
      <c r="C4124" s="1" t="n">
        <v>45627</v>
      </c>
      <c r="D4124" t="inlineStr">
        <is>
          <t>HALLANDS LÄN</t>
        </is>
      </c>
      <c r="E4124" t="inlineStr">
        <is>
          <t>KUNGSBACKA</t>
        </is>
      </c>
      <c r="F4124" t="inlineStr">
        <is>
          <t>Kommuner</t>
        </is>
      </c>
      <c r="G4124" t="n">
        <v>3.2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25067-2024</t>
        </is>
      </c>
      <c r="B4125" s="1" t="n">
        <v>45462</v>
      </c>
      <c r="C4125" s="1" t="n">
        <v>45627</v>
      </c>
      <c r="D4125" t="inlineStr">
        <is>
          <t>HALLANDS LÄN</t>
        </is>
      </c>
      <c r="E4125" t="inlineStr">
        <is>
          <t>HYLTE</t>
        </is>
      </c>
      <c r="G4125" t="n">
        <v>1.9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25063-2024</t>
        </is>
      </c>
      <c r="B4126" s="1" t="n">
        <v>45462</v>
      </c>
      <c r="C4126" s="1" t="n">
        <v>45627</v>
      </c>
      <c r="D4126" t="inlineStr">
        <is>
          <t>HALLANDS LÄN</t>
        </is>
      </c>
      <c r="E4126" t="inlineStr">
        <is>
          <t>HYLTE</t>
        </is>
      </c>
      <c r="G4126" t="n">
        <v>0.6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25064-2024</t>
        </is>
      </c>
      <c r="B4127" s="1" t="n">
        <v>45462</v>
      </c>
      <c r="C4127" s="1" t="n">
        <v>45627</v>
      </c>
      <c r="D4127" t="inlineStr">
        <is>
          <t>HALLANDS LÄN</t>
        </is>
      </c>
      <c r="E4127" t="inlineStr">
        <is>
          <t>HYLTE</t>
        </is>
      </c>
      <c r="G4127" t="n">
        <v>0.4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25214-2024</t>
        </is>
      </c>
      <c r="B4128" s="1" t="n">
        <v>45462</v>
      </c>
      <c r="C4128" s="1" t="n">
        <v>45627</v>
      </c>
      <c r="D4128" t="inlineStr">
        <is>
          <t>HALLANDS LÄN</t>
        </is>
      </c>
      <c r="E4128" t="inlineStr">
        <is>
          <t>FALKENBERG</t>
        </is>
      </c>
      <c r="G4128" t="n">
        <v>0.8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25053-2024</t>
        </is>
      </c>
      <c r="B4129" s="1" t="n">
        <v>45462</v>
      </c>
      <c r="C4129" s="1" t="n">
        <v>45627</v>
      </c>
      <c r="D4129" t="inlineStr">
        <is>
          <t>HALLANDS LÄN</t>
        </is>
      </c>
      <c r="E4129" t="inlineStr">
        <is>
          <t>KUNGSBACKA</t>
        </is>
      </c>
      <c r="G4129" t="n">
        <v>8.699999999999999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25066-2024</t>
        </is>
      </c>
      <c r="B4130" s="1" t="n">
        <v>45462</v>
      </c>
      <c r="C4130" s="1" t="n">
        <v>45627</v>
      </c>
      <c r="D4130" t="inlineStr">
        <is>
          <t>HALLANDS LÄN</t>
        </is>
      </c>
      <c r="E4130" t="inlineStr">
        <is>
          <t>HYLTE</t>
        </is>
      </c>
      <c r="G4130" t="n">
        <v>0.7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25602-2024</t>
        </is>
      </c>
      <c r="B4131" s="1" t="n">
        <v>45463</v>
      </c>
      <c r="C4131" s="1" t="n">
        <v>45627</v>
      </c>
      <c r="D4131" t="inlineStr">
        <is>
          <t>HALLANDS LÄN</t>
        </is>
      </c>
      <c r="E4131" t="inlineStr">
        <is>
          <t>KUNGSBACKA</t>
        </is>
      </c>
      <c r="G4131" t="n">
        <v>1.2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25407-2024</t>
        </is>
      </c>
      <c r="B4132" s="1" t="n">
        <v>45463</v>
      </c>
      <c r="C4132" s="1" t="n">
        <v>45627</v>
      </c>
      <c r="D4132" t="inlineStr">
        <is>
          <t>HALLANDS LÄN</t>
        </is>
      </c>
      <c r="E4132" t="inlineStr">
        <is>
          <t>LAHOLM</t>
        </is>
      </c>
      <c r="G4132" t="n">
        <v>2.5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25401-2024</t>
        </is>
      </c>
      <c r="B4133" s="1" t="n">
        <v>45463</v>
      </c>
      <c r="C4133" s="1" t="n">
        <v>45627</v>
      </c>
      <c r="D4133" t="inlineStr">
        <is>
          <t>HALLANDS LÄN</t>
        </is>
      </c>
      <c r="E4133" t="inlineStr">
        <is>
          <t>HYLTE</t>
        </is>
      </c>
      <c r="G4133" t="n">
        <v>3.5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25852-2024</t>
        </is>
      </c>
      <c r="B4134" s="1" t="n">
        <v>45467</v>
      </c>
      <c r="C4134" s="1" t="n">
        <v>45627</v>
      </c>
      <c r="D4134" t="inlineStr">
        <is>
          <t>HALLANDS LÄN</t>
        </is>
      </c>
      <c r="E4134" t="inlineStr">
        <is>
          <t>FALKENBERG</t>
        </is>
      </c>
      <c r="G4134" t="n">
        <v>1.1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25972-2024</t>
        </is>
      </c>
      <c r="B4135" s="1" t="n">
        <v>45467</v>
      </c>
      <c r="C4135" s="1" t="n">
        <v>45627</v>
      </c>
      <c r="D4135" t="inlineStr">
        <is>
          <t>HALLANDS LÄN</t>
        </is>
      </c>
      <c r="E4135" t="inlineStr">
        <is>
          <t>FALKENBERG</t>
        </is>
      </c>
      <c r="G4135" t="n">
        <v>0.8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26095-2024</t>
        </is>
      </c>
      <c r="B4136" s="1" t="n">
        <v>45468</v>
      </c>
      <c r="C4136" s="1" t="n">
        <v>45627</v>
      </c>
      <c r="D4136" t="inlineStr">
        <is>
          <t>HALLANDS LÄN</t>
        </is>
      </c>
      <c r="E4136" t="inlineStr">
        <is>
          <t>VARBERG</t>
        </is>
      </c>
      <c r="G4136" t="n">
        <v>1.8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26420-2024</t>
        </is>
      </c>
      <c r="B4137" s="1" t="n">
        <v>45469</v>
      </c>
      <c r="C4137" s="1" t="n">
        <v>45627</v>
      </c>
      <c r="D4137" t="inlineStr">
        <is>
          <t>HALLANDS LÄN</t>
        </is>
      </c>
      <c r="E4137" t="inlineStr">
        <is>
          <t>LAHOLM</t>
        </is>
      </c>
      <c r="G4137" t="n">
        <v>1.2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26481-2024</t>
        </is>
      </c>
      <c r="B4138" s="1" t="n">
        <v>45469</v>
      </c>
      <c r="C4138" s="1" t="n">
        <v>45627</v>
      </c>
      <c r="D4138" t="inlineStr">
        <is>
          <t>HALLANDS LÄN</t>
        </is>
      </c>
      <c r="E4138" t="inlineStr">
        <is>
          <t>VARBERG</t>
        </is>
      </c>
      <c r="G4138" t="n">
        <v>2.2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26496-2024</t>
        </is>
      </c>
      <c r="B4139" s="1" t="n">
        <v>45469</v>
      </c>
      <c r="C4139" s="1" t="n">
        <v>45627</v>
      </c>
      <c r="D4139" t="inlineStr">
        <is>
          <t>HALLANDS LÄN</t>
        </is>
      </c>
      <c r="E4139" t="inlineStr">
        <is>
          <t>VARBERG</t>
        </is>
      </c>
      <c r="G4139" t="n">
        <v>0.4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26423-2024</t>
        </is>
      </c>
      <c r="B4140" s="1" t="n">
        <v>45469</v>
      </c>
      <c r="C4140" s="1" t="n">
        <v>45627</v>
      </c>
      <c r="D4140" t="inlineStr">
        <is>
          <t>HALLANDS LÄN</t>
        </is>
      </c>
      <c r="E4140" t="inlineStr">
        <is>
          <t>LAHOLM</t>
        </is>
      </c>
      <c r="G4140" t="n">
        <v>1.4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26772-2024</t>
        </is>
      </c>
      <c r="B4141" s="1" t="n">
        <v>45470</v>
      </c>
      <c r="C4141" s="1" t="n">
        <v>45627</v>
      </c>
      <c r="D4141" t="inlineStr">
        <is>
          <t>HALLANDS LÄN</t>
        </is>
      </c>
      <c r="E4141" t="inlineStr">
        <is>
          <t>KUNGSBACKA</t>
        </is>
      </c>
      <c r="G4141" t="n">
        <v>2.9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27020-2024</t>
        </is>
      </c>
      <c r="B4142" s="1" t="n">
        <v>45471</v>
      </c>
      <c r="C4142" s="1" t="n">
        <v>45627</v>
      </c>
      <c r="D4142" t="inlineStr">
        <is>
          <t>HALLANDS LÄN</t>
        </is>
      </c>
      <c r="E4142" t="inlineStr">
        <is>
          <t>VARBERG</t>
        </is>
      </c>
      <c r="G4142" t="n">
        <v>4.3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27432-2024</t>
        </is>
      </c>
      <c r="B4143" s="1" t="n">
        <v>45474</v>
      </c>
      <c r="C4143" s="1" t="n">
        <v>45627</v>
      </c>
      <c r="D4143" t="inlineStr">
        <is>
          <t>HALLANDS LÄN</t>
        </is>
      </c>
      <c r="E4143" t="inlineStr">
        <is>
          <t>FALKENBERG</t>
        </is>
      </c>
      <c r="G4143" t="n">
        <v>1.5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27436-2024</t>
        </is>
      </c>
      <c r="B4144" s="1" t="n">
        <v>45474</v>
      </c>
      <c r="C4144" s="1" t="n">
        <v>45627</v>
      </c>
      <c r="D4144" t="inlineStr">
        <is>
          <t>HALLANDS LÄN</t>
        </is>
      </c>
      <c r="E4144" t="inlineStr">
        <is>
          <t>FALKENBERG</t>
        </is>
      </c>
      <c r="G4144" t="n">
        <v>0.5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27607-2024</t>
        </is>
      </c>
      <c r="B4145" s="1" t="n">
        <v>45474</v>
      </c>
      <c r="C4145" s="1" t="n">
        <v>45627</v>
      </c>
      <c r="D4145" t="inlineStr">
        <is>
          <t>HALLANDS LÄN</t>
        </is>
      </c>
      <c r="E4145" t="inlineStr">
        <is>
          <t>LAHOLM</t>
        </is>
      </c>
      <c r="G4145" t="n">
        <v>1.3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27437-2024</t>
        </is>
      </c>
      <c r="B4146" s="1" t="n">
        <v>45474</v>
      </c>
      <c r="C4146" s="1" t="n">
        <v>45627</v>
      </c>
      <c r="D4146" t="inlineStr">
        <is>
          <t>HALLANDS LÄN</t>
        </is>
      </c>
      <c r="E4146" t="inlineStr">
        <is>
          <t>VARBERG</t>
        </is>
      </c>
      <c r="G4146" t="n">
        <v>3.1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27855-2024</t>
        </is>
      </c>
      <c r="B4147" s="1" t="n">
        <v>45475</v>
      </c>
      <c r="C4147" s="1" t="n">
        <v>45627</v>
      </c>
      <c r="D4147" t="inlineStr">
        <is>
          <t>HALLANDS LÄN</t>
        </is>
      </c>
      <c r="E4147" t="inlineStr">
        <is>
          <t>KUNGSBACKA</t>
        </is>
      </c>
      <c r="G4147" t="n">
        <v>1.2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27859-2024</t>
        </is>
      </c>
      <c r="B4148" s="1" t="n">
        <v>45475</v>
      </c>
      <c r="C4148" s="1" t="n">
        <v>45627</v>
      </c>
      <c r="D4148" t="inlineStr">
        <is>
          <t>HALLANDS LÄN</t>
        </is>
      </c>
      <c r="E4148" t="inlineStr">
        <is>
          <t>VARBERG</t>
        </is>
      </c>
      <c r="G4148" t="n">
        <v>3.7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28006-2024</t>
        </is>
      </c>
      <c r="B4149" s="1" t="n">
        <v>45476</v>
      </c>
      <c r="C4149" s="1" t="n">
        <v>45627</v>
      </c>
      <c r="D4149" t="inlineStr">
        <is>
          <t>HALLANDS LÄN</t>
        </is>
      </c>
      <c r="E4149" t="inlineStr">
        <is>
          <t>HYLTE</t>
        </is>
      </c>
      <c r="F4149" t="inlineStr">
        <is>
          <t>Bergvik skog väst AB</t>
        </is>
      </c>
      <c r="G4149" t="n">
        <v>6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28092-2024</t>
        </is>
      </c>
      <c r="B4150" s="1" t="n">
        <v>45476</v>
      </c>
      <c r="C4150" s="1" t="n">
        <v>45627</v>
      </c>
      <c r="D4150" t="inlineStr">
        <is>
          <t>HALLANDS LÄN</t>
        </is>
      </c>
      <c r="E4150" t="inlineStr">
        <is>
          <t>VARBERG</t>
        </is>
      </c>
      <c r="G4150" t="n">
        <v>1.6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28016-2024</t>
        </is>
      </c>
      <c r="B4151" s="1" t="n">
        <v>45476</v>
      </c>
      <c r="C4151" s="1" t="n">
        <v>45627</v>
      </c>
      <c r="D4151" t="inlineStr">
        <is>
          <t>HALLANDS LÄN</t>
        </is>
      </c>
      <c r="E4151" t="inlineStr">
        <is>
          <t>HYLTE</t>
        </is>
      </c>
      <c r="F4151" t="inlineStr">
        <is>
          <t>Bergvik skog väst AB</t>
        </is>
      </c>
      <c r="G4151" t="n">
        <v>4.8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28031-2024</t>
        </is>
      </c>
      <c r="B4152" s="1" t="n">
        <v>45476</v>
      </c>
      <c r="C4152" s="1" t="n">
        <v>45627</v>
      </c>
      <c r="D4152" t="inlineStr">
        <is>
          <t>HALLANDS LÄN</t>
        </is>
      </c>
      <c r="E4152" t="inlineStr">
        <is>
          <t>HALMSTAD</t>
        </is>
      </c>
      <c r="G4152" t="n">
        <v>1.6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28029-2024</t>
        </is>
      </c>
      <c r="B4153" s="1" t="n">
        <v>45476</v>
      </c>
      <c r="C4153" s="1" t="n">
        <v>45627</v>
      </c>
      <c r="D4153" t="inlineStr">
        <is>
          <t>HALLANDS LÄN</t>
        </is>
      </c>
      <c r="E4153" t="inlineStr">
        <is>
          <t>HALMSTAD</t>
        </is>
      </c>
      <c r="G4153" t="n">
        <v>1.2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28009-2024</t>
        </is>
      </c>
      <c r="B4154" s="1" t="n">
        <v>45476</v>
      </c>
      <c r="C4154" s="1" t="n">
        <v>45627</v>
      </c>
      <c r="D4154" t="inlineStr">
        <is>
          <t>HALLANDS LÄN</t>
        </is>
      </c>
      <c r="E4154" t="inlineStr">
        <is>
          <t>HYLTE</t>
        </is>
      </c>
      <c r="F4154" t="inlineStr">
        <is>
          <t>Bergvik skog väst AB</t>
        </is>
      </c>
      <c r="G4154" t="n">
        <v>2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28489-2024</t>
        </is>
      </c>
      <c r="B4155" s="1" t="n">
        <v>45477</v>
      </c>
      <c r="C4155" s="1" t="n">
        <v>45627</v>
      </c>
      <c r="D4155" t="inlineStr">
        <is>
          <t>HALLANDS LÄN</t>
        </is>
      </c>
      <c r="E4155" t="inlineStr">
        <is>
          <t>VARBERG</t>
        </is>
      </c>
      <c r="G4155" t="n">
        <v>1.6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28491-2024</t>
        </is>
      </c>
      <c r="B4156" s="1" t="n">
        <v>45477</v>
      </c>
      <c r="C4156" s="1" t="n">
        <v>45627</v>
      </c>
      <c r="D4156" t="inlineStr">
        <is>
          <t>HALLANDS LÄN</t>
        </is>
      </c>
      <c r="E4156" t="inlineStr">
        <is>
          <t>HYLTE</t>
        </is>
      </c>
      <c r="G4156" t="n">
        <v>2.7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28350-2024</t>
        </is>
      </c>
      <c r="B4157" s="1" t="n">
        <v>45477</v>
      </c>
      <c r="C4157" s="1" t="n">
        <v>45627</v>
      </c>
      <c r="D4157" t="inlineStr">
        <is>
          <t>HALLANDS LÄN</t>
        </is>
      </c>
      <c r="E4157" t="inlineStr">
        <is>
          <t>VARBERG</t>
        </is>
      </c>
      <c r="G4157" t="n">
        <v>2.9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28583-2024</t>
        </is>
      </c>
      <c r="B4158" s="1" t="n">
        <v>45478</v>
      </c>
      <c r="C4158" s="1" t="n">
        <v>45627</v>
      </c>
      <c r="D4158" t="inlineStr">
        <is>
          <t>HALLANDS LÄN</t>
        </is>
      </c>
      <c r="E4158" t="inlineStr">
        <is>
          <t>KUNGSBACKA</t>
        </is>
      </c>
      <c r="G4158" t="n">
        <v>5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28541-2024</t>
        </is>
      </c>
      <c r="B4159" s="1" t="n">
        <v>45478</v>
      </c>
      <c r="C4159" s="1" t="n">
        <v>45627</v>
      </c>
      <c r="D4159" t="inlineStr">
        <is>
          <t>HALLANDS LÄN</t>
        </is>
      </c>
      <c r="E4159" t="inlineStr">
        <is>
          <t>HYLTE</t>
        </is>
      </c>
      <c r="G4159" t="n">
        <v>1.6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28574-2024</t>
        </is>
      </c>
      <c r="B4160" s="1" t="n">
        <v>45478</v>
      </c>
      <c r="C4160" s="1" t="n">
        <v>45627</v>
      </c>
      <c r="D4160" t="inlineStr">
        <is>
          <t>HALLANDS LÄN</t>
        </is>
      </c>
      <c r="E4160" t="inlineStr">
        <is>
          <t>KUNGSBACKA</t>
        </is>
      </c>
      <c r="G4160" t="n">
        <v>5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28761-2024</t>
        </is>
      </c>
      <c r="B4161" s="1" t="n">
        <v>45478</v>
      </c>
      <c r="C4161" s="1" t="n">
        <v>45627</v>
      </c>
      <c r="D4161" t="inlineStr">
        <is>
          <t>HALLANDS LÄN</t>
        </is>
      </c>
      <c r="E4161" t="inlineStr">
        <is>
          <t>FALKENBERG</t>
        </is>
      </c>
      <c r="G4161" t="n">
        <v>1.3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28946-2024</t>
        </is>
      </c>
      <c r="B4162" s="1" t="n">
        <v>45481</v>
      </c>
      <c r="C4162" s="1" t="n">
        <v>45627</v>
      </c>
      <c r="D4162" t="inlineStr">
        <is>
          <t>HALLANDS LÄN</t>
        </is>
      </c>
      <c r="E4162" t="inlineStr">
        <is>
          <t>FALKENBERG</t>
        </is>
      </c>
      <c r="G4162" t="n">
        <v>0.7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29048-2024</t>
        </is>
      </c>
      <c r="B4163" s="1" t="n">
        <v>45481</v>
      </c>
      <c r="C4163" s="1" t="n">
        <v>45627</v>
      </c>
      <c r="D4163" t="inlineStr">
        <is>
          <t>HALLANDS LÄN</t>
        </is>
      </c>
      <c r="E4163" t="inlineStr">
        <is>
          <t>HYLTE</t>
        </is>
      </c>
      <c r="G4163" t="n">
        <v>2.4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29138-2024</t>
        </is>
      </c>
      <c r="B4164" s="1" t="n">
        <v>45482</v>
      </c>
      <c r="C4164" s="1" t="n">
        <v>45627</v>
      </c>
      <c r="D4164" t="inlineStr">
        <is>
          <t>HALLANDS LÄN</t>
        </is>
      </c>
      <c r="E4164" t="inlineStr">
        <is>
          <t>HALMSTAD</t>
        </is>
      </c>
      <c r="G4164" t="n">
        <v>1.3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29142-2024</t>
        </is>
      </c>
      <c r="B4165" s="1" t="n">
        <v>45482</v>
      </c>
      <c r="C4165" s="1" t="n">
        <v>45627</v>
      </c>
      <c r="D4165" t="inlineStr">
        <is>
          <t>HALLANDS LÄN</t>
        </is>
      </c>
      <c r="E4165" t="inlineStr">
        <is>
          <t>FALKENBERG</t>
        </is>
      </c>
      <c r="G4165" t="n">
        <v>3.9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29188-2024</t>
        </is>
      </c>
      <c r="B4166" s="1" t="n">
        <v>45482</v>
      </c>
      <c r="C4166" s="1" t="n">
        <v>45627</v>
      </c>
      <c r="D4166" t="inlineStr">
        <is>
          <t>HALLANDS LÄN</t>
        </is>
      </c>
      <c r="E4166" t="inlineStr">
        <is>
          <t>HALMSTAD</t>
        </is>
      </c>
      <c r="G4166" t="n">
        <v>4.2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29147-2024</t>
        </is>
      </c>
      <c r="B4167" s="1" t="n">
        <v>45482</v>
      </c>
      <c r="C4167" s="1" t="n">
        <v>45627</v>
      </c>
      <c r="D4167" t="inlineStr">
        <is>
          <t>HALLANDS LÄN</t>
        </is>
      </c>
      <c r="E4167" t="inlineStr">
        <is>
          <t>HYLTE</t>
        </is>
      </c>
      <c r="G4167" t="n">
        <v>4.6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29141-2024</t>
        </is>
      </c>
      <c r="B4168" s="1" t="n">
        <v>45482</v>
      </c>
      <c r="C4168" s="1" t="n">
        <v>45627</v>
      </c>
      <c r="D4168" t="inlineStr">
        <is>
          <t>HALLANDS LÄN</t>
        </is>
      </c>
      <c r="E4168" t="inlineStr">
        <is>
          <t>HALMSTAD</t>
        </is>
      </c>
      <c r="G4168" t="n">
        <v>6.2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29319-2024</t>
        </is>
      </c>
      <c r="B4169" s="1" t="n">
        <v>45483</v>
      </c>
      <c r="C4169" s="1" t="n">
        <v>45627</v>
      </c>
      <c r="D4169" t="inlineStr">
        <is>
          <t>HALLANDS LÄN</t>
        </is>
      </c>
      <c r="E4169" t="inlineStr">
        <is>
          <t>VARBERG</t>
        </is>
      </c>
      <c r="G4169" t="n">
        <v>2.8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29361-2024</t>
        </is>
      </c>
      <c r="B4170" s="1" t="n">
        <v>45483</v>
      </c>
      <c r="C4170" s="1" t="n">
        <v>45627</v>
      </c>
      <c r="D4170" t="inlineStr">
        <is>
          <t>HALLANDS LÄN</t>
        </is>
      </c>
      <c r="E4170" t="inlineStr">
        <is>
          <t>LAHOLM</t>
        </is>
      </c>
      <c r="G4170" t="n">
        <v>6.8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29437-2024</t>
        </is>
      </c>
      <c r="B4171" s="1" t="n">
        <v>45483</v>
      </c>
      <c r="C4171" s="1" t="n">
        <v>45627</v>
      </c>
      <c r="D4171" t="inlineStr">
        <is>
          <t>HALLANDS LÄN</t>
        </is>
      </c>
      <c r="E4171" t="inlineStr">
        <is>
          <t>HYLTE</t>
        </is>
      </c>
      <c r="G4171" t="n">
        <v>2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29434-2024</t>
        </is>
      </c>
      <c r="B4172" s="1" t="n">
        <v>45483</v>
      </c>
      <c r="C4172" s="1" t="n">
        <v>45627</v>
      </c>
      <c r="D4172" t="inlineStr">
        <is>
          <t>HALLANDS LÄN</t>
        </is>
      </c>
      <c r="E4172" t="inlineStr">
        <is>
          <t>HYLTE</t>
        </is>
      </c>
      <c r="G4172" t="n">
        <v>3.4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29488-2024</t>
        </is>
      </c>
      <c r="B4173" s="1" t="n">
        <v>45483</v>
      </c>
      <c r="C4173" s="1" t="n">
        <v>45627</v>
      </c>
      <c r="D4173" t="inlineStr">
        <is>
          <t>HALLANDS LÄN</t>
        </is>
      </c>
      <c r="E4173" t="inlineStr">
        <is>
          <t>HYLTE</t>
        </is>
      </c>
      <c r="G4173" t="n">
        <v>0.8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29479-2024</t>
        </is>
      </c>
      <c r="B4174" s="1" t="n">
        <v>45483</v>
      </c>
      <c r="C4174" s="1" t="n">
        <v>45627</v>
      </c>
      <c r="D4174" t="inlineStr">
        <is>
          <t>HALLANDS LÄN</t>
        </is>
      </c>
      <c r="E4174" t="inlineStr">
        <is>
          <t>HYLTE</t>
        </is>
      </c>
      <c r="G4174" t="n">
        <v>0.7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29489-2024</t>
        </is>
      </c>
      <c r="B4175" s="1" t="n">
        <v>45483</v>
      </c>
      <c r="C4175" s="1" t="n">
        <v>45627</v>
      </c>
      <c r="D4175" t="inlineStr">
        <is>
          <t>HALLANDS LÄN</t>
        </is>
      </c>
      <c r="E4175" t="inlineStr">
        <is>
          <t>HYLTE</t>
        </is>
      </c>
      <c r="G4175" t="n">
        <v>0.9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29563-2024</t>
        </is>
      </c>
      <c r="B4176" s="1" t="n">
        <v>45484</v>
      </c>
      <c r="C4176" s="1" t="n">
        <v>45627</v>
      </c>
      <c r="D4176" t="inlineStr">
        <is>
          <t>HALLANDS LÄN</t>
        </is>
      </c>
      <c r="E4176" t="inlineStr">
        <is>
          <t>FALKENBERG</t>
        </is>
      </c>
      <c r="G4176" t="n">
        <v>1.3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30082-2024</t>
        </is>
      </c>
      <c r="B4177" s="1" t="n">
        <v>45485</v>
      </c>
      <c r="C4177" s="1" t="n">
        <v>45627</v>
      </c>
      <c r="D4177" t="inlineStr">
        <is>
          <t>HALLANDS LÄN</t>
        </is>
      </c>
      <c r="E4177" t="inlineStr">
        <is>
          <t>HYLTE</t>
        </is>
      </c>
      <c r="G4177" t="n">
        <v>2.2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29818-2024</t>
        </is>
      </c>
      <c r="B4178" s="1" t="n">
        <v>45485</v>
      </c>
      <c r="C4178" s="1" t="n">
        <v>45627</v>
      </c>
      <c r="D4178" t="inlineStr">
        <is>
          <t>HALLANDS LÄN</t>
        </is>
      </c>
      <c r="E4178" t="inlineStr">
        <is>
          <t>HALMSTAD</t>
        </is>
      </c>
      <c r="G4178" t="n">
        <v>1.4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29704-2024</t>
        </is>
      </c>
      <c r="B4179" s="1" t="n">
        <v>45485</v>
      </c>
      <c r="C4179" s="1" t="n">
        <v>45627</v>
      </c>
      <c r="D4179" t="inlineStr">
        <is>
          <t>HALLANDS LÄN</t>
        </is>
      </c>
      <c r="E4179" t="inlineStr">
        <is>
          <t>LAHOLM</t>
        </is>
      </c>
      <c r="G4179" t="n">
        <v>0.5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29837-2024</t>
        </is>
      </c>
      <c r="B4180" s="1" t="n">
        <v>45485</v>
      </c>
      <c r="C4180" s="1" t="n">
        <v>45627</v>
      </c>
      <c r="D4180" t="inlineStr">
        <is>
          <t>HALLANDS LÄN</t>
        </is>
      </c>
      <c r="E4180" t="inlineStr">
        <is>
          <t>LAHOLM</t>
        </is>
      </c>
      <c r="G4180" t="n">
        <v>7.1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30031-2024</t>
        </is>
      </c>
      <c r="B4181" s="1" t="n">
        <v>45485</v>
      </c>
      <c r="C4181" s="1" t="n">
        <v>45627</v>
      </c>
      <c r="D4181" t="inlineStr">
        <is>
          <t>HALLANDS LÄN</t>
        </is>
      </c>
      <c r="E4181" t="inlineStr">
        <is>
          <t>HYLTE</t>
        </is>
      </c>
      <c r="G4181" t="n">
        <v>2.7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29890-2024</t>
        </is>
      </c>
      <c r="B4182" s="1" t="n">
        <v>45487</v>
      </c>
      <c r="C4182" s="1" t="n">
        <v>45627</v>
      </c>
      <c r="D4182" t="inlineStr">
        <is>
          <t>HALLANDS LÄN</t>
        </is>
      </c>
      <c r="E4182" t="inlineStr">
        <is>
          <t>VARBERG</t>
        </is>
      </c>
      <c r="G4182" t="n">
        <v>2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29887-2024</t>
        </is>
      </c>
      <c r="B4183" s="1" t="n">
        <v>45487</v>
      </c>
      <c r="C4183" s="1" t="n">
        <v>45627</v>
      </c>
      <c r="D4183" t="inlineStr">
        <is>
          <t>HALLANDS LÄN</t>
        </is>
      </c>
      <c r="E4183" t="inlineStr">
        <is>
          <t>VARBERG</t>
        </is>
      </c>
      <c r="G4183" t="n">
        <v>2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29889-2024</t>
        </is>
      </c>
      <c r="B4184" s="1" t="n">
        <v>45487</v>
      </c>
      <c r="C4184" s="1" t="n">
        <v>45627</v>
      </c>
      <c r="D4184" t="inlineStr">
        <is>
          <t>HALLANDS LÄN</t>
        </is>
      </c>
      <c r="E4184" t="inlineStr">
        <is>
          <t>VARBERG</t>
        </is>
      </c>
      <c r="G4184" t="n">
        <v>2.8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29993-2024</t>
        </is>
      </c>
      <c r="B4185" s="1" t="n">
        <v>45488</v>
      </c>
      <c r="C4185" s="1" t="n">
        <v>45627</v>
      </c>
      <c r="D4185" t="inlineStr">
        <is>
          <t>HALLANDS LÄN</t>
        </is>
      </c>
      <c r="E4185" t="inlineStr">
        <is>
          <t>HALMSTAD</t>
        </is>
      </c>
      <c r="G4185" t="n">
        <v>1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29996-2024</t>
        </is>
      </c>
      <c r="B4186" s="1" t="n">
        <v>45488</v>
      </c>
      <c r="C4186" s="1" t="n">
        <v>45627</v>
      </c>
      <c r="D4186" t="inlineStr">
        <is>
          <t>HALLANDS LÄN</t>
        </is>
      </c>
      <c r="E4186" t="inlineStr">
        <is>
          <t>HALMSTAD</t>
        </is>
      </c>
      <c r="G4186" t="n">
        <v>1.2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29995-2024</t>
        </is>
      </c>
      <c r="B4187" s="1" t="n">
        <v>45488</v>
      </c>
      <c r="C4187" s="1" t="n">
        <v>45627</v>
      </c>
      <c r="D4187" t="inlineStr">
        <is>
          <t>HALLANDS LÄN</t>
        </is>
      </c>
      <c r="E4187" t="inlineStr">
        <is>
          <t>HALMSTAD</t>
        </is>
      </c>
      <c r="G4187" t="n">
        <v>0.9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30244-2024</t>
        </is>
      </c>
      <c r="B4188" s="1" t="n">
        <v>45490</v>
      </c>
      <c r="C4188" s="1" t="n">
        <v>45627</v>
      </c>
      <c r="D4188" t="inlineStr">
        <is>
          <t>HALLANDS LÄN</t>
        </is>
      </c>
      <c r="E4188" t="inlineStr">
        <is>
          <t>VARBERG</t>
        </is>
      </c>
      <c r="G4188" t="n">
        <v>6.1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30248-2024</t>
        </is>
      </c>
      <c r="B4189" s="1" t="n">
        <v>45490</v>
      </c>
      <c r="C4189" s="1" t="n">
        <v>45627</v>
      </c>
      <c r="D4189" t="inlineStr">
        <is>
          <t>HALLANDS LÄN</t>
        </is>
      </c>
      <c r="E4189" t="inlineStr">
        <is>
          <t>VARBERG</t>
        </is>
      </c>
      <c r="G4189" t="n">
        <v>2.7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30300-2024</t>
        </is>
      </c>
      <c r="B4190" s="1" t="n">
        <v>45490</v>
      </c>
      <c r="C4190" s="1" t="n">
        <v>45627</v>
      </c>
      <c r="D4190" t="inlineStr">
        <is>
          <t>HALLANDS LÄN</t>
        </is>
      </c>
      <c r="E4190" t="inlineStr">
        <is>
          <t>HALMSTAD</t>
        </is>
      </c>
      <c r="G4190" t="n">
        <v>2.1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30249-2024</t>
        </is>
      </c>
      <c r="B4191" s="1" t="n">
        <v>45490</v>
      </c>
      <c r="C4191" s="1" t="n">
        <v>45627</v>
      </c>
      <c r="D4191" t="inlineStr">
        <is>
          <t>HALLANDS LÄN</t>
        </is>
      </c>
      <c r="E4191" t="inlineStr">
        <is>
          <t>VARBERG</t>
        </is>
      </c>
      <c r="G4191" t="n">
        <v>2.7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30599-2024</t>
        </is>
      </c>
      <c r="B4192" s="1" t="n">
        <v>45493</v>
      </c>
      <c r="C4192" s="1" t="n">
        <v>45627</v>
      </c>
      <c r="D4192" t="inlineStr">
        <is>
          <t>HALLANDS LÄN</t>
        </is>
      </c>
      <c r="E4192" t="inlineStr">
        <is>
          <t>HALMSTAD</t>
        </is>
      </c>
      <c r="G4192" t="n">
        <v>3.7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31076-2024</t>
        </is>
      </c>
      <c r="B4193" s="1" t="n">
        <v>45502</v>
      </c>
      <c r="C4193" s="1" t="n">
        <v>45627</v>
      </c>
      <c r="D4193" t="inlineStr">
        <is>
          <t>HALLANDS LÄN</t>
        </is>
      </c>
      <c r="E4193" t="inlineStr">
        <is>
          <t>HYLTE</t>
        </is>
      </c>
      <c r="G4193" t="n">
        <v>5.3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31256-2024</t>
        </is>
      </c>
      <c r="B4194" s="1" t="n">
        <v>45503</v>
      </c>
      <c r="C4194" s="1" t="n">
        <v>45627</v>
      </c>
      <c r="D4194" t="inlineStr">
        <is>
          <t>HALLANDS LÄN</t>
        </is>
      </c>
      <c r="E4194" t="inlineStr">
        <is>
          <t>VARBERG</t>
        </is>
      </c>
      <c r="G4194" t="n">
        <v>1.5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31257-2024</t>
        </is>
      </c>
      <c r="B4195" s="1" t="n">
        <v>45503</v>
      </c>
      <c r="C4195" s="1" t="n">
        <v>45627</v>
      </c>
      <c r="D4195" t="inlineStr">
        <is>
          <t>HALLANDS LÄN</t>
        </is>
      </c>
      <c r="E4195" t="inlineStr">
        <is>
          <t>VARBERG</t>
        </is>
      </c>
      <c r="G4195" t="n">
        <v>1.3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31341-2024</t>
        </is>
      </c>
      <c r="B4196" s="1" t="n">
        <v>45504</v>
      </c>
      <c r="C4196" s="1" t="n">
        <v>45627</v>
      </c>
      <c r="D4196" t="inlineStr">
        <is>
          <t>HALLANDS LÄN</t>
        </is>
      </c>
      <c r="E4196" t="inlineStr">
        <is>
          <t>HYLTE</t>
        </is>
      </c>
      <c r="G4196" t="n">
        <v>1.4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31293-2024</t>
        </is>
      </c>
      <c r="B4197" s="1" t="n">
        <v>45504</v>
      </c>
      <c r="C4197" s="1" t="n">
        <v>45627</v>
      </c>
      <c r="D4197" t="inlineStr">
        <is>
          <t>HALLANDS LÄN</t>
        </is>
      </c>
      <c r="E4197" t="inlineStr">
        <is>
          <t>KUNGSBACKA</t>
        </is>
      </c>
      <c r="G4197" t="n">
        <v>0.5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31297-2024</t>
        </is>
      </c>
      <c r="B4198" s="1" t="n">
        <v>45504</v>
      </c>
      <c r="C4198" s="1" t="n">
        <v>45627</v>
      </c>
      <c r="D4198" t="inlineStr">
        <is>
          <t>HALLANDS LÄN</t>
        </is>
      </c>
      <c r="E4198" t="inlineStr">
        <is>
          <t>KUNGSBACKA</t>
        </is>
      </c>
      <c r="G4198" t="n">
        <v>4.2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31344-2024</t>
        </is>
      </c>
      <c r="B4199" s="1" t="n">
        <v>45504</v>
      </c>
      <c r="C4199" s="1" t="n">
        <v>45627</v>
      </c>
      <c r="D4199" t="inlineStr">
        <is>
          <t>HALLANDS LÄN</t>
        </is>
      </c>
      <c r="E4199" t="inlineStr">
        <is>
          <t>KUNGSBACKA</t>
        </is>
      </c>
      <c r="G4199" t="n">
        <v>2.3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31291-2024</t>
        </is>
      </c>
      <c r="B4200" s="1" t="n">
        <v>45504</v>
      </c>
      <c r="C4200" s="1" t="n">
        <v>45627</v>
      </c>
      <c r="D4200" t="inlineStr">
        <is>
          <t>HALLANDS LÄN</t>
        </is>
      </c>
      <c r="E4200" t="inlineStr">
        <is>
          <t>KUNGSBACKA</t>
        </is>
      </c>
      <c r="G4200" t="n">
        <v>0.9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31404-2024</t>
        </is>
      </c>
      <c r="B4201" s="1" t="n">
        <v>45505</v>
      </c>
      <c r="C4201" s="1" t="n">
        <v>45627</v>
      </c>
      <c r="D4201" t="inlineStr">
        <is>
          <t>HALLANDS LÄN</t>
        </is>
      </c>
      <c r="E4201" t="inlineStr">
        <is>
          <t>HYLTE</t>
        </is>
      </c>
      <c r="G4201" t="n">
        <v>0.6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31424-2024</t>
        </is>
      </c>
      <c r="B4202" s="1" t="n">
        <v>45505</v>
      </c>
      <c r="C4202" s="1" t="n">
        <v>45627</v>
      </c>
      <c r="D4202" t="inlineStr">
        <is>
          <t>HALLANDS LÄN</t>
        </is>
      </c>
      <c r="E4202" t="inlineStr">
        <is>
          <t>HYLTE</t>
        </is>
      </c>
      <c r="G4202" t="n">
        <v>1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31826-2024</t>
        </is>
      </c>
      <c r="B4203" s="1" t="n">
        <v>45509</v>
      </c>
      <c r="C4203" s="1" t="n">
        <v>45627</v>
      </c>
      <c r="D4203" t="inlineStr">
        <is>
          <t>HALLANDS LÄN</t>
        </is>
      </c>
      <c r="E4203" t="inlineStr">
        <is>
          <t>VARBERG</t>
        </is>
      </c>
      <c r="F4203" t="inlineStr">
        <is>
          <t>Kyrkan</t>
        </is>
      </c>
      <c r="G4203" t="n">
        <v>6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32030-2024</t>
        </is>
      </c>
      <c r="B4204" s="1" t="n">
        <v>45510</v>
      </c>
      <c r="C4204" s="1" t="n">
        <v>45627</v>
      </c>
      <c r="D4204" t="inlineStr">
        <is>
          <t>HALLANDS LÄN</t>
        </is>
      </c>
      <c r="E4204" t="inlineStr">
        <is>
          <t>KUNGSBACKA</t>
        </is>
      </c>
      <c r="F4204" t="inlineStr">
        <is>
          <t>Kyrkan</t>
        </is>
      </c>
      <c r="G4204" t="n">
        <v>3.1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31907-2024</t>
        </is>
      </c>
      <c r="B4205" s="1" t="n">
        <v>45510</v>
      </c>
      <c r="C4205" s="1" t="n">
        <v>45627</v>
      </c>
      <c r="D4205" t="inlineStr">
        <is>
          <t>HALLANDS LÄN</t>
        </is>
      </c>
      <c r="E4205" t="inlineStr">
        <is>
          <t>HYLTE</t>
        </is>
      </c>
      <c r="G4205" t="n">
        <v>3.1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31995-2024</t>
        </is>
      </c>
      <c r="B4206" s="1" t="n">
        <v>45510</v>
      </c>
      <c r="C4206" s="1" t="n">
        <v>45627</v>
      </c>
      <c r="D4206" t="inlineStr">
        <is>
          <t>HALLANDS LÄN</t>
        </is>
      </c>
      <c r="E4206" t="inlineStr">
        <is>
          <t>KUNGSBACKA</t>
        </is>
      </c>
      <c r="G4206" t="n">
        <v>0.6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31950-2024</t>
        </is>
      </c>
      <c r="B4207" s="1" t="n">
        <v>45510</v>
      </c>
      <c r="C4207" s="1" t="n">
        <v>45627</v>
      </c>
      <c r="D4207" t="inlineStr">
        <is>
          <t>HALLANDS LÄN</t>
        </is>
      </c>
      <c r="E4207" t="inlineStr">
        <is>
          <t>VARBERG</t>
        </is>
      </c>
      <c r="G4207" t="n">
        <v>0.5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32339-2024</t>
        </is>
      </c>
      <c r="B4208" s="1" t="n">
        <v>45512</v>
      </c>
      <c r="C4208" s="1" t="n">
        <v>45627</v>
      </c>
      <c r="D4208" t="inlineStr">
        <is>
          <t>HALLANDS LÄN</t>
        </is>
      </c>
      <c r="E4208" t="inlineStr">
        <is>
          <t>FALKENBERG</t>
        </is>
      </c>
      <c r="G4208" t="n">
        <v>1.1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32295-2024</t>
        </is>
      </c>
      <c r="B4209" s="1" t="n">
        <v>45512</v>
      </c>
      <c r="C4209" s="1" t="n">
        <v>45627</v>
      </c>
      <c r="D4209" t="inlineStr">
        <is>
          <t>HALLANDS LÄN</t>
        </is>
      </c>
      <c r="E4209" t="inlineStr">
        <is>
          <t>KUNGSBACKA</t>
        </is>
      </c>
      <c r="G4209" t="n">
        <v>0.9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32517-2024</t>
        </is>
      </c>
      <c r="B4210" s="1" t="n">
        <v>45513</v>
      </c>
      <c r="C4210" s="1" t="n">
        <v>45627</v>
      </c>
      <c r="D4210" t="inlineStr">
        <is>
          <t>HALLANDS LÄN</t>
        </is>
      </c>
      <c r="E4210" t="inlineStr">
        <is>
          <t>VARBERG</t>
        </is>
      </c>
      <c r="G4210" t="n">
        <v>1.3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32473-2024</t>
        </is>
      </c>
      <c r="B4211" s="1" t="n">
        <v>45513</v>
      </c>
      <c r="C4211" s="1" t="n">
        <v>45627</v>
      </c>
      <c r="D4211" t="inlineStr">
        <is>
          <t>HALLANDS LÄN</t>
        </is>
      </c>
      <c r="E4211" t="inlineStr">
        <is>
          <t>VARBERG</t>
        </is>
      </c>
      <c r="G4211" t="n">
        <v>3.1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32519-2024</t>
        </is>
      </c>
      <c r="B4212" s="1" t="n">
        <v>45513</v>
      </c>
      <c r="C4212" s="1" t="n">
        <v>45627</v>
      </c>
      <c r="D4212" t="inlineStr">
        <is>
          <t>HALLANDS LÄN</t>
        </is>
      </c>
      <c r="E4212" t="inlineStr">
        <is>
          <t>VARBERG</t>
        </is>
      </c>
      <c r="G4212" t="n">
        <v>1.8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32869-2024</t>
        </is>
      </c>
      <c r="B4213" s="1" t="n">
        <v>45516</v>
      </c>
      <c r="C4213" s="1" t="n">
        <v>45627</v>
      </c>
      <c r="D4213" t="inlineStr">
        <is>
          <t>HALLANDS LÄN</t>
        </is>
      </c>
      <c r="E4213" t="inlineStr">
        <is>
          <t>KUNGSBACKA</t>
        </is>
      </c>
      <c r="G4213" t="n">
        <v>6.8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32850-2024</t>
        </is>
      </c>
      <c r="B4214" s="1" t="n">
        <v>45516</v>
      </c>
      <c r="C4214" s="1" t="n">
        <v>45627</v>
      </c>
      <c r="D4214" t="inlineStr">
        <is>
          <t>HALLANDS LÄN</t>
        </is>
      </c>
      <c r="E4214" t="inlineStr">
        <is>
          <t>KUNGSBACKA</t>
        </is>
      </c>
      <c r="G4214" t="n">
        <v>7.4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32875-2024</t>
        </is>
      </c>
      <c r="B4215" s="1" t="n">
        <v>45516</v>
      </c>
      <c r="C4215" s="1" t="n">
        <v>45627</v>
      </c>
      <c r="D4215" t="inlineStr">
        <is>
          <t>HALLANDS LÄN</t>
        </is>
      </c>
      <c r="E4215" t="inlineStr">
        <is>
          <t>KUNGSBACKA</t>
        </is>
      </c>
      <c r="G4215" t="n">
        <v>5.3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32852-2024</t>
        </is>
      </c>
      <c r="B4216" s="1" t="n">
        <v>45516</v>
      </c>
      <c r="C4216" s="1" t="n">
        <v>45627</v>
      </c>
      <c r="D4216" t="inlineStr">
        <is>
          <t>HALLANDS LÄN</t>
        </is>
      </c>
      <c r="E4216" t="inlineStr">
        <is>
          <t>KUNGSBACKA</t>
        </is>
      </c>
      <c r="G4216" t="n">
        <v>2.6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32998-2024</t>
        </is>
      </c>
      <c r="B4217" s="1" t="n">
        <v>45517</v>
      </c>
      <c r="C4217" s="1" t="n">
        <v>45627</v>
      </c>
      <c r="D4217" t="inlineStr">
        <is>
          <t>HALLANDS LÄN</t>
        </is>
      </c>
      <c r="E4217" t="inlineStr">
        <is>
          <t>HYLTE</t>
        </is>
      </c>
      <c r="G4217" t="n">
        <v>0.9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32992-2024</t>
        </is>
      </c>
      <c r="B4218" s="1" t="n">
        <v>45517</v>
      </c>
      <c r="C4218" s="1" t="n">
        <v>45627</v>
      </c>
      <c r="D4218" t="inlineStr">
        <is>
          <t>HALLANDS LÄN</t>
        </is>
      </c>
      <c r="E4218" t="inlineStr">
        <is>
          <t>HYLTE</t>
        </is>
      </c>
      <c r="G4218" t="n">
        <v>2.6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33268-2024</t>
        </is>
      </c>
      <c r="B4219" s="1" t="n">
        <v>45518</v>
      </c>
      <c r="C4219" s="1" t="n">
        <v>45627</v>
      </c>
      <c r="D4219" t="inlineStr">
        <is>
          <t>HALLANDS LÄN</t>
        </is>
      </c>
      <c r="E4219" t="inlineStr">
        <is>
          <t>HYLTE</t>
        </is>
      </c>
      <c r="G4219" t="n">
        <v>5.2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33264-2024</t>
        </is>
      </c>
      <c r="B4220" s="1" t="n">
        <v>45518</v>
      </c>
      <c r="C4220" s="1" t="n">
        <v>45627</v>
      </c>
      <c r="D4220" t="inlineStr">
        <is>
          <t>HALLANDS LÄN</t>
        </is>
      </c>
      <c r="E4220" t="inlineStr">
        <is>
          <t>HYLTE</t>
        </is>
      </c>
      <c r="G4220" t="n">
        <v>3.1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33183-2024</t>
        </is>
      </c>
      <c r="B4221" s="1" t="n">
        <v>45518</v>
      </c>
      <c r="C4221" s="1" t="n">
        <v>45627</v>
      </c>
      <c r="D4221" t="inlineStr">
        <is>
          <t>HALLANDS LÄN</t>
        </is>
      </c>
      <c r="E4221" t="inlineStr">
        <is>
          <t>LAHOLM</t>
        </is>
      </c>
      <c r="G4221" t="n">
        <v>7.2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33369-2024</t>
        </is>
      </c>
      <c r="B4222" s="1" t="n">
        <v>45519</v>
      </c>
      <c r="C4222" s="1" t="n">
        <v>45627</v>
      </c>
      <c r="D4222" t="inlineStr">
        <is>
          <t>HALLANDS LÄN</t>
        </is>
      </c>
      <c r="E4222" t="inlineStr">
        <is>
          <t>LAHOLM</t>
        </is>
      </c>
      <c r="G4222" t="n">
        <v>0.8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33419-2024</t>
        </is>
      </c>
      <c r="B4223" s="1" t="n">
        <v>45519</v>
      </c>
      <c r="C4223" s="1" t="n">
        <v>45627</v>
      </c>
      <c r="D4223" t="inlineStr">
        <is>
          <t>HALLANDS LÄN</t>
        </is>
      </c>
      <c r="E4223" t="inlineStr">
        <is>
          <t>LAHOLM</t>
        </is>
      </c>
      <c r="G4223" t="n">
        <v>0.7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33498-2024</t>
        </is>
      </c>
      <c r="B4224" s="1" t="n">
        <v>45519</v>
      </c>
      <c r="C4224" s="1" t="n">
        <v>45627</v>
      </c>
      <c r="D4224" t="inlineStr">
        <is>
          <t>HALLANDS LÄN</t>
        </is>
      </c>
      <c r="E4224" t="inlineStr">
        <is>
          <t>HALMSTAD</t>
        </is>
      </c>
      <c r="G4224" t="n">
        <v>0.3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33500-2024</t>
        </is>
      </c>
      <c r="B4225" s="1" t="n">
        <v>45519</v>
      </c>
      <c r="C4225" s="1" t="n">
        <v>45627</v>
      </c>
      <c r="D4225" t="inlineStr">
        <is>
          <t>HALLANDS LÄN</t>
        </is>
      </c>
      <c r="E4225" t="inlineStr">
        <is>
          <t>HALMSTAD</t>
        </is>
      </c>
      <c r="G4225" t="n">
        <v>1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33707-2024</t>
        </is>
      </c>
      <c r="B4226" s="1" t="n">
        <v>45520</v>
      </c>
      <c r="C4226" s="1" t="n">
        <v>45627</v>
      </c>
      <c r="D4226" t="inlineStr">
        <is>
          <t>HALLANDS LÄN</t>
        </is>
      </c>
      <c r="E4226" t="inlineStr">
        <is>
          <t>FALKENBERG</t>
        </is>
      </c>
      <c r="G4226" t="n">
        <v>3.6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33756-2024</t>
        </is>
      </c>
      <c r="B4227" s="1" t="n">
        <v>45520</v>
      </c>
      <c r="C4227" s="1" t="n">
        <v>45627</v>
      </c>
      <c r="D4227" t="inlineStr">
        <is>
          <t>HALLANDS LÄN</t>
        </is>
      </c>
      <c r="E4227" t="inlineStr">
        <is>
          <t>HYLTE</t>
        </is>
      </c>
      <c r="G4227" t="n">
        <v>4.6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34052-2024</t>
        </is>
      </c>
      <c r="B4228" s="1" t="n">
        <v>45523</v>
      </c>
      <c r="C4228" s="1" t="n">
        <v>45627</v>
      </c>
      <c r="D4228" t="inlineStr">
        <is>
          <t>HALLANDS LÄN</t>
        </is>
      </c>
      <c r="E4228" t="inlineStr">
        <is>
          <t>KUNGSBACKA</t>
        </is>
      </c>
      <c r="G4228" t="n">
        <v>15.7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34057-2024</t>
        </is>
      </c>
      <c r="B4229" s="1" t="n">
        <v>45523</v>
      </c>
      <c r="C4229" s="1" t="n">
        <v>45627</v>
      </c>
      <c r="D4229" t="inlineStr">
        <is>
          <t>HALLANDS LÄN</t>
        </is>
      </c>
      <c r="E4229" t="inlineStr">
        <is>
          <t>KUNGSBACKA</t>
        </is>
      </c>
      <c r="G4229" t="n">
        <v>2.9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34072-2024</t>
        </is>
      </c>
      <c r="B4230" s="1" t="n">
        <v>45523</v>
      </c>
      <c r="C4230" s="1" t="n">
        <v>45627</v>
      </c>
      <c r="D4230" t="inlineStr">
        <is>
          <t>HALLANDS LÄN</t>
        </is>
      </c>
      <c r="E4230" t="inlineStr">
        <is>
          <t>FALKENBERG</t>
        </is>
      </c>
      <c r="G4230" t="n">
        <v>8.1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34163-2024</t>
        </is>
      </c>
      <c r="B4231" s="1" t="n">
        <v>45524</v>
      </c>
      <c r="C4231" s="1" t="n">
        <v>45627</v>
      </c>
      <c r="D4231" t="inlineStr">
        <is>
          <t>HALLANDS LÄN</t>
        </is>
      </c>
      <c r="E4231" t="inlineStr">
        <is>
          <t>FALKENBERG</t>
        </is>
      </c>
      <c r="G4231" t="n">
        <v>5.3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34197-2024</t>
        </is>
      </c>
      <c r="B4232" s="1" t="n">
        <v>45524</v>
      </c>
      <c r="C4232" s="1" t="n">
        <v>45627</v>
      </c>
      <c r="D4232" t="inlineStr">
        <is>
          <t>HALLANDS LÄN</t>
        </is>
      </c>
      <c r="E4232" t="inlineStr">
        <is>
          <t>HYLTE</t>
        </is>
      </c>
      <c r="G4232" t="n">
        <v>2.6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34168-2024</t>
        </is>
      </c>
      <c r="B4233" s="1" t="n">
        <v>45524</v>
      </c>
      <c r="C4233" s="1" t="n">
        <v>45627</v>
      </c>
      <c r="D4233" t="inlineStr">
        <is>
          <t>HALLANDS LÄN</t>
        </is>
      </c>
      <c r="E4233" t="inlineStr">
        <is>
          <t>FALKENBERG</t>
        </is>
      </c>
      <c r="G4233" t="n">
        <v>1.2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34192-2024</t>
        </is>
      </c>
      <c r="B4234" s="1" t="n">
        <v>45524</v>
      </c>
      <c r="C4234" s="1" t="n">
        <v>45627</v>
      </c>
      <c r="D4234" t="inlineStr">
        <is>
          <t>HALLANDS LÄN</t>
        </is>
      </c>
      <c r="E4234" t="inlineStr">
        <is>
          <t>HYLTE</t>
        </is>
      </c>
      <c r="G4234" t="n">
        <v>2.9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34196-2024</t>
        </is>
      </c>
      <c r="B4235" s="1" t="n">
        <v>45524</v>
      </c>
      <c r="C4235" s="1" t="n">
        <v>45627</v>
      </c>
      <c r="D4235" t="inlineStr">
        <is>
          <t>HALLANDS LÄN</t>
        </is>
      </c>
      <c r="E4235" t="inlineStr">
        <is>
          <t>HYLTE</t>
        </is>
      </c>
      <c r="G4235" t="n">
        <v>1.8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34166-2024</t>
        </is>
      </c>
      <c r="B4236" s="1" t="n">
        <v>45524</v>
      </c>
      <c r="C4236" s="1" t="n">
        <v>45627</v>
      </c>
      <c r="D4236" t="inlineStr">
        <is>
          <t>HALLANDS LÄN</t>
        </is>
      </c>
      <c r="E4236" t="inlineStr">
        <is>
          <t>FALKENBERG</t>
        </is>
      </c>
      <c r="G4236" t="n">
        <v>3.4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34190-2024</t>
        </is>
      </c>
      <c r="B4237" s="1" t="n">
        <v>45524</v>
      </c>
      <c r="C4237" s="1" t="n">
        <v>45627</v>
      </c>
      <c r="D4237" t="inlineStr">
        <is>
          <t>HALLANDS LÄN</t>
        </is>
      </c>
      <c r="E4237" t="inlineStr">
        <is>
          <t>HYLTE</t>
        </is>
      </c>
      <c r="G4237" t="n">
        <v>0.8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34198-2024</t>
        </is>
      </c>
      <c r="B4238" s="1" t="n">
        <v>45524</v>
      </c>
      <c r="C4238" s="1" t="n">
        <v>45627</v>
      </c>
      <c r="D4238" t="inlineStr">
        <is>
          <t>HALLANDS LÄN</t>
        </is>
      </c>
      <c r="E4238" t="inlineStr">
        <is>
          <t>HYLTE</t>
        </is>
      </c>
      <c r="G4238" t="n">
        <v>1.7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34315-2024</t>
        </is>
      </c>
      <c r="B4239" s="1" t="n">
        <v>45524</v>
      </c>
      <c r="C4239" s="1" t="n">
        <v>45627</v>
      </c>
      <c r="D4239" t="inlineStr">
        <is>
          <t>HALLANDS LÄN</t>
        </is>
      </c>
      <c r="E4239" t="inlineStr">
        <is>
          <t>KUNGSBACKA</t>
        </is>
      </c>
      <c r="G4239" t="n">
        <v>0.5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34319-2024</t>
        </is>
      </c>
      <c r="B4240" s="1" t="n">
        <v>45524</v>
      </c>
      <c r="C4240" s="1" t="n">
        <v>45627</v>
      </c>
      <c r="D4240" t="inlineStr">
        <is>
          <t>HALLANDS LÄN</t>
        </is>
      </c>
      <c r="E4240" t="inlineStr">
        <is>
          <t>KUNGSBACKA</t>
        </is>
      </c>
      <c r="G4240" t="n">
        <v>0.5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34445-2024</t>
        </is>
      </c>
      <c r="B4241" s="1" t="n">
        <v>45525</v>
      </c>
      <c r="C4241" s="1" t="n">
        <v>45627</v>
      </c>
      <c r="D4241" t="inlineStr">
        <is>
          <t>HALLANDS LÄN</t>
        </is>
      </c>
      <c r="E4241" t="inlineStr">
        <is>
          <t>KUNGSBACKA</t>
        </is>
      </c>
      <c r="G4241" t="n">
        <v>0.9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34449-2024</t>
        </is>
      </c>
      <c r="B4242" s="1" t="n">
        <v>45525</v>
      </c>
      <c r="C4242" s="1" t="n">
        <v>45627</v>
      </c>
      <c r="D4242" t="inlineStr">
        <is>
          <t>HALLANDS LÄN</t>
        </is>
      </c>
      <c r="E4242" t="inlineStr">
        <is>
          <t>KUNGSBACKA</t>
        </is>
      </c>
      <c r="G4242" t="n">
        <v>1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34465-2024</t>
        </is>
      </c>
      <c r="B4243" s="1" t="n">
        <v>45525</v>
      </c>
      <c r="C4243" s="1" t="n">
        <v>45627</v>
      </c>
      <c r="D4243" t="inlineStr">
        <is>
          <t>HALLANDS LÄN</t>
        </is>
      </c>
      <c r="E4243" t="inlineStr">
        <is>
          <t>FALKENBERG</t>
        </is>
      </c>
      <c r="G4243" t="n">
        <v>5.6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34439-2024</t>
        </is>
      </c>
      <c r="B4244" s="1" t="n">
        <v>45525</v>
      </c>
      <c r="C4244" s="1" t="n">
        <v>45627</v>
      </c>
      <c r="D4244" t="inlineStr">
        <is>
          <t>HALLANDS LÄN</t>
        </is>
      </c>
      <c r="E4244" t="inlineStr">
        <is>
          <t>KUNGSBACKA</t>
        </is>
      </c>
      <c r="G4244" t="n">
        <v>1.8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34418-2024</t>
        </is>
      </c>
      <c r="B4245" s="1" t="n">
        <v>45525</v>
      </c>
      <c r="C4245" s="1" t="n">
        <v>45627</v>
      </c>
      <c r="D4245" t="inlineStr">
        <is>
          <t>HALLANDS LÄN</t>
        </is>
      </c>
      <c r="E4245" t="inlineStr">
        <is>
          <t>FALKENBERG</t>
        </is>
      </c>
      <c r="G4245" t="n">
        <v>2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34621-2024</t>
        </is>
      </c>
      <c r="B4246" s="1" t="n">
        <v>45526</v>
      </c>
      <c r="C4246" s="1" t="n">
        <v>45627</v>
      </c>
      <c r="D4246" t="inlineStr">
        <is>
          <t>HALLANDS LÄN</t>
        </is>
      </c>
      <c r="E4246" t="inlineStr">
        <is>
          <t>LAHOLM</t>
        </is>
      </c>
      <c r="G4246" t="n">
        <v>6.8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34732-2024</t>
        </is>
      </c>
      <c r="B4247" s="1" t="n">
        <v>45526</v>
      </c>
      <c r="C4247" s="1" t="n">
        <v>45627</v>
      </c>
      <c r="D4247" t="inlineStr">
        <is>
          <t>HALLANDS LÄN</t>
        </is>
      </c>
      <c r="E4247" t="inlineStr">
        <is>
          <t>KUNGSBACKA</t>
        </is>
      </c>
      <c r="G4247" t="n">
        <v>0.7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35014-2024</t>
        </is>
      </c>
      <c r="B4248" s="1" t="n">
        <v>45527</v>
      </c>
      <c r="C4248" s="1" t="n">
        <v>45627</v>
      </c>
      <c r="D4248" t="inlineStr">
        <is>
          <t>HALLANDS LÄN</t>
        </is>
      </c>
      <c r="E4248" t="inlineStr">
        <is>
          <t>VARBERG</t>
        </is>
      </c>
      <c r="G4248" t="n">
        <v>1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35041-2024</t>
        </is>
      </c>
      <c r="B4249" s="1" t="n">
        <v>45527</v>
      </c>
      <c r="C4249" s="1" t="n">
        <v>45627</v>
      </c>
      <c r="D4249" t="inlineStr">
        <is>
          <t>HALLANDS LÄN</t>
        </is>
      </c>
      <c r="E4249" t="inlineStr">
        <is>
          <t>HYLTE</t>
        </is>
      </c>
      <c r="G4249" t="n">
        <v>1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34927-2024</t>
        </is>
      </c>
      <c r="B4250" s="1" t="n">
        <v>45527</v>
      </c>
      <c r="C4250" s="1" t="n">
        <v>45627</v>
      </c>
      <c r="D4250" t="inlineStr">
        <is>
          <t>HALLANDS LÄN</t>
        </is>
      </c>
      <c r="E4250" t="inlineStr">
        <is>
          <t>FALKENBERG</t>
        </is>
      </c>
      <c r="G4250" t="n">
        <v>1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35238-2024</t>
        </is>
      </c>
      <c r="B4251" s="1" t="n">
        <v>45530</v>
      </c>
      <c r="C4251" s="1" t="n">
        <v>45627</v>
      </c>
      <c r="D4251" t="inlineStr">
        <is>
          <t>HALLANDS LÄN</t>
        </is>
      </c>
      <c r="E4251" t="inlineStr">
        <is>
          <t>VARBERG</t>
        </is>
      </c>
      <c r="G4251" t="n">
        <v>1.2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35376-2024</t>
        </is>
      </c>
      <c r="B4252" s="1" t="n">
        <v>45531</v>
      </c>
      <c r="C4252" s="1" t="n">
        <v>45627</v>
      </c>
      <c r="D4252" t="inlineStr">
        <is>
          <t>HALLANDS LÄN</t>
        </is>
      </c>
      <c r="E4252" t="inlineStr">
        <is>
          <t>HALMSTAD</t>
        </is>
      </c>
      <c r="G4252" t="n">
        <v>2.8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35506-2024</t>
        </is>
      </c>
      <c r="B4253" s="1" t="n">
        <v>45531</v>
      </c>
      <c r="C4253" s="1" t="n">
        <v>45627</v>
      </c>
      <c r="D4253" t="inlineStr">
        <is>
          <t>HALLANDS LÄN</t>
        </is>
      </c>
      <c r="E4253" t="inlineStr">
        <is>
          <t>VARBERG</t>
        </is>
      </c>
      <c r="G4253" t="n">
        <v>3.4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35384-2024</t>
        </is>
      </c>
      <c r="B4254" s="1" t="n">
        <v>45531</v>
      </c>
      <c r="C4254" s="1" t="n">
        <v>45627</v>
      </c>
      <c r="D4254" t="inlineStr">
        <is>
          <t>HALLANDS LÄN</t>
        </is>
      </c>
      <c r="E4254" t="inlineStr">
        <is>
          <t>HALMSTAD</t>
        </is>
      </c>
      <c r="G4254" t="n">
        <v>0.5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35452-2024</t>
        </is>
      </c>
      <c r="B4255" s="1" t="n">
        <v>45531</v>
      </c>
      <c r="C4255" s="1" t="n">
        <v>45627</v>
      </c>
      <c r="D4255" t="inlineStr">
        <is>
          <t>HALLANDS LÄN</t>
        </is>
      </c>
      <c r="E4255" t="inlineStr">
        <is>
          <t>VARBERG</t>
        </is>
      </c>
      <c r="G4255" t="n">
        <v>0.6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35523-2024</t>
        </is>
      </c>
      <c r="B4256" s="1" t="n">
        <v>45531</v>
      </c>
      <c r="C4256" s="1" t="n">
        <v>45627</v>
      </c>
      <c r="D4256" t="inlineStr">
        <is>
          <t>HALLANDS LÄN</t>
        </is>
      </c>
      <c r="E4256" t="inlineStr">
        <is>
          <t>LAHOLM</t>
        </is>
      </c>
      <c r="G4256" t="n">
        <v>3.7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35567-2024</t>
        </is>
      </c>
      <c r="B4257" s="1" t="n">
        <v>45531</v>
      </c>
      <c r="C4257" s="1" t="n">
        <v>45627</v>
      </c>
      <c r="D4257" t="inlineStr">
        <is>
          <t>HALLANDS LÄN</t>
        </is>
      </c>
      <c r="E4257" t="inlineStr">
        <is>
          <t>HYLTE</t>
        </is>
      </c>
      <c r="G4257" t="n">
        <v>6.8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35589-2024</t>
        </is>
      </c>
      <c r="B4258" s="1" t="n">
        <v>45531</v>
      </c>
      <c r="C4258" s="1" t="n">
        <v>45627</v>
      </c>
      <c r="D4258" t="inlineStr">
        <is>
          <t>HALLANDS LÄN</t>
        </is>
      </c>
      <c r="E4258" t="inlineStr">
        <is>
          <t>HYLTE</t>
        </is>
      </c>
      <c r="G4258" t="n">
        <v>0.7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35638-2024</t>
        </is>
      </c>
      <c r="B4259" s="1" t="n">
        <v>45531</v>
      </c>
      <c r="C4259" s="1" t="n">
        <v>45627</v>
      </c>
      <c r="D4259" t="inlineStr">
        <is>
          <t>HALLANDS LÄN</t>
        </is>
      </c>
      <c r="E4259" t="inlineStr">
        <is>
          <t>VARBERG</t>
        </is>
      </c>
      <c r="G4259" t="n">
        <v>4.5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35662-2024</t>
        </is>
      </c>
      <c r="B4260" s="1" t="n">
        <v>45532</v>
      </c>
      <c r="C4260" s="1" t="n">
        <v>45627</v>
      </c>
      <c r="D4260" t="inlineStr">
        <is>
          <t>HALLANDS LÄN</t>
        </is>
      </c>
      <c r="E4260" t="inlineStr">
        <is>
          <t>HYLTE</t>
        </is>
      </c>
      <c r="G4260" t="n">
        <v>0.9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35648-2024</t>
        </is>
      </c>
      <c r="B4261" s="1" t="n">
        <v>45532</v>
      </c>
      <c r="C4261" s="1" t="n">
        <v>45627</v>
      </c>
      <c r="D4261" t="inlineStr">
        <is>
          <t>HALLANDS LÄN</t>
        </is>
      </c>
      <c r="E4261" t="inlineStr">
        <is>
          <t>LAHOLM</t>
        </is>
      </c>
      <c r="G4261" t="n">
        <v>7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35804-2024</t>
        </is>
      </c>
      <c r="B4262" s="1" t="n">
        <v>45532</v>
      </c>
      <c r="C4262" s="1" t="n">
        <v>45627</v>
      </c>
      <c r="D4262" t="inlineStr">
        <is>
          <t>HALLANDS LÄN</t>
        </is>
      </c>
      <c r="E4262" t="inlineStr">
        <is>
          <t>KUNGSBACKA</t>
        </is>
      </c>
      <c r="G4262" t="n">
        <v>7.4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35808-2024</t>
        </is>
      </c>
      <c r="B4263" s="1" t="n">
        <v>45532</v>
      </c>
      <c r="C4263" s="1" t="n">
        <v>45627</v>
      </c>
      <c r="D4263" t="inlineStr">
        <is>
          <t>HALLANDS LÄN</t>
        </is>
      </c>
      <c r="E4263" t="inlineStr">
        <is>
          <t>KUNGSBACKA</t>
        </is>
      </c>
      <c r="G4263" t="n">
        <v>1.8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35811-2024</t>
        </is>
      </c>
      <c r="B4264" s="1" t="n">
        <v>45532</v>
      </c>
      <c r="C4264" s="1" t="n">
        <v>45627</v>
      </c>
      <c r="D4264" t="inlineStr">
        <is>
          <t>HALLANDS LÄN</t>
        </is>
      </c>
      <c r="E4264" t="inlineStr">
        <is>
          <t>KUNGSBACKA</t>
        </is>
      </c>
      <c r="G4264" t="n">
        <v>2.5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35867-2024</t>
        </is>
      </c>
      <c r="B4265" s="1" t="n">
        <v>45533</v>
      </c>
      <c r="C4265" s="1" t="n">
        <v>45627</v>
      </c>
      <c r="D4265" t="inlineStr">
        <is>
          <t>HALLANDS LÄN</t>
        </is>
      </c>
      <c r="E4265" t="inlineStr">
        <is>
          <t>FALKENBERG</t>
        </is>
      </c>
      <c r="G4265" t="n">
        <v>1.3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35928-2024</t>
        </is>
      </c>
      <c r="B4266" s="1" t="n">
        <v>45533</v>
      </c>
      <c r="C4266" s="1" t="n">
        <v>45627</v>
      </c>
      <c r="D4266" t="inlineStr">
        <is>
          <t>HALLANDS LÄN</t>
        </is>
      </c>
      <c r="E4266" t="inlineStr">
        <is>
          <t>LAHOLM</t>
        </is>
      </c>
      <c r="G4266" t="n">
        <v>2.3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36063-2024</t>
        </is>
      </c>
      <c r="B4267" s="1" t="n">
        <v>45533</v>
      </c>
      <c r="C4267" s="1" t="n">
        <v>45627</v>
      </c>
      <c r="D4267" t="inlineStr">
        <is>
          <t>HALLANDS LÄN</t>
        </is>
      </c>
      <c r="E4267" t="inlineStr">
        <is>
          <t>HYLTE</t>
        </is>
      </c>
      <c r="G4267" t="n">
        <v>2.4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36218-2024</t>
        </is>
      </c>
      <c r="B4268" s="1" t="n">
        <v>45534</v>
      </c>
      <c r="C4268" s="1" t="n">
        <v>45627</v>
      </c>
      <c r="D4268" t="inlineStr">
        <is>
          <t>HALLANDS LÄN</t>
        </is>
      </c>
      <c r="E4268" t="inlineStr">
        <is>
          <t>HYLTE</t>
        </is>
      </c>
      <c r="G4268" t="n">
        <v>8.800000000000001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36280-2024</t>
        </is>
      </c>
      <c r="B4269" s="1" t="n">
        <v>45534</v>
      </c>
      <c r="C4269" s="1" t="n">
        <v>45627</v>
      </c>
      <c r="D4269" t="inlineStr">
        <is>
          <t>HALLANDS LÄN</t>
        </is>
      </c>
      <c r="E4269" t="inlineStr">
        <is>
          <t>FALKENBERG</t>
        </is>
      </c>
      <c r="G4269" t="n">
        <v>3.8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36566-2024</t>
        </is>
      </c>
      <c r="B4270" s="1" t="n">
        <v>45537</v>
      </c>
      <c r="C4270" s="1" t="n">
        <v>45627</v>
      </c>
      <c r="D4270" t="inlineStr">
        <is>
          <t>HALLANDS LÄN</t>
        </is>
      </c>
      <c r="E4270" t="inlineStr">
        <is>
          <t>HYLTE</t>
        </is>
      </c>
      <c r="G4270" t="n">
        <v>0.9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36648-2024</t>
        </is>
      </c>
      <c r="B4271" s="1" t="n">
        <v>45537</v>
      </c>
      <c r="C4271" s="1" t="n">
        <v>45627</v>
      </c>
      <c r="D4271" t="inlineStr">
        <is>
          <t>HALLANDS LÄN</t>
        </is>
      </c>
      <c r="E4271" t="inlineStr">
        <is>
          <t>FALKENBERG</t>
        </is>
      </c>
      <c r="G4271" t="n">
        <v>0.6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36714-2024</t>
        </is>
      </c>
      <c r="B4272" s="1" t="n">
        <v>45537</v>
      </c>
      <c r="C4272" s="1" t="n">
        <v>45627</v>
      </c>
      <c r="D4272" t="inlineStr">
        <is>
          <t>HALLANDS LÄN</t>
        </is>
      </c>
      <c r="E4272" t="inlineStr">
        <is>
          <t>HALMSTAD</t>
        </is>
      </c>
      <c r="G4272" t="n">
        <v>0.1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36654-2024</t>
        </is>
      </c>
      <c r="B4273" s="1" t="n">
        <v>45537</v>
      </c>
      <c r="C4273" s="1" t="n">
        <v>45627</v>
      </c>
      <c r="D4273" t="inlineStr">
        <is>
          <t>HALLANDS LÄN</t>
        </is>
      </c>
      <c r="E4273" t="inlineStr">
        <is>
          <t>KUNGSBACKA</t>
        </is>
      </c>
      <c r="G4273" t="n">
        <v>0.5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36801-2024</t>
        </is>
      </c>
      <c r="B4274" s="1" t="n">
        <v>45538</v>
      </c>
      <c r="C4274" s="1" t="n">
        <v>45627</v>
      </c>
      <c r="D4274" t="inlineStr">
        <is>
          <t>HALLANDS LÄN</t>
        </is>
      </c>
      <c r="E4274" t="inlineStr">
        <is>
          <t>HYLTE</t>
        </is>
      </c>
      <c r="G4274" t="n">
        <v>2.9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36882-2024</t>
        </is>
      </c>
      <c r="B4275" s="1" t="n">
        <v>45538</v>
      </c>
      <c r="C4275" s="1" t="n">
        <v>45627</v>
      </c>
      <c r="D4275" t="inlineStr">
        <is>
          <t>HALLANDS LÄN</t>
        </is>
      </c>
      <c r="E4275" t="inlineStr">
        <is>
          <t>LAHOLM</t>
        </is>
      </c>
      <c r="G4275" t="n">
        <v>1.3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36930-2024</t>
        </is>
      </c>
      <c r="B4276" s="1" t="n">
        <v>45538</v>
      </c>
      <c r="C4276" s="1" t="n">
        <v>45627</v>
      </c>
      <c r="D4276" t="inlineStr">
        <is>
          <t>HALLANDS LÄN</t>
        </is>
      </c>
      <c r="E4276" t="inlineStr">
        <is>
          <t>LAHOLM</t>
        </is>
      </c>
      <c r="G4276" t="n">
        <v>5.2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36976-2024</t>
        </is>
      </c>
      <c r="B4277" s="1" t="n">
        <v>45539</v>
      </c>
      <c r="C4277" s="1" t="n">
        <v>45627</v>
      </c>
      <c r="D4277" t="inlineStr">
        <is>
          <t>HALLANDS LÄN</t>
        </is>
      </c>
      <c r="E4277" t="inlineStr">
        <is>
          <t>HYLTE</t>
        </is>
      </c>
      <c r="G4277" t="n">
        <v>1.1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36927-2024</t>
        </is>
      </c>
      <c r="B4278" s="1" t="n">
        <v>45538</v>
      </c>
      <c r="C4278" s="1" t="n">
        <v>45627</v>
      </c>
      <c r="D4278" t="inlineStr">
        <is>
          <t>HALLANDS LÄN</t>
        </is>
      </c>
      <c r="E4278" t="inlineStr">
        <is>
          <t>LAHOLM</t>
        </is>
      </c>
      <c r="G4278" t="n">
        <v>3.9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37065-2024</t>
        </is>
      </c>
      <c r="B4279" s="1" t="n">
        <v>45539</v>
      </c>
      <c r="C4279" s="1" t="n">
        <v>45627</v>
      </c>
      <c r="D4279" t="inlineStr">
        <is>
          <t>HALLANDS LÄN</t>
        </is>
      </c>
      <c r="E4279" t="inlineStr">
        <is>
          <t>VARBERG</t>
        </is>
      </c>
      <c r="G4279" t="n">
        <v>1.7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37129-2024</t>
        </is>
      </c>
      <c r="B4280" s="1" t="n">
        <v>45539</v>
      </c>
      <c r="C4280" s="1" t="n">
        <v>45627</v>
      </c>
      <c r="D4280" t="inlineStr">
        <is>
          <t>HALLANDS LÄN</t>
        </is>
      </c>
      <c r="E4280" t="inlineStr">
        <is>
          <t>HYLTE</t>
        </is>
      </c>
      <c r="G4280" t="n">
        <v>2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37160-2024</t>
        </is>
      </c>
      <c r="B4281" s="1" t="n">
        <v>45539</v>
      </c>
      <c r="C4281" s="1" t="n">
        <v>45627</v>
      </c>
      <c r="D4281" t="inlineStr">
        <is>
          <t>HALLANDS LÄN</t>
        </is>
      </c>
      <c r="E4281" t="inlineStr">
        <is>
          <t>HALMSTAD</t>
        </is>
      </c>
      <c r="G4281" t="n">
        <v>2.4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37172-2024</t>
        </is>
      </c>
      <c r="B4282" s="1" t="n">
        <v>45539</v>
      </c>
      <c r="C4282" s="1" t="n">
        <v>45627</v>
      </c>
      <c r="D4282" t="inlineStr">
        <is>
          <t>HALLANDS LÄN</t>
        </is>
      </c>
      <c r="E4282" t="inlineStr">
        <is>
          <t>HYLTE</t>
        </is>
      </c>
      <c r="G4282" t="n">
        <v>0.8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37163-2024</t>
        </is>
      </c>
      <c r="B4283" s="1" t="n">
        <v>45539</v>
      </c>
      <c r="C4283" s="1" t="n">
        <v>45627</v>
      </c>
      <c r="D4283" t="inlineStr">
        <is>
          <t>HALLANDS LÄN</t>
        </is>
      </c>
      <c r="E4283" t="inlineStr">
        <is>
          <t>HYLTE</t>
        </is>
      </c>
      <c r="G4283" t="n">
        <v>0.6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37017-2024</t>
        </is>
      </c>
      <c r="B4284" s="1" t="n">
        <v>45539</v>
      </c>
      <c r="C4284" s="1" t="n">
        <v>45627</v>
      </c>
      <c r="D4284" t="inlineStr">
        <is>
          <t>HALLANDS LÄN</t>
        </is>
      </c>
      <c r="E4284" t="inlineStr">
        <is>
          <t>FALKENBERG</t>
        </is>
      </c>
      <c r="G4284" t="n">
        <v>2.8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37018-2024</t>
        </is>
      </c>
      <c r="B4285" s="1" t="n">
        <v>45539</v>
      </c>
      <c r="C4285" s="1" t="n">
        <v>45627</v>
      </c>
      <c r="D4285" t="inlineStr">
        <is>
          <t>HALLANDS LÄN</t>
        </is>
      </c>
      <c r="E4285" t="inlineStr">
        <is>
          <t>FALKENBERG</t>
        </is>
      </c>
      <c r="G4285" t="n">
        <v>2.6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37084-2024</t>
        </is>
      </c>
      <c r="B4286" s="1" t="n">
        <v>45539</v>
      </c>
      <c r="C4286" s="1" t="n">
        <v>45627</v>
      </c>
      <c r="D4286" t="inlineStr">
        <is>
          <t>HALLANDS LÄN</t>
        </is>
      </c>
      <c r="E4286" t="inlineStr">
        <is>
          <t>LAHOLM</t>
        </is>
      </c>
      <c r="G4286" t="n">
        <v>0.8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37469-2024</t>
        </is>
      </c>
      <c r="B4287" s="1" t="n">
        <v>45540</v>
      </c>
      <c r="C4287" s="1" t="n">
        <v>45627</v>
      </c>
      <c r="D4287" t="inlineStr">
        <is>
          <t>HALLANDS LÄN</t>
        </is>
      </c>
      <c r="E4287" t="inlineStr">
        <is>
          <t>HYLTE</t>
        </is>
      </c>
      <c r="G4287" t="n">
        <v>5.8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37661-2024</t>
        </is>
      </c>
      <c r="B4288" s="1" t="n">
        <v>45541</v>
      </c>
      <c r="C4288" s="1" t="n">
        <v>45627</v>
      </c>
      <c r="D4288" t="inlineStr">
        <is>
          <t>HALLANDS LÄN</t>
        </is>
      </c>
      <c r="E4288" t="inlineStr">
        <is>
          <t>HYLTE</t>
        </is>
      </c>
      <c r="G4288" t="n">
        <v>0.5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37752-2024</t>
        </is>
      </c>
      <c r="B4289" s="1" t="n">
        <v>45541</v>
      </c>
      <c r="C4289" s="1" t="n">
        <v>45627</v>
      </c>
      <c r="D4289" t="inlineStr">
        <is>
          <t>HALLANDS LÄN</t>
        </is>
      </c>
      <c r="E4289" t="inlineStr">
        <is>
          <t>HYLTE</t>
        </is>
      </c>
      <c r="G4289" t="n">
        <v>5.5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37932-2024</t>
        </is>
      </c>
      <c r="B4290" s="1" t="n">
        <v>45544</v>
      </c>
      <c r="C4290" s="1" t="n">
        <v>45627</v>
      </c>
      <c r="D4290" t="inlineStr">
        <is>
          <t>HALLANDS LÄN</t>
        </is>
      </c>
      <c r="E4290" t="inlineStr">
        <is>
          <t>HYLTE</t>
        </is>
      </c>
      <c r="G4290" t="n">
        <v>0.6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37931-2024</t>
        </is>
      </c>
      <c r="B4291" s="1" t="n">
        <v>45544</v>
      </c>
      <c r="C4291" s="1" t="n">
        <v>45627</v>
      </c>
      <c r="D4291" t="inlineStr">
        <is>
          <t>HALLANDS LÄN</t>
        </is>
      </c>
      <c r="E4291" t="inlineStr">
        <is>
          <t>HYLTE</t>
        </is>
      </c>
      <c r="G4291" t="n">
        <v>2.1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37972-2024</t>
        </is>
      </c>
      <c r="B4292" s="1" t="n">
        <v>45544</v>
      </c>
      <c r="C4292" s="1" t="n">
        <v>45627</v>
      </c>
      <c r="D4292" t="inlineStr">
        <is>
          <t>HALLANDS LÄN</t>
        </is>
      </c>
      <c r="E4292" t="inlineStr">
        <is>
          <t>LAHOLM</t>
        </is>
      </c>
      <c r="G4292" t="n">
        <v>2.4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38020-2024</t>
        </is>
      </c>
      <c r="B4293" s="1" t="n">
        <v>45544</v>
      </c>
      <c r="C4293" s="1" t="n">
        <v>45627</v>
      </c>
      <c r="D4293" t="inlineStr">
        <is>
          <t>HALLANDS LÄN</t>
        </is>
      </c>
      <c r="E4293" t="inlineStr">
        <is>
          <t>FALKENBERG</t>
        </is>
      </c>
      <c r="G4293" t="n">
        <v>3.6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37810-2024</t>
        </is>
      </c>
      <c r="B4294" s="1" t="n">
        <v>45544</v>
      </c>
      <c r="C4294" s="1" t="n">
        <v>45627</v>
      </c>
      <c r="D4294" t="inlineStr">
        <is>
          <t>HALLANDS LÄN</t>
        </is>
      </c>
      <c r="E4294" t="inlineStr">
        <is>
          <t>VARBERG</t>
        </is>
      </c>
      <c r="G4294" t="n">
        <v>1.4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37894-2024</t>
        </is>
      </c>
      <c r="B4295" s="1" t="n">
        <v>45544</v>
      </c>
      <c r="C4295" s="1" t="n">
        <v>45627</v>
      </c>
      <c r="D4295" t="inlineStr">
        <is>
          <t>HALLANDS LÄN</t>
        </is>
      </c>
      <c r="E4295" t="inlineStr">
        <is>
          <t>KUNGSBACKA</t>
        </is>
      </c>
      <c r="G4295" t="n">
        <v>1.8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38025-2024</t>
        </is>
      </c>
      <c r="B4296" s="1" t="n">
        <v>45544</v>
      </c>
      <c r="C4296" s="1" t="n">
        <v>45627</v>
      </c>
      <c r="D4296" t="inlineStr">
        <is>
          <t>HALLANDS LÄN</t>
        </is>
      </c>
      <c r="E4296" t="inlineStr">
        <is>
          <t>FALKENBERG</t>
        </is>
      </c>
      <c r="G4296" t="n">
        <v>6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38028-2024</t>
        </is>
      </c>
      <c r="B4297" s="1" t="n">
        <v>45544</v>
      </c>
      <c r="C4297" s="1" t="n">
        <v>45627</v>
      </c>
      <c r="D4297" t="inlineStr">
        <is>
          <t>HALLANDS LÄN</t>
        </is>
      </c>
      <c r="E4297" t="inlineStr">
        <is>
          <t>VARBERG</t>
        </is>
      </c>
      <c r="G4297" t="n">
        <v>1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38194-2024</t>
        </is>
      </c>
      <c r="B4298" s="1" t="n">
        <v>45545</v>
      </c>
      <c r="C4298" s="1" t="n">
        <v>45627</v>
      </c>
      <c r="D4298" t="inlineStr">
        <is>
          <t>HALLANDS LÄN</t>
        </is>
      </c>
      <c r="E4298" t="inlineStr">
        <is>
          <t>HYLTE</t>
        </is>
      </c>
      <c r="G4298" t="n">
        <v>1.1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38242-2024</t>
        </is>
      </c>
      <c r="B4299" s="1" t="n">
        <v>45545</v>
      </c>
      <c r="C4299" s="1" t="n">
        <v>45627</v>
      </c>
      <c r="D4299" t="inlineStr">
        <is>
          <t>HALLANDS LÄN</t>
        </is>
      </c>
      <c r="E4299" t="inlineStr">
        <is>
          <t>LAHOLM</t>
        </is>
      </c>
      <c r="G4299" t="n">
        <v>0.8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38371-2024</t>
        </is>
      </c>
      <c r="B4300" s="1" t="n">
        <v>45545</v>
      </c>
      <c r="C4300" s="1" t="n">
        <v>45627</v>
      </c>
      <c r="D4300" t="inlineStr">
        <is>
          <t>HALLANDS LÄN</t>
        </is>
      </c>
      <c r="E4300" t="inlineStr">
        <is>
          <t>HYLTE</t>
        </is>
      </c>
      <c r="G4300" t="n">
        <v>1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38370-2024</t>
        </is>
      </c>
      <c r="B4301" s="1" t="n">
        <v>45545</v>
      </c>
      <c r="C4301" s="1" t="n">
        <v>45627</v>
      </c>
      <c r="D4301" t="inlineStr">
        <is>
          <t>HALLANDS LÄN</t>
        </is>
      </c>
      <c r="E4301" t="inlineStr">
        <is>
          <t>HYLTE</t>
        </is>
      </c>
      <c r="G4301" t="n">
        <v>1.7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38368-2024</t>
        </is>
      </c>
      <c r="B4302" s="1" t="n">
        <v>45545</v>
      </c>
      <c r="C4302" s="1" t="n">
        <v>45627</v>
      </c>
      <c r="D4302" t="inlineStr">
        <is>
          <t>HALLANDS LÄN</t>
        </is>
      </c>
      <c r="E4302" t="inlineStr">
        <is>
          <t>HYLTE</t>
        </is>
      </c>
      <c r="G4302" t="n">
        <v>0.6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38372-2024</t>
        </is>
      </c>
      <c r="B4303" s="1" t="n">
        <v>45545</v>
      </c>
      <c r="C4303" s="1" t="n">
        <v>45627</v>
      </c>
      <c r="D4303" t="inlineStr">
        <is>
          <t>HALLANDS LÄN</t>
        </is>
      </c>
      <c r="E4303" t="inlineStr">
        <is>
          <t>HYLTE</t>
        </is>
      </c>
      <c r="G4303" t="n">
        <v>0.5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38392-2024</t>
        </is>
      </c>
      <c r="B4304" s="1" t="n">
        <v>45546</v>
      </c>
      <c r="C4304" s="1" t="n">
        <v>45627</v>
      </c>
      <c r="D4304" t="inlineStr">
        <is>
          <t>HALLANDS LÄN</t>
        </is>
      </c>
      <c r="E4304" t="inlineStr">
        <is>
          <t>FALKENBERG</t>
        </is>
      </c>
      <c r="G4304" t="n">
        <v>3.4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38396-2024</t>
        </is>
      </c>
      <c r="B4305" s="1" t="n">
        <v>45546</v>
      </c>
      <c r="C4305" s="1" t="n">
        <v>45627</v>
      </c>
      <c r="D4305" t="inlineStr">
        <is>
          <t>HALLANDS LÄN</t>
        </is>
      </c>
      <c r="E4305" t="inlineStr">
        <is>
          <t>FALKENBERG</t>
        </is>
      </c>
      <c r="G4305" t="n">
        <v>3.7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38416-2024</t>
        </is>
      </c>
      <c r="B4306" s="1" t="n">
        <v>45546</v>
      </c>
      <c r="C4306" s="1" t="n">
        <v>45627</v>
      </c>
      <c r="D4306" t="inlineStr">
        <is>
          <t>HALLANDS LÄN</t>
        </is>
      </c>
      <c r="E4306" t="inlineStr">
        <is>
          <t>FALKENBERG</t>
        </is>
      </c>
      <c r="G4306" t="n">
        <v>3.1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38382-2024</t>
        </is>
      </c>
      <c r="B4307" s="1" t="n">
        <v>45546</v>
      </c>
      <c r="C4307" s="1" t="n">
        <v>45627</v>
      </c>
      <c r="D4307" t="inlineStr">
        <is>
          <t>HALLANDS LÄN</t>
        </is>
      </c>
      <c r="E4307" t="inlineStr">
        <is>
          <t>HYLTE</t>
        </is>
      </c>
      <c r="G4307" t="n">
        <v>1.7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38391-2024</t>
        </is>
      </c>
      <c r="B4308" s="1" t="n">
        <v>45546</v>
      </c>
      <c r="C4308" s="1" t="n">
        <v>45627</v>
      </c>
      <c r="D4308" t="inlineStr">
        <is>
          <t>HALLANDS LÄN</t>
        </is>
      </c>
      <c r="E4308" t="inlineStr">
        <is>
          <t>FALKENBERG</t>
        </is>
      </c>
      <c r="G4308" t="n">
        <v>1.2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38399-2024</t>
        </is>
      </c>
      <c r="B4309" s="1" t="n">
        <v>45546</v>
      </c>
      <c r="C4309" s="1" t="n">
        <v>45627</v>
      </c>
      <c r="D4309" t="inlineStr">
        <is>
          <t>HALLANDS LÄN</t>
        </is>
      </c>
      <c r="E4309" t="inlineStr">
        <is>
          <t>FALKENBERG</t>
        </is>
      </c>
      <c r="G4309" t="n">
        <v>2.7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38462-2024</t>
        </is>
      </c>
      <c r="B4310" s="1" t="n">
        <v>45546</v>
      </c>
      <c r="C4310" s="1" t="n">
        <v>45627</v>
      </c>
      <c r="D4310" t="inlineStr">
        <is>
          <t>HALLANDS LÄN</t>
        </is>
      </c>
      <c r="E4310" t="inlineStr">
        <is>
          <t>FALKENBERG</t>
        </is>
      </c>
      <c r="F4310" t="inlineStr">
        <is>
          <t>Kyrkan</t>
        </is>
      </c>
      <c r="G4310" t="n">
        <v>1.7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38419-2024</t>
        </is>
      </c>
      <c r="B4311" s="1" t="n">
        <v>45546</v>
      </c>
      <c r="C4311" s="1" t="n">
        <v>45627</v>
      </c>
      <c r="D4311" t="inlineStr">
        <is>
          <t>HALLANDS LÄN</t>
        </is>
      </c>
      <c r="E4311" t="inlineStr">
        <is>
          <t>FALKENBERG</t>
        </is>
      </c>
      <c r="G4311" t="n">
        <v>3.8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38381-2024</t>
        </is>
      </c>
      <c r="B4312" s="1" t="n">
        <v>45546</v>
      </c>
      <c r="C4312" s="1" t="n">
        <v>45627</v>
      </c>
      <c r="D4312" t="inlineStr">
        <is>
          <t>HALLANDS LÄN</t>
        </is>
      </c>
      <c r="E4312" t="inlineStr">
        <is>
          <t>HYLTE</t>
        </is>
      </c>
      <c r="G4312" t="n">
        <v>3.2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38393-2024</t>
        </is>
      </c>
      <c r="B4313" s="1" t="n">
        <v>45546</v>
      </c>
      <c r="C4313" s="1" t="n">
        <v>45627</v>
      </c>
      <c r="D4313" t="inlineStr">
        <is>
          <t>HALLANDS LÄN</t>
        </is>
      </c>
      <c r="E4313" t="inlineStr">
        <is>
          <t>FALKENBERG</t>
        </is>
      </c>
      <c r="G4313" t="n">
        <v>1.2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38690-2024</t>
        </is>
      </c>
      <c r="B4314" s="1" t="n">
        <v>45547</v>
      </c>
      <c r="C4314" s="1" t="n">
        <v>45627</v>
      </c>
      <c r="D4314" t="inlineStr">
        <is>
          <t>HALLANDS LÄN</t>
        </is>
      </c>
      <c r="E4314" t="inlineStr">
        <is>
          <t>FALKENBERG</t>
        </is>
      </c>
      <c r="G4314" t="n">
        <v>4.3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38715-2024</t>
        </is>
      </c>
      <c r="B4315" s="1" t="n">
        <v>45547</v>
      </c>
      <c r="C4315" s="1" t="n">
        <v>45627</v>
      </c>
      <c r="D4315" t="inlineStr">
        <is>
          <t>HALLANDS LÄN</t>
        </is>
      </c>
      <c r="E4315" t="inlineStr">
        <is>
          <t>FALKENBERG</t>
        </is>
      </c>
      <c r="G4315" t="n">
        <v>0.3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38929-2024</t>
        </is>
      </c>
      <c r="B4316" s="1" t="n">
        <v>45548</v>
      </c>
      <c r="C4316" s="1" t="n">
        <v>45627</v>
      </c>
      <c r="D4316" t="inlineStr">
        <is>
          <t>HALLANDS LÄN</t>
        </is>
      </c>
      <c r="E4316" t="inlineStr">
        <is>
          <t>LAHOLM</t>
        </is>
      </c>
      <c r="G4316" t="n">
        <v>0.7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39074-2024</t>
        </is>
      </c>
      <c r="B4317" s="1" t="n">
        <v>45548</v>
      </c>
      <c r="C4317" s="1" t="n">
        <v>45627</v>
      </c>
      <c r="D4317" t="inlineStr">
        <is>
          <t>HALLANDS LÄN</t>
        </is>
      </c>
      <c r="E4317" t="inlineStr">
        <is>
          <t>FALKENBERG</t>
        </is>
      </c>
      <c r="G4317" t="n">
        <v>3.4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39082-2024</t>
        </is>
      </c>
      <c r="B4318" s="1" t="n">
        <v>45548</v>
      </c>
      <c r="C4318" s="1" t="n">
        <v>45627</v>
      </c>
      <c r="D4318" t="inlineStr">
        <is>
          <t>HALLANDS LÄN</t>
        </is>
      </c>
      <c r="E4318" t="inlineStr">
        <is>
          <t>FALKENBERG</t>
        </is>
      </c>
      <c r="G4318" t="n">
        <v>3.3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39099-2024</t>
        </is>
      </c>
      <c r="B4319" s="1" t="n">
        <v>45548</v>
      </c>
      <c r="C4319" s="1" t="n">
        <v>45627</v>
      </c>
      <c r="D4319" t="inlineStr">
        <is>
          <t>HALLANDS LÄN</t>
        </is>
      </c>
      <c r="E4319" t="inlineStr">
        <is>
          <t>HYLTE</t>
        </is>
      </c>
      <c r="G4319" t="n">
        <v>1.3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39107-2024</t>
        </is>
      </c>
      <c r="B4320" s="1" t="n">
        <v>45548</v>
      </c>
      <c r="C4320" s="1" t="n">
        <v>45627</v>
      </c>
      <c r="D4320" t="inlineStr">
        <is>
          <t>HALLANDS LÄN</t>
        </is>
      </c>
      <c r="E4320" t="inlineStr">
        <is>
          <t>HYLTE</t>
        </is>
      </c>
      <c r="G4320" t="n">
        <v>2.1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39438-2024</t>
        </is>
      </c>
      <c r="B4321" s="1" t="n">
        <v>45551</v>
      </c>
      <c r="C4321" s="1" t="n">
        <v>45627</v>
      </c>
      <c r="D4321" t="inlineStr">
        <is>
          <t>HALLANDS LÄN</t>
        </is>
      </c>
      <c r="E4321" t="inlineStr">
        <is>
          <t>HALMSTAD</t>
        </is>
      </c>
      <c r="G4321" t="n">
        <v>2.3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39391-2024</t>
        </is>
      </c>
      <c r="B4322" s="1" t="n">
        <v>45551</v>
      </c>
      <c r="C4322" s="1" t="n">
        <v>45627</v>
      </c>
      <c r="D4322" t="inlineStr">
        <is>
          <t>HALLANDS LÄN</t>
        </is>
      </c>
      <c r="E4322" t="inlineStr">
        <is>
          <t>VARBERG</t>
        </is>
      </c>
      <c r="G4322" t="n">
        <v>1.4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39570-2024</t>
        </is>
      </c>
      <c r="B4323" s="1" t="n">
        <v>45552</v>
      </c>
      <c r="C4323" s="1" t="n">
        <v>45627</v>
      </c>
      <c r="D4323" t="inlineStr">
        <is>
          <t>HALLANDS LÄN</t>
        </is>
      </c>
      <c r="E4323" t="inlineStr">
        <is>
          <t>FALKENBERG</t>
        </is>
      </c>
      <c r="G4323" t="n">
        <v>1.6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39641-2024</t>
        </is>
      </c>
      <c r="B4324" s="1" t="n">
        <v>45552</v>
      </c>
      <c r="C4324" s="1" t="n">
        <v>45627</v>
      </c>
      <c r="D4324" t="inlineStr">
        <is>
          <t>HALLANDS LÄN</t>
        </is>
      </c>
      <c r="E4324" t="inlineStr">
        <is>
          <t>VARBERG</t>
        </is>
      </c>
      <c r="G4324" t="n">
        <v>8.699999999999999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39573-2024</t>
        </is>
      </c>
      <c r="B4325" s="1" t="n">
        <v>45552</v>
      </c>
      <c r="C4325" s="1" t="n">
        <v>45627</v>
      </c>
      <c r="D4325" t="inlineStr">
        <is>
          <t>HALLANDS LÄN</t>
        </is>
      </c>
      <c r="E4325" t="inlineStr">
        <is>
          <t>FALKENBERG</t>
        </is>
      </c>
      <c r="G4325" t="n">
        <v>1.9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39715-2024</t>
        </is>
      </c>
      <c r="B4326" s="1" t="n">
        <v>45552</v>
      </c>
      <c r="C4326" s="1" t="n">
        <v>45627</v>
      </c>
      <c r="D4326" t="inlineStr">
        <is>
          <t>HALLANDS LÄN</t>
        </is>
      </c>
      <c r="E4326" t="inlineStr">
        <is>
          <t>FALKENBERG</t>
        </is>
      </c>
      <c r="G4326" t="n">
        <v>1.7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39716-2024</t>
        </is>
      </c>
      <c r="B4327" s="1" t="n">
        <v>45552</v>
      </c>
      <c r="C4327" s="1" t="n">
        <v>45627</v>
      </c>
      <c r="D4327" t="inlineStr">
        <is>
          <t>HALLANDS LÄN</t>
        </is>
      </c>
      <c r="E4327" t="inlineStr">
        <is>
          <t>FALKENBERG</t>
        </is>
      </c>
      <c r="G4327" t="n">
        <v>0.3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39594-2024</t>
        </is>
      </c>
      <c r="B4328" s="1" t="n">
        <v>45552</v>
      </c>
      <c r="C4328" s="1" t="n">
        <v>45627</v>
      </c>
      <c r="D4328" t="inlineStr">
        <is>
          <t>HALLANDS LÄN</t>
        </is>
      </c>
      <c r="E4328" t="inlineStr">
        <is>
          <t>FALKENBERG</t>
        </is>
      </c>
      <c r="G4328" t="n">
        <v>3.9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39784-2024</t>
        </is>
      </c>
      <c r="B4329" s="1" t="n">
        <v>45553</v>
      </c>
      <c r="C4329" s="1" t="n">
        <v>45627</v>
      </c>
      <c r="D4329" t="inlineStr">
        <is>
          <t>HALLANDS LÄN</t>
        </is>
      </c>
      <c r="E4329" t="inlineStr">
        <is>
          <t>HALMSTAD</t>
        </is>
      </c>
      <c r="G4329" t="n">
        <v>1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39930-2024</t>
        </is>
      </c>
      <c r="B4330" s="1" t="n">
        <v>45553</v>
      </c>
      <c r="C4330" s="1" t="n">
        <v>45627</v>
      </c>
      <c r="D4330" t="inlineStr">
        <is>
          <t>HALLANDS LÄN</t>
        </is>
      </c>
      <c r="E4330" t="inlineStr">
        <is>
          <t>LAHOLM</t>
        </is>
      </c>
      <c r="G4330" t="n">
        <v>0.9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40062-2024</t>
        </is>
      </c>
      <c r="B4331" s="1" t="n">
        <v>45554</v>
      </c>
      <c r="C4331" s="1" t="n">
        <v>45627</v>
      </c>
      <c r="D4331" t="inlineStr">
        <is>
          <t>HALLANDS LÄN</t>
        </is>
      </c>
      <c r="E4331" t="inlineStr">
        <is>
          <t>VARBERG</t>
        </is>
      </c>
      <c r="G4331" t="n">
        <v>1.8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40070-2024</t>
        </is>
      </c>
      <c r="B4332" s="1" t="n">
        <v>45554</v>
      </c>
      <c r="C4332" s="1" t="n">
        <v>45627</v>
      </c>
      <c r="D4332" t="inlineStr">
        <is>
          <t>HALLANDS LÄN</t>
        </is>
      </c>
      <c r="E4332" t="inlineStr">
        <is>
          <t>FALKENBERG</t>
        </is>
      </c>
      <c r="G4332" t="n">
        <v>4.7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40142-2024</t>
        </is>
      </c>
      <c r="B4333" s="1" t="n">
        <v>45554</v>
      </c>
      <c r="C4333" s="1" t="n">
        <v>45627</v>
      </c>
      <c r="D4333" t="inlineStr">
        <is>
          <t>HALLANDS LÄN</t>
        </is>
      </c>
      <c r="E4333" t="inlineStr">
        <is>
          <t>HALMSTAD</t>
        </is>
      </c>
      <c r="G4333" t="n">
        <v>16.1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40154-2024</t>
        </is>
      </c>
      <c r="B4334" s="1" t="n">
        <v>45554</v>
      </c>
      <c r="C4334" s="1" t="n">
        <v>45627</v>
      </c>
      <c r="D4334" t="inlineStr">
        <is>
          <t>HALLANDS LÄN</t>
        </is>
      </c>
      <c r="E4334" t="inlineStr">
        <is>
          <t>FALKENBERG</t>
        </is>
      </c>
      <c r="G4334" t="n">
        <v>1.3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40269-2024</t>
        </is>
      </c>
      <c r="B4335" s="1" t="n">
        <v>45554</v>
      </c>
      <c r="C4335" s="1" t="n">
        <v>45627</v>
      </c>
      <c r="D4335" t="inlineStr">
        <is>
          <t>HALLANDS LÄN</t>
        </is>
      </c>
      <c r="E4335" t="inlineStr">
        <is>
          <t>HYLTE</t>
        </is>
      </c>
      <c r="G4335" t="n">
        <v>2.1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40316-2024</t>
        </is>
      </c>
      <c r="B4336" s="1" t="n">
        <v>45554</v>
      </c>
      <c r="C4336" s="1" t="n">
        <v>45627</v>
      </c>
      <c r="D4336" t="inlineStr">
        <is>
          <t>HALLANDS LÄN</t>
        </is>
      </c>
      <c r="E4336" t="inlineStr">
        <is>
          <t>LAHOLM</t>
        </is>
      </c>
      <c r="G4336" t="n">
        <v>4.1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40465-2024</t>
        </is>
      </c>
      <c r="B4337" s="1" t="n">
        <v>45555</v>
      </c>
      <c r="C4337" s="1" t="n">
        <v>45627</v>
      </c>
      <c r="D4337" t="inlineStr">
        <is>
          <t>HALLANDS LÄN</t>
        </is>
      </c>
      <c r="E4337" t="inlineStr">
        <is>
          <t>LAHOLM</t>
        </is>
      </c>
      <c r="G4337" t="n">
        <v>1.9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40513-2024</t>
        </is>
      </c>
      <c r="B4338" s="1" t="n">
        <v>45555</v>
      </c>
      <c r="C4338" s="1" t="n">
        <v>45627</v>
      </c>
      <c r="D4338" t="inlineStr">
        <is>
          <t>HALLANDS LÄN</t>
        </is>
      </c>
      <c r="E4338" t="inlineStr">
        <is>
          <t>HALMSTAD</t>
        </is>
      </c>
      <c r="G4338" t="n">
        <v>2.7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40581-2024</t>
        </is>
      </c>
      <c r="B4339" s="1" t="n">
        <v>45555</v>
      </c>
      <c r="C4339" s="1" t="n">
        <v>45627</v>
      </c>
      <c r="D4339" t="inlineStr">
        <is>
          <t>HALLANDS LÄN</t>
        </is>
      </c>
      <c r="E4339" t="inlineStr">
        <is>
          <t>FALKENBERG</t>
        </is>
      </c>
      <c r="G4339" t="n">
        <v>1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40468-2024</t>
        </is>
      </c>
      <c r="B4340" s="1" t="n">
        <v>45555</v>
      </c>
      <c r="C4340" s="1" t="n">
        <v>45627</v>
      </c>
      <c r="D4340" t="inlineStr">
        <is>
          <t>HALLANDS LÄN</t>
        </is>
      </c>
      <c r="E4340" t="inlineStr">
        <is>
          <t>LAHOLM</t>
        </is>
      </c>
      <c r="G4340" t="n">
        <v>6.5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40580-2024</t>
        </is>
      </c>
      <c r="B4341" s="1" t="n">
        <v>45555</v>
      </c>
      <c r="C4341" s="1" t="n">
        <v>45627</v>
      </c>
      <c r="D4341" t="inlineStr">
        <is>
          <t>HALLANDS LÄN</t>
        </is>
      </c>
      <c r="E4341" t="inlineStr">
        <is>
          <t>FALKENBERG</t>
        </is>
      </c>
      <c r="G4341" t="n">
        <v>1.6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40418-2024</t>
        </is>
      </c>
      <c r="B4342" s="1" t="n">
        <v>45555</v>
      </c>
      <c r="C4342" s="1" t="n">
        <v>45627</v>
      </c>
      <c r="D4342" t="inlineStr">
        <is>
          <t>HALLANDS LÄN</t>
        </is>
      </c>
      <c r="E4342" t="inlineStr">
        <is>
          <t>HALMSTAD</t>
        </is>
      </c>
      <c r="G4342" t="n">
        <v>1.9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40578-2024</t>
        </is>
      </c>
      <c r="B4343" s="1" t="n">
        <v>45555</v>
      </c>
      <c r="C4343" s="1" t="n">
        <v>45627</v>
      </c>
      <c r="D4343" t="inlineStr">
        <is>
          <t>HALLANDS LÄN</t>
        </is>
      </c>
      <c r="E4343" t="inlineStr">
        <is>
          <t>FALKENBERG</t>
        </is>
      </c>
      <c r="G4343" t="n">
        <v>1.7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40467-2024</t>
        </is>
      </c>
      <c r="B4344" s="1" t="n">
        <v>45555</v>
      </c>
      <c r="C4344" s="1" t="n">
        <v>45627</v>
      </c>
      <c r="D4344" t="inlineStr">
        <is>
          <t>HALLANDS LÄN</t>
        </is>
      </c>
      <c r="E4344" t="inlineStr">
        <is>
          <t>LAHOLM</t>
        </is>
      </c>
      <c r="G4344" t="n">
        <v>4.8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40547-2024</t>
        </is>
      </c>
      <c r="B4345" s="1" t="n">
        <v>45555</v>
      </c>
      <c r="C4345" s="1" t="n">
        <v>45627</v>
      </c>
      <c r="D4345" t="inlineStr">
        <is>
          <t>HALLANDS LÄN</t>
        </is>
      </c>
      <c r="E4345" t="inlineStr">
        <is>
          <t>HYLTE</t>
        </is>
      </c>
      <c r="G4345" t="n">
        <v>2.7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40579-2024</t>
        </is>
      </c>
      <c r="B4346" s="1" t="n">
        <v>45555</v>
      </c>
      <c r="C4346" s="1" t="n">
        <v>45627</v>
      </c>
      <c r="D4346" t="inlineStr">
        <is>
          <t>HALLANDS LÄN</t>
        </is>
      </c>
      <c r="E4346" t="inlineStr">
        <is>
          <t>FALKENBERG</t>
        </is>
      </c>
      <c r="G4346" t="n">
        <v>1.5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40591-2024</t>
        </is>
      </c>
      <c r="B4347" s="1" t="n">
        <v>45555</v>
      </c>
      <c r="C4347" s="1" t="n">
        <v>45627</v>
      </c>
      <c r="D4347" t="inlineStr">
        <is>
          <t>HALLANDS LÄN</t>
        </is>
      </c>
      <c r="E4347" t="inlineStr">
        <is>
          <t>HYLTE</t>
        </is>
      </c>
      <c r="F4347" t="inlineStr">
        <is>
          <t>Bergvik skog väst AB</t>
        </is>
      </c>
      <c r="G4347" t="n">
        <v>10.2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40836-2024</t>
        </is>
      </c>
      <c r="B4348" s="1" t="n">
        <v>45558</v>
      </c>
      <c r="C4348" s="1" t="n">
        <v>45627</v>
      </c>
      <c r="D4348" t="inlineStr">
        <is>
          <t>HALLANDS LÄN</t>
        </is>
      </c>
      <c r="E4348" t="inlineStr">
        <is>
          <t>HYLTE</t>
        </is>
      </c>
      <c r="G4348" t="n">
        <v>2.6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41067-2024</t>
        </is>
      </c>
      <c r="B4349" s="1" t="n">
        <v>45558</v>
      </c>
      <c r="C4349" s="1" t="n">
        <v>45627</v>
      </c>
      <c r="D4349" t="inlineStr">
        <is>
          <t>HALLANDS LÄN</t>
        </is>
      </c>
      <c r="E4349" t="inlineStr">
        <is>
          <t>HYLTE</t>
        </is>
      </c>
      <c r="G4349" t="n">
        <v>2.7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41065-2024</t>
        </is>
      </c>
      <c r="B4350" s="1" t="n">
        <v>45558</v>
      </c>
      <c r="C4350" s="1" t="n">
        <v>45627</v>
      </c>
      <c r="D4350" t="inlineStr">
        <is>
          <t>HALLANDS LÄN</t>
        </is>
      </c>
      <c r="E4350" t="inlineStr">
        <is>
          <t>HYLTE</t>
        </is>
      </c>
      <c r="G4350" t="n">
        <v>1.1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41018-2024</t>
        </is>
      </c>
      <c r="B4351" s="1" t="n">
        <v>45559</v>
      </c>
      <c r="C4351" s="1" t="n">
        <v>45627</v>
      </c>
      <c r="D4351" t="inlineStr">
        <is>
          <t>HALLANDS LÄN</t>
        </is>
      </c>
      <c r="E4351" t="inlineStr">
        <is>
          <t>LAHOLM</t>
        </is>
      </c>
      <c r="G4351" t="n">
        <v>1.7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41174-2024</t>
        </is>
      </c>
      <c r="B4352" s="1" t="n">
        <v>45559</v>
      </c>
      <c r="C4352" s="1" t="n">
        <v>45627</v>
      </c>
      <c r="D4352" t="inlineStr">
        <is>
          <t>HALLANDS LÄN</t>
        </is>
      </c>
      <c r="E4352" t="inlineStr">
        <is>
          <t>HALMSTAD</t>
        </is>
      </c>
      <c r="G4352" t="n">
        <v>0.9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41186-2024</t>
        </is>
      </c>
      <c r="B4353" s="1" t="n">
        <v>45559</v>
      </c>
      <c r="C4353" s="1" t="n">
        <v>45627</v>
      </c>
      <c r="D4353" t="inlineStr">
        <is>
          <t>HALLANDS LÄN</t>
        </is>
      </c>
      <c r="E4353" t="inlineStr">
        <is>
          <t>HALMSTAD</t>
        </is>
      </c>
      <c r="G4353" t="n">
        <v>1.3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41264-2024</t>
        </is>
      </c>
      <c r="B4354" s="1" t="n">
        <v>45559</v>
      </c>
      <c r="C4354" s="1" t="n">
        <v>45627</v>
      </c>
      <c r="D4354" t="inlineStr">
        <is>
          <t>HALLANDS LÄN</t>
        </is>
      </c>
      <c r="E4354" t="inlineStr">
        <is>
          <t>LAHOLM</t>
        </is>
      </c>
      <c r="G4354" t="n">
        <v>0.7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41340-2024</t>
        </is>
      </c>
      <c r="B4355" s="1" t="n">
        <v>45559</v>
      </c>
      <c r="C4355" s="1" t="n">
        <v>45627</v>
      </c>
      <c r="D4355" t="inlineStr">
        <is>
          <t>HALLANDS LÄN</t>
        </is>
      </c>
      <c r="E4355" t="inlineStr">
        <is>
          <t>HYLTE</t>
        </is>
      </c>
      <c r="G4355" t="n">
        <v>1.3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41345-2024</t>
        </is>
      </c>
      <c r="B4356" s="1" t="n">
        <v>45559</v>
      </c>
      <c r="C4356" s="1" t="n">
        <v>45627</v>
      </c>
      <c r="D4356" t="inlineStr">
        <is>
          <t>HALLANDS LÄN</t>
        </is>
      </c>
      <c r="E4356" t="inlineStr">
        <is>
          <t>HYLTE</t>
        </is>
      </c>
      <c r="G4356" t="n">
        <v>1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41377-2024</t>
        </is>
      </c>
      <c r="B4357" s="1" t="n">
        <v>45560</v>
      </c>
      <c r="C4357" s="1" t="n">
        <v>45627</v>
      </c>
      <c r="D4357" t="inlineStr">
        <is>
          <t>HALLANDS LÄN</t>
        </is>
      </c>
      <c r="E4357" t="inlineStr">
        <is>
          <t>VARBERG</t>
        </is>
      </c>
      <c r="G4357" t="n">
        <v>9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41632-2024</t>
        </is>
      </c>
      <c r="B4358" s="1" t="n">
        <v>45560</v>
      </c>
      <c r="C4358" s="1" t="n">
        <v>45627</v>
      </c>
      <c r="D4358" t="inlineStr">
        <is>
          <t>HALLANDS LÄN</t>
        </is>
      </c>
      <c r="E4358" t="inlineStr">
        <is>
          <t>LAHOLM</t>
        </is>
      </c>
      <c r="G4358" t="n">
        <v>1.9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41508-2024</t>
        </is>
      </c>
      <c r="B4359" s="1" t="n">
        <v>45560</v>
      </c>
      <c r="C4359" s="1" t="n">
        <v>45627</v>
      </c>
      <c r="D4359" t="inlineStr">
        <is>
          <t>HALLANDS LÄN</t>
        </is>
      </c>
      <c r="E4359" t="inlineStr">
        <is>
          <t>KUNGSBACKA</t>
        </is>
      </c>
      <c r="G4359" t="n">
        <v>2.6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41503-2024</t>
        </is>
      </c>
      <c r="B4360" s="1" t="n">
        <v>45560</v>
      </c>
      <c r="C4360" s="1" t="n">
        <v>45627</v>
      </c>
      <c r="D4360" t="inlineStr">
        <is>
          <t>HALLANDS LÄN</t>
        </is>
      </c>
      <c r="E4360" t="inlineStr">
        <is>
          <t>HYLTE</t>
        </is>
      </c>
      <c r="G4360" t="n">
        <v>1.3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41702-2024</t>
        </is>
      </c>
      <c r="B4361" s="1" t="n">
        <v>45560</v>
      </c>
      <c r="C4361" s="1" t="n">
        <v>45627</v>
      </c>
      <c r="D4361" t="inlineStr">
        <is>
          <t>HALLANDS LÄN</t>
        </is>
      </c>
      <c r="E4361" t="inlineStr">
        <is>
          <t>FALKENBERG</t>
        </is>
      </c>
      <c r="G4361" t="n">
        <v>0.6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41696-2024</t>
        </is>
      </c>
      <c r="B4362" s="1" t="n">
        <v>45560</v>
      </c>
      <c r="C4362" s="1" t="n">
        <v>45627</v>
      </c>
      <c r="D4362" t="inlineStr">
        <is>
          <t>HALLANDS LÄN</t>
        </is>
      </c>
      <c r="E4362" t="inlineStr">
        <is>
          <t>FALKENBERG</t>
        </is>
      </c>
      <c r="G4362" t="n">
        <v>1.3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41769-2024</t>
        </is>
      </c>
      <c r="B4363" s="1" t="n">
        <v>45561</v>
      </c>
      <c r="C4363" s="1" t="n">
        <v>45627</v>
      </c>
      <c r="D4363" t="inlineStr">
        <is>
          <t>HALLANDS LÄN</t>
        </is>
      </c>
      <c r="E4363" t="inlineStr">
        <is>
          <t>VARBERG</t>
        </is>
      </c>
      <c r="G4363" t="n">
        <v>0.9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41777-2024</t>
        </is>
      </c>
      <c r="B4364" s="1" t="n">
        <v>45561</v>
      </c>
      <c r="C4364" s="1" t="n">
        <v>45627</v>
      </c>
      <c r="D4364" t="inlineStr">
        <is>
          <t>HALLANDS LÄN</t>
        </is>
      </c>
      <c r="E4364" t="inlineStr">
        <is>
          <t>HALMSTAD</t>
        </is>
      </c>
      <c r="G4364" t="n">
        <v>0.5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41786-2024</t>
        </is>
      </c>
      <c r="B4365" s="1" t="n">
        <v>45561</v>
      </c>
      <c r="C4365" s="1" t="n">
        <v>45627</v>
      </c>
      <c r="D4365" t="inlineStr">
        <is>
          <t>HALLANDS LÄN</t>
        </is>
      </c>
      <c r="E4365" t="inlineStr">
        <is>
          <t>HALMSTAD</t>
        </is>
      </c>
      <c r="G4365" t="n">
        <v>1.3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41798-2024</t>
        </is>
      </c>
      <c r="B4366" s="1" t="n">
        <v>45561</v>
      </c>
      <c r="C4366" s="1" t="n">
        <v>45627</v>
      </c>
      <c r="D4366" t="inlineStr">
        <is>
          <t>HALLANDS LÄN</t>
        </is>
      </c>
      <c r="E4366" t="inlineStr">
        <is>
          <t>FALKENBERG</t>
        </is>
      </c>
      <c r="G4366" t="n">
        <v>1.6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41802-2024</t>
        </is>
      </c>
      <c r="B4367" s="1" t="n">
        <v>45561</v>
      </c>
      <c r="C4367" s="1" t="n">
        <v>45627</v>
      </c>
      <c r="D4367" t="inlineStr">
        <is>
          <t>HALLANDS LÄN</t>
        </is>
      </c>
      <c r="E4367" t="inlineStr">
        <is>
          <t>FALKENBERG</t>
        </is>
      </c>
      <c r="G4367" t="n">
        <v>1.6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41855-2024</t>
        </is>
      </c>
      <c r="B4368" s="1" t="n">
        <v>45561</v>
      </c>
      <c r="C4368" s="1" t="n">
        <v>45627</v>
      </c>
      <c r="D4368" t="inlineStr">
        <is>
          <t>HALLANDS LÄN</t>
        </is>
      </c>
      <c r="E4368" t="inlineStr">
        <is>
          <t>KUNGSBACKA</t>
        </is>
      </c>
      <c r="G4368" t="n">
        <v>1.1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41778-2024</t>
        </is>
      </c>
      <c r="B4369" s="1" t="n">
        <v>45561</v>
      </c>
      <c r="C4369" s="1" t="n">
        <v>45627</v>
      </c>
      <c r="D4369" t="inlineStr">
        <is>
          <t>HALLANDS LÄN</t>
        </is>
      </c>
      <c r="E4369" t="inlineStr">
        <is>
          <t>HALMSTAD</t>
        </is>
      </c>
      <c r="G4369" t="n">
        <v>1.6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41791-2024</t>
        </is>
      </c>
      <c r="B4370" s="1" t="n">
        <v>45561</v>
      </c>
      <c r="C4370" s="1" t="n">
        <v>45627</v>
      </c>
      <c r="D4370" t="inlineStr">
        <is>
          <t>HALLANDS LÄN</t>
        </is>
      </c>
      <c r="E4370" t="inlineStr">
        <is>
          <t>VARBERG</t>
        </is>
      </c>
      <c r="G4370" t="n">
        <v>1.3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41836-2024</t>
        </is>
      </c>
      <c r="B4371" s="1" t="n">
        <v>45561</v>
      </c>
      <c r="C4371" s="1" t="n">
        <v>45627</v>
      </c>
      <c r="D4371" t="inlineStr">
        <is>
          <t>HALLANDS LÄN</t>
        </is>
      </c>
      <c r="E4371" t="inlineStr">
        <is>
          <t>HALMSTAD</t>
        </is>
      </c>
      <c r="G4371" t="n">
        <v>1.3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41888-2024</t>
        </is>
      </c>
      <c r="B4372" s="1" t="n">
        <v>45561</v>
      </c>
      <c r="C4372" s="1" t="n">
        <v>45627</v>
      </c>
      <c r="D4372" t="inlineStr">
        <is>
          <t>HALLANDS LÄN</t>
        </is>
      </c>
      <c r="E4372" t="inlineStr">
        <is>
          <t>FALKENBERG</t>
        </is>
      </c>
      <c r="G4372" t="n">
        <v>3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41892-2024</t>
        </is>
      </c>
      <c r="B4373" s="1" t="n">
        <v>45561</v>
      </c>
      <c r="C4373" s="1" t="n">
        <v>45627</v>
      </c>
      <c r="D4373" t="inlineStr">
        <is>
          <t>HALLANDS LÄN</t>
        </is>
      </c>
      <c r="E4373" t="inlineStr">
        <is>
          <t>HYLTE</t>
        </is>
      </c>
      <c r="G4373" t="n">
        <v>4.3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41891-2024</t>
        </is>
      </c>
      <c r="B4374" s="1" t="n">
        <v>45561</v>
      </c>
      <c r="C4374" s="1" t="n">
        <v>45627</v>
      </c>
      <c r="D4374" t="inlineStr">
        <is>
          <t>HALLANDS LÄN</t>
        </is>
      </c>
      <c r="E4374" t="inlineStr">
        <is>
          <t>FALKENBERG</t>
        </is>
      </c>
      <c r="G4374" t="n">
        <v>1.1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41820-2024</t>
        </is>
      </c>
      <c r="B4375" s="1" t="n">
        <v>45561</v>
      </c>
      <c r="C4375" s="1" t="n">
        <v>45627</v>
      </c>
      <c r="D4375" t="inlineStr">
        <is>
          <t>HALLANDS LÄN</t>
        </is>
      </c>
      <c r="E4375" t="inlineStr">
        <is>
          <t>HALMSTAD</t>
        </is>
      </c>
      <c r="G4375" t="n">
        <v>1.8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42034-2024</t>
        </is>
      </c>
      <c r="B4376" s="1" t="n">
        <v>45561</v>
      </c>
      <c r="C4376" s="1" t="n">
        <v>45627</v>
      </c>
      <c r="D4376" t="inlineStr">
        <is>
          <t>HALLANDS LÄN</t>
        </is>
      </c>
      <c r="E4376" t="inlineStr">
        <is>
          <t>FALKENBERG</t>
        </is>
      </c>
      <c r="G4376" t="n">
        <v>2.4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41889-2024</t>
        </is>
      </c>
      <c r="B4377" s="1" t="n">
        <v>45561</v>
      </c>
      <c r="C4377" s="1" t="n">
        <v>45627</v>
      </c>
      <c r="D4377" t="inlineStr">
        <is>
          <t>HALLANDS LÄN</t>
        </is>
      </c>
      <c r="E4377" t="inlineStr">
        <is>
          <t>HYLTE</t>
        </is>
      </c>
      <c r="G4377" t="n">
        <v>2.2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42047-2024</t>
        </is>
      </c>
      <c r="B4378" s="1" t="n">
        <v>45561</v>
      </c>
      <c r="C4378" s="1" t="n">
        <v>45627</v>
      </c>
      <c r="D4378" t="inlineStr">
        <is>
          <t>HALLANDS LÄN</t>
        </is>
      </c>
      <c r="E4378" t="inlineStr">
        <is>
          <t>VARBERG</t>
        </is>
      </c>
      <c r="G4378" t="n">
        <v>0.9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41911-2024</t>
        </is>
      </c>
      <c r="B4379" s="1" t="n">
        <v>45561</v>
      </c>
      <c r="C4379" s="1" t="n">
        <v>45627</v>
      </c>
      <c r="D4379" t="inlineStr">
        <is>
          <t>HALLANDS LÄN</t>
        </is>
      </c>
      <c r="E4379" t="inlineStr">
        <is>
          <t>HYLTE</t>
        </is>
      </c>
      <c r="G4379" t="n">
        <v>2.2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42074-2024</t>
        </is>
      </c>
      <c r="B4380" s="1" t="n">
        <v>45562</v>
      </c>
      <c r="C4380" s="1" t="n">
        <v>45627</v>
      </c>
      <c r="D4380" t="inlineStr">
        <is>
          <t>HALLANDS LÄN</t>
        </is>
      </c>
      <c r="E4380" t="inlineStr">
        <is>
          <t>FALKENBERG</t>
        </is>
      </c>
      <c r="G4380" t="n">
        <v>3.6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42201-2024</t>
        </is>
      </c>
      <c r="B4381" s="1" t="n">
        <v>45562</v>
      </c>
      <c r="C4381" s="1" t="n">
        <v>45627</v>
      </c>
      <c r="D4381" t="inlineStr">
        <is>
          <t>HALLANDS LÄN</t>
        </is>
      </c>
      <c r="E4381" t="inlineStr">
        <is>
          <t>HALMSTAD</t>
        </is>
      </c>
      <c r="G4381" t="n">
        <v>2.2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42205-2024</t>
        </is>
      </c>
      <c r="B4382" s="1" t="n">
        <v>45562</v>
      </c>
      <c r="C4382" s="1" t="n">
        <v>45627</v>
      </c>
      <c r="D4382" t="inlineStr">
        <is>
          <t>HALLANDS LÄN</t>
        </is>
      </c>
      <c r="E4382" t="inlineStr">
        <is>
          <t>HALMSTAD</t>
        </is>
      </c>
      <c r="G4382" t="n">
        <v>0.6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42190-2024</t>
        </is>
      </c>
      <c r="B4383" s="1" t="n">
        <v>45562</v>
      </c>
      <c r="C4383" s="1" t="n">
        <v>45627</v>
      </c>
      <c r="D4383" t="inlineStr">
        <is>
          <t>HALLANDS LÄN</t>
        </is>
      </c>
      <c r="E4383" t="inlineStr">
        <is>
          <t>HALMSTAD</t>
        </is>
      </c>
      <c r="G4383" t="n">
        <v>3.9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42312-2024</t>
        </is>
      </c>
      <c r="B4384" s="1" t="n">
        <v>45562</v>
      </c>
      <c r="C4384" s="1" t="n">
        <v>45627</v>
      </c>
      <c r="D4384" t="inlineStr">
        <is>
          <t>HALLANDS LÄN</t>
        </is>
      </c>
      <c r="E4384" t="inlineStr">
        <is>
          <t>LAHOLM</t>
        </is>
      </c>
      <c r="G4384" t="n">
        <v>0.9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42203-2024</t>
        </is>
      </c>
      <c r="B4385" s="1" t="n">
        <v>45562</v>
      </c>
      <c r="C4385" s="1" t="n">
        <v>45627</v>
      </c>
      <c r="D4385" t="inlineStr">
        <is>
          <t>HALLANDS LÄN</t>
        </is>
      </c>
      <c r="E4385" t="inlineStr">
        <is>
          <t>HALMSTAD</t>
        </is>
      </c>
      <c r="G4385" t="n">
        <v>1.9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42204-2024</t>
        </is>
      </c>
      <c r="B4386" s="1" t="n">
        <v>45562</v>
      </c>
      <c r="C4386" s="1" t="n">
        <v>45627</v>
      </c>
      <c r="D4386" t="inlineStr">
        <is>
          <t>HALLANDS LÄN</t>
        </is>
      </c>
      <c r="E4386" t="inlineStr">
        <is>
          <t>HALMSTAD</t>
        </is>
      </c>
      <c r="G4386" t="n">
        <v>1.5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42608-2024</t>
        </is>
      </c>
      <c r="B4387" s="1" t="n">
        <v>45565</v>
      </c>
      <c r="C4387" s="1" t="n">
        <v>45627</v>
      </c>
      <c r="D4387" t="inlineStr">
        <is>
          <t>HALLANDS LÄN</t>
        </is>
      </c>
      <c r="E4387" t="inlineStr">
        <is>
          <t>FALKENBERG</t>
        </is>
      </c>
      <c r="G4387" t="n">
        <v>2.6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42609-2024</t>
        </is>
      </c>
      <c r="B4388" s="1" t="n">
        <v>45565</v>
      </c>
      <c r="C4388" s="1" t="n">
        <v>45627</v>
      </c>
      <c r="D4388" t="inlineStr">
        <is>
          <t>HALLANDS LÄN</t>
        </is>
      </c>
      <c r="E4388" t="inlineStr">
        <is>
          <t>LAHOLM</t>
        </is>
      </c>
      <c r="G4388" t="n">
        <v>4.2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42551-2024</t>
        </is>
      </c>
      <c r="B4389" s="1" t="n">
        <v>45565</v>
      </c>
      <c r="C4389" s="1" t="n">
        <v>45627</v>
      </c>
      <c r="D4389" t="inlineStr">
        <is>
          <t>HALLANDS LÄN</t>
        </is>
      </c>
      <c r="E4389" t="inlineStr">
        <is>
          <t>FALKENBERG</t>
        </is>
      </c>
      <c r="G4389" t="n">
        <v>2.2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42793-2024</t>
        </is>
      </c>
      <c r="B4390" s="1" t="n">
        <v>45566</v>
      </c>
      <c r="C4390" s="1" t="n">
        <v>45627</v>
      </c>
      <c r="D4390" t="inlineStr">
        <is>
          <t>HALLANDS LÄN</t>
        </is>
      </c>
      <c r="E4390" t="inlineStr">
        <is>
          <t>HALMSTAD</t>
        </is>
      </c>
      <c r="G4390" t="n">
        <v>0.8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42798-2024</t>
        </is>
      </c>
      <c r="B4391" s="1" t="n">
        <v>45566</v>
      </c>
      <c r="C4391" s="1" t="n">
        <v>45627</v>
      </c>
      <c r="D4391" t="inlineStr">
        <is>
          <t>HALLANDS LÄN</t>
        </is>
      </c>
      <c r="E4391" t="inlineStr">
        <is>
          <t>FALKENBERG</t>
        </is>
      </c>
      <c r="G4391" t="n">
        <v>0.5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42714-2024</t>
        </is>
      </c>
      <c r="B4392" s="1" t="n">
        <v>45566</v>
      </c>
      <c r="C4392" s="1" t="n">
        <v>45627</v>
      </c>
      <c r="D4392" t="inlineStr">
        <is>
          <t>HALLANDS LÄN</t>
        </is>
      </c>
      <c r="E4392" t="inlineStr">
        <is>
          <t>HYLTE</t>
        </is>
      </c>
      <c r="G4392" t="n">
        <v>2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42799-2024</t>
        </is>
      </c>
      <c r="B4393" s="1" t="n">
        <v>45566</v>
      </c>
      <c r="C4393" s="1" t="n">
        <v>45627</v>
      </c>
      <c r="D4393" t="inlineStr">
        <is>
          <t>HALLANDS LÄN</t>
        </is>
      </c>
      <c r="E4393" t="inlineStr">
        <is>
          <t>FALKENBERG</t>
        </is>
      </c>
      <c r="G4393" t="n">
        <v>0.5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42655-2024</t>
        </is>
      </c>
      <c r="B4394" s="1" t="n">
        <v>45566</v>
      </c>
      <c r="C4394" s="1" t="n">
        <v>45627</v>
      </c>
      <c r="D4394" t="inlineStr">
        <is>
          <t>HALLANDS LÄN</t>
        </is>
      </c>
      <c r="E4394" t="inlineStr">
        <is>
          <t>FALKENBERG</t>
        </is>
      </c>
      <c r="G4394" t="n">
        <v>0.7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42661-2024</t>
        </is>
      </c>
      <c r="B4395" s="1" t="n">
        <v>45566</v>
      </c>
      <c r="C4395" s="1" t="n">
        <v>45627</v>
      </c>
      <c r="D4395" t="inlineStr">
        <is>
          <t>HALLANDS LÄN</t>
        </is>
      </c>
      <c r="E4395" t="inlineStr">
        <is>
          <t>FALKENBERG</t>
        </is>
      </c>
      <c r="G4395" t="n">
        <v>5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42658-2024</t>
        </is>
      </c>
      <c r="B4396" s="1" t="n">
        <v>45566</v>
      </c>
      <c r="C4396" s="1" t="n">
        <v>45627</v>
      </c>
      <c r="D4396" t="inlineStr">
        <is>
          <t>HALLANDS LÄN</t>
        </is>
      </c>
      <c r="E4396" t="inlineStr">
        <is>
          <t>FALKENBERG</t>
        </is>
      </c>
      <c r="G4396" t="n">
        <v>1.1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42654-2024</t>
        </is>
      </c>
      <c r="B4397" s="1" t="n">
        <v>45566</v>
      </c>
      <c r="C4397" s="1" t="n">
        <v>45627</v>
      </c>
      <c r="D4397" t="inlineStr">
        <is>
          <t>HALLANDS LÄN</t>
        </is>
      </c>
      <c r="E4397" t="inlineStr">
        <is>
          <t>FALKENBERG</t>
        </is>
      </c>
      <c r="G4397" t="n">
        <v>1.9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42656-2024</t>
        </is>
      </c>
      <c r="B4398" s="1" t="n">
        <v>45566</v>
      </c>
      <c r="C4398" s="1" t="n">
        <v>45627</v>
      </c>
      <c r="D4398" t="inlineStr">
        <is>
          <t>HALLANDS LÄN</t>
        </is>
      </c>
      <c r="E4398" t="inlineStr">
        <is>
          <t>FALKENBERG</t>
        </is>
      </c>
      <c r="G4398" t="n">
        <v>0.3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43032-2024</t>
        </is>
      </c>
      <c r="B4399" s="1" t="n">
        <v>45567</v>
      </c>
      <c r="C4399" s="1" t="n">
        <v>45627</v>
      </c>
      <c r="D4399" t="inlineStr">
        <is>
          <t>HALLANDS LÄN</t>
        </is>
      </c>
      <c r="E4399" t="inlineStr">
        <is>
          <t>HALMSTAD</t>
        </is>
      </c>
      <c r="G4399" t="n">
        <v>1.5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42917-2024</t>
        </is>
      </c>
      <c r="B4400" s="1" t="n">
        <v>45567</v>
      </c>
      <c r="C4400" s="1" t="n">
        <v>45627</v>
      </c>
      <c r="D4400" t="inlineStr">
        <is>
          <t>HALLANDS LÄN</t>
        </is>
      </c>
      <c r="E4400" t="inlineStr">
        <is>
          <t>VARBERG</t>
        </is>
      </c>
      <c r="G4400" t="n">
        <v>0.7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43399-2024</t>
        </is>
      </c>
      <c r="B4401" s="1" t="n">
        <v>45568</v>
      </c>
      <c r="C4401" s="1" t="n">
        <v>45627</v>
      </c>
      <c r="D4401" t="inlineStr">
        <is>
          <t>HALLANDS LÄN</t>
        </is>
      </c>
      <c r="E4401" t="inlineStr">
        <is>
          <t>HYLTE</t>
        </is>
      </c>
      <c r="G4401" t="n">
        <v>0.9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43450-2024</t>
        </is>
      </c>
      <c r="B4402" s="1" t="n">
        <v>45568</v>
      </c>
      <c r="C4402" s="1" t="n">
        <v>45627</v>
      </c>
      <c r="D4402" t="inlineStr">
        <is>
          <t>HALLANDS LÄN</t>
        </is>
      </c>
      <c r="E4402" t="inlineStr">
        <is>
          <t>HALMSTAD</t>
        </is>
      </c>
      <c r="G4402" t="n">
        <v>7.3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43402-2024</t>
        </is>
      </c>
      <c r="B4403" s="1" t="n">
        <v>45568</v>
      </c>
      <c r="C4403" s="1" t="n">
        <v>45627</v>
      </c>
      <c r="D4403" t="inlineStr">
        <is>
          <t>HALLANDS LÄN</t>
        </is>
      </c>
      <c r="E4403" t="inlineStr">
        <is>
          <t>HYLTE</t>
        </is>
      </c>
      <c r="G4403" t="n">
        <v>1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43261-2024</t>
        </is>
      </c>
      <c r="B4404" s="1" t="n">
        <v>45568</v>
      </c>
      <c r="C4404" s="1" t="n">
        <v>45627</v>
      </c>
      <c r="D4404" t="inlineStr">
        <is>
          <t>HALLANDS LÄN</t>
        </is>
      </c>
      <c r="E4404" t="inlineStr">
        <is>
          <t>HYLTE</t>
        </is>
      </c>
      <c r="G4404" t="n">
        <v>1.5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43397-2024</t>
        </is>
      </c>
      <c r="B4405" s="1" t="n">
        <v>45568</v>
      </c>
      <c r="C4405" s="1" t="n">
        <v>45627</v>
      </c>
      <c r="D4405" t="inlineStr">
        <is>
          <t>HALLANDS LÄN</t>
        </is>
      </c>
      <c r="E4405" t="inlineStr">
        <is>
          <t>HYLTE</t>
        </is>
      </c>
      <c r="G4405" t="n">
        <v>2.4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43552-2024</t>
        </is>
      </c>
      <c r="B4406" s="1" t="n">
        <v>45569</v>
      </c>
      <c r="C4406" s="1" t="n">
        <v>45627</v>
      </c>
      <c r="D4406" t="inlineStr">
        <is>
          <t>HALLANDS LÄN</t>
        </is>
      </c>
      <c r="E4406" t="inlineStr">
        <is>
          <t>FALKENBERG</t>
        </is>
      </c>
      <c r="G4406" t="n">
        <v>2.1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43556-2024</t>
        </is>
      </c>
      <c r="B4407" s="1" t="n">
        <v>45569</v>
      </c>
      <c r="C4407" s="1" t="n">
        <v>45627</v>
      </c>
      <c r="D4407" t="inlineStr">
        <is>
          <t>HALLANDS LÄN</t>
        </is>
      </c>
      <c r="E4407" t="inlineStr">
        <is>
          <t>FALKENBERG</t>
        </is>
      </c>
      <c r="G4407" t="n">
        <v>0.9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43871-2024</t>
        </is>
      </c>
      <c r="B4408" s="1" t="n">
        <v>45569</v>
      </c>
      <c r="C4408" s="1" t="n">
        <v>45627</v>
      </c>
      <c r="D4408" t="inlineStr">
        <is>
          <t>HALLANDS LÄN</t>
        </is>
      </c>
      <c r="E4408" t="inlineStr">
        <is>
          <t>HYLTE</t>
        </is>
      </c>
      <c r="G4408" t="n">
        <v>1.3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43836-2024</t>
        </is>
      </c>
      <c r="B4409" s="1" t="n">
        <v>45572</v>
      </c>
      <c r="C4409" s="1" t="n">
        <v>45627</v>
      </c>
      <c r="D4409" t="inlineStr">
        <is>
          <t>HALLANDS LÄN</t>
        </is>
      </c>
      <c r="E4409" t="inlineStr">
        <is>
          <t>HYLTE</t>
        </is>
      </c>
      <c r="G4409" t="n">
        <v>2.2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44131-2024</t>
        </is>
      </c>
      <c r="B4410" s="1" t="n">
        <v>45572</v>
      </c>
      <c r="C4410" s="1" t="n">
        <v>45627</v>
      </c>
      <c r="D4410" t="inlineStr">
        <is>
          <t>HALLANDS LÄN</t>
        </is>
      </c>
      <c r="E4410" t="inlineStr">
        <is>
          <t>HYLTE</t>
        </is>
      </c>
      <c r="G4410" t="n">
        <v>1.9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44022-2024</t>
        </is>
      </c>
      <c r="B4411" s="1" t="n">
        <v>45572</v>
      </c>
      <c r="C4411" s="1" t="n">
        <v>45627</v>
      </c>
      <c r="D4411" t="inlineStr">
        <is>
          <t>HALLANDS LÄN</t>
        </is>
      </c>
      <c r="E4411" t="inlineStr">
        <is>
          <t>VARBERG</t>
        </is>
      </c>
      <c r="G4411" t="n">
        <v>0.9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44318-2024</t>
        </is>
      </c>
      <c r="B4412" s="1" t="n">
        <v>45573</v>
      </c>
      <c r="C4412" s="1" t="n">
        <v>45627</v>
      </c>
      <c r="D4412" t="inlineStr">
        <is>
          <t>HALLANDS LÄN</t>
        </is>
      </c>
      <c r="E4412" t="inlineStr">
        <is>
          <t>HALMSTAD</t>
        </is>
      </c>
      <c r="G4412" t="n">
        <v>2.4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44619-2024</t>
        </is>
      </c>
      <c r="B4413" s="1" t="n">
        <v>45574</v>
      </c>
      <c r="C4413" s="1" t="n">
        <v>45627</v>
      </c>
      <c r="D4413" t="inlineStr">
        <is>
          <t>HALLANDS LÄN</t>
        </is>
      </c>
      <c r="E4413" t="inlineStr">
        <is>
          <t>VARBERG</t>
        </is>
      </c>
      <c r="G4413" t="n">
        <v>5.1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44581-2024</t>
        </is>
      </c>
      <c r="B4414" s="1" t="n">
        <v>45574</v>
      </c>
      <c r="C4414" s="1" t="n">
        <v>45627</v>
      </c>
      <c r="D4414" t="inlineStr">
        <is>
          <t>HALLANDS LÄN</t>
        </is>
      </c>
      <c r="E4414" t="inlineStr">
        <is>
          <t>HALMSTAD</t>
        </is>
      </c>
      <c r="G4414" t="n">
        <v>2.8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44655-2024</t>
        </is>
      </c>
      <c r="B4415" s="1" t="n">
        <v>45574</v>
      </c>
      <c r="C4415" s="1" t="n">
        <v>45627</v>
      </c>
      <c r="D4415" t="inlineStr">
        <is>
          <t>HALLANDS LÄN</t>
        </is>
      </c>
      <c r="E4415" t="inlineStr">
        <is>
          <t>LAHOLM</t>
        </is>
      </c>
      <c r="G4415" t="n">
        <v>1.4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44692-2024</t>
        </is>
      </c>
      <c r="B4416" s="1" t="n">
        <v>45574</v>
      </c>
      <c r="C4416" s="1" t="n">
        <v>45627</v>
      </c>
      <c r="D4416" t="inlineStr">
        <is>
          <t>HALLANDS LÄN</t>
        </is>
      </c>
      <c r="E4416" t="inlineStr">
        <is>
          <t>FALKENBERG</t>
        </is>
      </c>
      <c r="G4416" t="n">
        <v>0.7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44793-2024</t>
        </is>
      </c>
      <c r="B4417" s="1" t="n">
        <v>45574</v>
      </c>
      <c r="C4417" s="1" t="n">
        <v>45627</v>
      </c>
      <c r="D4417" t="inlineStr">
        <is>
          <t>HALLANDS LÄN</t>
        </is>
      </c>
      <c r="E4417" t="inlineStr">
        <is>
          <t>VARBERG</t>
        </is>
      </c>
      <c r="G4417" t="n">
        <v>1.1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44441-2024</t>
        </is>
      </c>
      <c r="B4418" s="1" t="n">
        <v>45574</v>
      </c>
      <c r="C4418" s="1" t="n">
        <v>45627</v>
      </c>
      <c r="D4418" t="inlineStr">
        <is>
          <t>HALLANDS LÄN</t>
        </is>
      </c>
      <c r="E4418" t="inlineStr">
        <is>
          <t>VARBERG</t>
        </is>
      </c>
      <c r="G4418" t="n">
        <v>2.1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44788-2024</t>
        </is>
      </c>
      <c r="B4419" s="1" t="n">
        <v>45574</v>
      </c>
      <c r="C4419" s="1" t="n">
        <v>45627</v>
      </c>
      <c r="D4419" t="inlineStr">
        <is>
          <t>HALLANDS LÄN</t>
        </is>
      </c>
      <c r="E4419" t="inlineStr">
        <is>
          <t>VARBERG</t>
        </is>
      </c>
      <c r="G4419" t="n">
        <v>1.7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44963-2024</t>
        </is>
      </c>
      <c r="B4420" s="1" t="n">
        <v>45575</v>
      </c>
      <c r="C4420" s="1" t="n">
        <v>45627</v>
      </c>
      <c r="D4420" t="inlineStr">
        <is>
          <t>HALLANDS LÄN</t>
        </is>
      </c>
      <c r="E4420" t="inlineStr">
        <is>
          <t>FALKENBERG</t>
        </is>
      </c>
      <c r="G4420" t="n">
        <v>0.6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45121-2024</t>
        </is>
      </c>
      <c r="B4421" s="1" t="n">
        <v>45575</v>
      </c>
      <c r="C4421" s="1" t="n">
        <v>45627</v>
      </c>
      <c r="D4421" t="inlineStr">
        <is>
          <t>HALLANDS LÄN</t>
        </is>
      </c>
      <c r="E4421" t="inlineStr">
        <is>
          <t>HALMSTAD</t>
        </is>
      </c>
      <c r="G4421" t="n">
        <v>1.7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44960-2024</t>
        </is>
      </c>
      <c r="B4422" s="1" t="n">
        <v>45575</v>
      </c>
      <c r="C4422" s="1" t="n">
        <v>45627</v>
      </c>
      <c r="D4422" t="inlineStr">
        <is>
          <t>HALLANDS LÄN</t>
        </is>
      </c>
      <c r="E4422" t="inlineStr">
        <is>
          <t>FALKENBERG</t>
        </is>
      </c>
      <c r="G4422" t="n">
        <v>1.5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44962-2024</t>
        </is>
      </c>
      <c r="B4423" s="1" t="n">
        <v>45575</v>
      </c>
      <c r="C4423" s="1" t="n">
        <v>45627</v>
      </c>
      <c r="D4423" t="inlineStr">
        <is>
          <t>HALLANDS LÄN</t>
        </is>
      </c>
      <c r="E4423" t="inlineStr">
        <is>
          <t>HALMSTAD</t>
        </is>
      </c>
      <c r="G4423" t="n">
        <v>1.6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44957-2024</t>
        </is>
      </c>
      <c r="B4424" s="1" t="n">
        <v>45575</v>
      </c>
      <c r="C4424" s="1" t="n">
        <v>45627</v>
      </c>
      <c r="D4424" t="inlineStr">
        <is>
          <t>HALLANDS LÄN</t>
        </is>
      </c>
      <c r="E4424" t="inlineStr">
        <is>
          <t>FALKENBERG</t>
        </is>
      </c>
      <c r="G4424" t="n">
        <v>0.9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45347-2024</t>
        </is>
      </c>
      <c r="B4425" s="1" t="n">
        <v>45576</v>
      </c>
      <c r="C4425" s="1" t="n">
        <v>45627</v>
      </c>
      <c r="D4425" t="inlineStr">
        <is>
          <t>HALLANDS LÄN</t>
        </is>
      </c>
      <c r="E4425" t="inlineStr">
        <is>
          <t>LAHOLM</t>
        </is>
      </c>
      <c r="G4425" t="n">
        <v>2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45284-2024</t>
        </is>
      </c>
      <c r="B4426" s="1" t="n">
        <v>45576</v>
      </c>
      <c r="C4426" s="1" t="n">
        <v>45627</v>
      </c>
      <c r="D4426" t="inlineStr">
        <is>
          <t>HALLANDS LÄN</t>
        </is>
      </c>
      <c r="E4426" t="inlineStr">
        <is>
          <t>KUNGSBACKA</t>
        </is>
      </c>
      <c r="G4426" t="n">
        <v>2.2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45337-2024</t>
        </is>
      </c>
      <c r="B4427" s="1" t="n">
        <v>45576</v>
      </c>
      <c r="C4427" s="1" t="n">
        <v>45627</v>
      </c>
      <c r="D4427" t="inlineStr">
        <is>
          <t>HALLANDS LÄN</t>
        </is>
      </c>
      <c r="E4427" t="inlineStr">
        <is>
          <t>LAHOLM</t>
        </is>
      </c>
      <c r="G4427" t="n">
        <v>1.7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45354-2024</t>
        </is>
      </c>
      <c r="B4428" s="1" t="n">
        <v>45576</v>
      </c>
      <c r="C4428" s="1" t="n">
        <v>45627</v>
      </c>
      <c r="D4428" t="inlineStr">
        <is>
          <t>HALLANDS LÄN</t>
        </is>
      </c>
      <c r="E4428" t="inlineStr">
        <is>
          <t>LAHOLM</t>
        </is>
      </c>
      <c r="G4428" t="n">
        <v>2.8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45346-2024</t>
        </is>
      </c>
      <c r="B4429" s="1" t="n">
        <v>45576</v>
      </c>
      <c r="C4429" s="1" t="n">
        <v>45627</v>
      </c>
      <c r="D4429" t="inlineStr">
        <is>
          <t>HALLANDS LÄN</t>
        </is>
      </c>
      <c r="E4429" t="inlineStr">
        <is>
          <t>LAHOLM</t>
        </is>
      </c>
      <c r="G4429" t="n">
        <v>1.5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45281-2024</t>
        </is>
      </c>
      <c r="B4430" s="1" t="n">
        <v>45576</v>
      </c>
      <c r="C4430" s="1" t="n">
        <v>45627</v>
      </c>
      <c r="D4430" t="inlineStr">
        <is>
          <t>HALLANDS LÄN</t>
        </is>
      </c>
      <c r="E4430" t="inlineStr">
        <is>
          <t>KUNGSBACKA</t>
        </is>
      </c>
      <c r="G4430" t="n">
        <v>5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45646-2024</t>
        </is>
      </c>
      <c r="B4431" s="1" t="n">
        <v>45579</v>
      </c>
      <c r="C4431" s="1" t="n">
        <v>45627</v>
      </c>
      <c r="D4431" t="inlineStr">
        <is>
          <t>HALLANDS LÄN</t>
        </is>
      </c>
      <c r="E4431" t="inlineStr">
        <is>
          <t>VARBERG</t>
        </is>
      </c>
      <c r="G4431" t="n">
        <v>1.6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45837-2024</t>
        </is>
      </c>
      <c r="B4432" s="1" t="n">
        <v>45579</v>
      </c>
      <c r="C4432" s="1" t="n">
        <v>45627</v>
      </c>
      <c r="D4432" t="inlineStr">
        <is>
          <t>HALLANDS LÄN</t>
        </is>
      </c>
      <c r="E4432" t="inlineStr">
        <is>
          <t>HALMSTAD</t>
        </is>
      </c>
      <c r="G4432" t="n">
        <v>1.1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45836-2024</t>
        </is>
      </c>
      <c r="B4433" s="1" t="n">
        <v>45580</v>
      </c>
      <c r="C4433" s="1" t="n">
        <v>45627</v>
      </c>
      <c r="D4433" t="inlineStr">
        <is>
          <t>HALLANDS LÄN</t>
        </is>
      </c>
      <c r="E4433" t="inlineStr">
        <is>
          <t>HALMSTAD</t>
        </is>
      </c>
      <c r="G4433" t="n">
        <v>0.9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45626-2024</t>
        </is>
      </c>
      <c r="B4434" s="1" t="n">
        <v>45579</v>
      </c>
      <c r="C4434" s="1" t="n">
        <v>45627</v>
      </c>
      <c r="D4434" t="inlineStr">
        <is>
          <t>HALLANDS LÄN</t>
        </is>
      </c>
      <c r="E4434" t="inlineStr">
        <is>
          <t>VARBERG</t>
        </is>
      </c>
      <c r="G4434" t="n">
        <v>1.7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45841-2024</t>
        </is>
      </c>
      <c r="B4435" s="1" t="n">
        <v>45580</v>
      </c>
      <c r="C4435" s="1" t="n">
        <v>45627</v>
      </c>
      <c r="D4435" t="inlineStr">
        <is>
          <t>HALLANDS LÄN</t>
        </is>
      </c>
      <c r="E4435" t="inlineStr">
        <is>
          <t>FALKENBERG</t>
        </is>
      </c>
      <c r="G4435" t="n">
        <v>1.9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45839-2024</t>
        </is>
      </c>
      <c r="B4436" s="1" t="n">
        <v>45580</v>
      </c>
      <c r="C4436" s="1" t="n">
        <v>45627</v>
      </c>
      <c r="D4436" t="inlineStr">
        <is>
          <t>HALLANDS LÄN</t>
        </is>
      </c>
      <c r="E4436" t="inlineStr">
        <is>
          <t>FALKENBERG</t>
        </is>
      </c>
      <c r="G4436" t="n">
        <v>7.4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45838-2024</t>
        </is>
      </c>
      <c r="B4437" s="1" t="n">
        <v>45580</v>
      </c>
      <c r="C4437" s="1" t="n">
        <v>45627</v>
      </c>
      <c r="D4437" t="inlineStr">
        <is>
          <t>HALLANDS LÄN</t>
        </is>
      </c>
      <c r="E4437" t="inlineStr">
        <is>
          <t>FALKENBERG</t>
        </is>
      </c>
      <c r="G4437" t="n">
        <v>0.8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45840-2024</t>
        </is>
      </c>
      <c r="B4438" s="1" t="n">
        <v>45580</v>
      </c>
      <c r="C4438" s="1" t="n">
        <v>45627</v>
      </c>
      <c r="D4438" t="inlineStr">
        <is>
          <t>HALLANDS LÄN</t>
        </is>
      </c>
      <c r="E4438" t="inlineStr">
        <is>
          <t>FALKENBERG</t>
        </is>
      </c>
      <c r="G4438" t="n">
        <v>4.5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45987-2024</t>
        </is>
      </c>
      <c r="B4439" s="1" t="n">
        <v>45580</v>
      </c>
      <c r="C4439" s="1" t="n">
        <v>45627</v>
      </c>
      <c r="D4439" t="inlineStr">
        <is>
          <t>HALLANDS LÄN</t>
        </is>
      </c>
      <c r="E4439" t="inlineStr">
        <is>
          <t>VARBERG</t>
        </is>
      </c>
      <c r="G4439" t="n">
        <v>4.1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45977-2024</t>
        </is>
      </c>
      <c r="B4440" s="1" t="n">
        <v>45580</v>
      </c>
      <c r="C4440" s="1" t="n">
        <v>45627</v>
      </c>
      <c r="D4440" t="inlineStr">
        <is>
          <t>HALLANDS LÄN</t>
        </is>
      </c>
      <c r="E4440" t="inlineStr">
        <is>
          <t>FALKENBERG</t>
        </is>
      </c>
      <c r="G4440" t="n">
        <v>0.9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45916-2024</t>
        </is>
      </c>
      <c r="B4441" s="1" t="n">
        <v>45580</v>
      </c>
      <c r="C4441" s="1" t="n">
        <v>45627</v>
      </c>
      <c r="D4441" t="inlineStr">
        <is>
          <t>HALLANDS LÄN</t>
        </is>
      </c>
      <c r="E4441" t="inlineStr">
        <is>
          <t>HYLTE</t>
        </is>
      </c>
      <c r="G4441" t="n">
        <v>1.2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45960-2024</t>
        </is>
      </c>
      <c r="B4442" s="1" t="n">
        <v>45580</v>
      </c>
      <c r="C4442" s="1" t="n">
        <v>45627</v>
      </c>
      <c r="D4442" t="inlineStr">
        <is>
          <t>HALLANDS LÄN</t>
        </is>
      </c>
      <c r="E4442" t="inlineStr">
        <is>
          <t>VARBERG</t>
        </is>
      </c>
      <c r="G4442" t="n">
        <v>3.2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45984-2024</t>
        </is>
      </c>
      <c r="B4443" s="1" t="n">
        <v>45580</v>
      </c>
      <c r="C4443" s="1" t="n">
        <v>45627</v>
      </c>
      <c r="D4443" t="inlineStr">
        <is>
          <t>HALLANDS LÄN</t>
        </is>
      </c>
      <c r="E4443" t="inlineStr">
        <is>
          <t>VARBERG</t>
        </is>
      </c>
      <c r="G4443" t="n">
        <v>3.1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45999-2024</t>
        </is>
      </c>
      <c r="B4444" s="1" t="n">
        <v>45580</v>
      </c>
      <c r="C4444" s="1" t="n">
        <v>45627</v>
      </c>
      <c r="D4444" t="inlineStr">
        <is>
          <t>HALLANDS LÄN</t>
        </is>
      </c>
      <c r="E4444" t="inlineStr">
        <is>
          <t>HYLTE</t>
        </is>
      </c>
      <c r="G4444" t="n">
        <v>0.2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46063-2024</t>
        </is>
      </c>
      <c r="B4445" s="1" t="n">
        <v>45581</v>
      </c>
      <c r="C4445" s="1" t="n">
        <v>45627</v>
      </c>
      <c r="D4445" t="inlineStr">
        <is>
          <t>HALLANDS LÄN</t>
        </is>
      </c>
      <c r="E4445" t="inlineStr">
        <is>
          <t>FALKENBERG</t>
        </is>
      </c>
      <c r="G4445" t="n">
        <v>1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46161-2024</t>
        </is>
      </c>
      <c r="B4446" s="1" t="n">
        <v>45581</v>
      </c>
      <c r="C4446" s="1" t="n">
        <v>45627</v>
      </c>
      <c r="D4446" t="inlineStr">
        <is>
          <t>HALLANDS LÄN</t>
        </is>
      </c>
      <c r="E4446" t="inlineStr">
        <is>
          <t>LAHOLM</t>
        </is>
      </c>
      <c r="G4446" t="n">
        <v>1.1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46251-2024</t>
        </is>
      </c>
      <c r="B4447" s="1" t="n">
        <v>45581</v>
      </c>
      <c r="C4447" s="1" t="n">
        <v>45627</v>
      </c>
      <c r="D4447" t="inlineStr">
        <is>
          <t>HALLANDS LÄN</t>
        </is>
      </c>
      <c r="E4447" t="inlineStr">
        <is>
          <t>KUNGSBACKA</t>
        </is>
      </c>
      <c r="G4447" t="n">
        <v>2.3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46081-2024</t>
        </is>
      </c>
      <c r="B4448" s="1" t="n">
        <v>45581</v>
      </c>
      <c r="C4448" s="1" t="n">
        <v>45627</v>
      </c>
      <c r="D4448" t="inlineStr">
        <is>
          <t>HALLANDS LÄN</t>
        </is>
      </c>
      <c r="E4448" t="inlineStr">
        <is>
          <t>VARBERG</t>
        </is>
      </c>
      <c r="G4448" t="n">
        <v>0.8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46164-2024</t>
        </is>
      </c>
      <c r="B4449" s="1" t="n">
        <v>45581</v>
      </c>
      <c r="C4449" s="1" t="n">
        <v>45627</v>
      </c>
      <c r="D4449" t="inlineStr">
        <is>
          <t>HALLANDS LÄN</t>
        </is>
      </c>
      <c r="E4449" t="inlineStr">
        <is>
          <t>LAHOLM</t>
        </is>
      </c>
      <c r="G4449" t="n">
        <v>0.4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46269-2024</t>
        </is>
      </c>
      <c r="B4450" s="1" t="n">
        <v>45581</v>
      </c>
      <c r="C4450" s="1" t="n">
        <v>45627</v>
      </c>
      <c r="D4450" t="inlineStr">
        <is>
          <t>HALLANDS LÄN</t>
        </is>
      </c>
      <c r="E4450" t="inlineStr">
        <is>
          <t>HYLTE</t>
        </is>
      </c>
      <c r="G4450" t="n">
        <v>1.3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46316-2024</t>
        </is>
      </c>
      <c r="B4451" s="1" t="n">
        <v>45581</v>
      </c>
      <c r="C4451" s="1" t="n">
        <v>45627</v>
      </c>
      <c r="D4451" t="inlineStr">
        <is>
          <t>HALLANDS LÄN</t>
        </is>
      </c>
      <c r="E4451" t="inlineStr">
        <is>
          <t>HALMSTAD</t>
        </is>
      </c>
      <c r="G4451" t="n">
        <v>6.3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46263-2024</t>
        </is>
      </c>
      <c r="B4452" s="1" t="n">
        <v>45581</v>
      </c>
      <c r="C4452" s="1" t="n">
        <v>45627</v>
      </c>
      <c r="D4452" t="inlineStr">
        <is>
          <t>HALLANDS LÄN</t>
        </is>
      </c>
      <c r="E4452" t="inlineStr">
        <is>
          <t>KUNGSBACKA</t>
        </is>
      </c>
      <c r="G4452" t="n">
        <v>0.6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46295-2024</t>
        </is>
      </c>
      <c r="B4453" s="1" t="n">
        <v>45581</v>
      </c>
      <c r="C4453" s="1" t="n">
        <v>45627</v>
      </c>
      <c r="D4453" t="inlineStr">
        <is>
          <t>HALLANDS LÄN</t>
        </is>
      </c>
      <c r="E4453" t="inlineStr">
        <is>
          <t>HALMSTAD</t>
        </is>
      </c>
      <c r="G4453" t="n">
        <v>5.2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46522-2024</t>
        </is>
      </c>
      <c r="B4454" s="1" t="n">
        <v>45582</v>
      </c>
      <c r="C4454" s="1" t="n">
        <v>45627</v>
      </c>
      <c r="D4454" t="inlineStr">
        <is>
          <t>HALLANDS LÄN</t>
        </is>
      </c>
      <c r="E4454" t="inlineStr">
        <is>
          <t>FALKENBERG</t>
        </is>
      </c>
      <c r="G4454" t="n">
        <v>1.5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46409-2024</t>
        </is>
      </c>
      <c r="B4455" s="1" t="n">
        <v>45582</v>
      </c>
      <c r="C4455" s="1" t="n">
        <v>45627</v>
      </c>
      <c r="D4455" t="inlineStr">
        <is>
          <t>HALLANDS LÄN</t>
        </is>
      </c>
      <c r="E4455" t="inlineStr">
        <is>
          <t>HYLTE</t>
        </is>
      </c>
      <c r="G4455" t="n">
        <v>7.9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46564-2024</t>
        </is>
      </c>
      <c r="B4456" s="1" t="n">
        <v>45582</v>
      </c>
      <c r="C4456" s="1" t="n">
        <v>45627</v>
      </c>
      <c r="D4456" t="inlineStr">
        <is>
          <t>HALLANDS LÄN</t>
        </is>
      </c>
      <c r="E4456" t="inlineStr">
        <is>
          <t>LAHOLM</t>
        </is>
      </c>
      <c r="G4456" t="n">
        <v>0.8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46572-2024</t>
        </is>
      </c>
      <c r="B4457" s="1" t="n">
        <v>45582</v>
      </c>
      <c r="C4457" s="1" t="n">
        <v>45627</v>
      </c>
      <c r="D4457" t="inlineStr">
        <is>
          <t>HALLANDS LÄN</t>
        </is>
      </c>
      <c r="E4457" t="inlineStr">
        <is>
          <t>LAHOLM</t>
        </is>
      </c>
      <c r="G4457" t="n">
        <v>1.9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46431-2024</t>
        </is>
      </c>
      <c r="B4458" s="1" t="n">
        <v>45582</v>
      </c>
      <c r="C4458" s="1" t="n">
        <v>45627</v>
      </c>
      <c r="D4458" t="inlineStr">
        <is>
          <t>HALLANDS LÄN</t>
        </is>
      </c>
      <c r="E4458" t="inlineStr">
        <is>
          <t>HALMSTAD</t>
        </is>
      </c>
      <c r="G4458" t="n">
        <v>3.4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46566-2024</t>
        </is>
      </c>
      <c r="B4459" s="1" t="n">
        <v>45582</v>
      </c>
      <c r="C4459" s="1" t="n">
        <v>45627</v>
      </c>
      <c r="D4459" t="inlineStr">
        <is>
          <t>HALLANDS LÄN</t>
        </is>
      </c>
      <c r="E4459" t="inlineStr">
        <is>
          <t>LAHOLM</t>
        </is>
      </c>
      <c r="G4459" t="n">
        <v>1.3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46578-2024</t>
        </is>
      </c>
      <c r="B4460" s="1" t="n">
        <v>45582</v>
      </c>
      <c r="C4460" s="1" t="n">
        <v>45627</v>
      </c>
      <c r="D4460" t="inlineStr">
        <is>
          <t>HALLANDS LÄN</t>
        </is>
      </c>
      <c r="E4460" t="inlineStr">
        <is>
          <t>VARBERG</t>
        </is>
      </c>
      <c r="G4460" t="n">
        <v>1.5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46567-2024</t>
        </is>
      </c>
      <c r="B4461" s="1" t="n">
        <v>45582</v>
      </c>
      <c r="C4461" s="1" t="n">
        <v>45627</v>
      </c>
      <c r="D4461" t="inlineStr">
        <is>
          <t>HALLANDS LÄN</t>
        </is>
      </c>
      <c r="E4461" t="inlineStr">
        <is>
          <t>LAHOLM</t>
        </is>
      </c>
      <c r="G4461" t="n">
        <v>1.3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46571-2024</t>
        </is>
      </c>
      <c r="B4462" s="1" t="n">
        <v>45582</v>
      </c>
      <c r="C4462" s="1" t="n">
        <v>45627</v>
      </c>
      <c r="D4462" t="inlineStr">
        <is>
          <t>HALLANDS LÄN</t>
        </is>
      </c>
      <c r="E4462" t="inlineStr">
        <is>
          <t>LAHOLM</t>
        </is>
      </c>
      <c r="G4462" t="n">
        <v>0.8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46403-2024</t>
        </is>
      </c>
      <c r="B4463" s="1" t="n">
        <v>45582</v>
      </c>
      <c r="C4463" s="1" t="n">
        <v>45627</v>
      </c>
      <c r="D4463" t="inlineStr">
        <is>
          <t>HALLANDS LÄN</t>
        </is>
      </c>
      <c r="E4463" t="inlineStr">
        <is>
          <t>FALKENBERG</t>
        </is>
      </c>
      <c r="G4463" t="n">
        <v>2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46437-2024</t>
        </is>
      </c>
      <c r="B4464" s="1" t="n">
        <v>45582</v>
      </c>
      <c r="C4464" s="1" t="n">
        <v>45627</v>
      </c>
      <c r="D4464" t="inlineStr">
        <is>
          <t>HALLANDS LÄN</t>
        </is>
      </c>
      <c r="E4464" t="inlineStr">
        <is>
          <t>HALMSTAD</t>
        </is>
      </c>
      <c r="G4464" t="n">
        <v>0.8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46441-2024</t>
        </is>
      </c>
      <c r="B4465" s="1" t="n">
        <v>45582</v>
      </c>
      <c r="C4465" s="1" t="n">
        <v>45627</v>
      </c>
      <c r="D4465" t="inlineStr">
        <is>
          <t>HALLANDS LÄN</t>
        </is>
      </c>
      <c r="E4465" t="inlineStr">
        <is>
          <t>FALKENBERG</t>
        </is>
      </c>
      <c r="G4465" t="n">
        <v>1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46569-2024</t>
        </is>
      </c>
      <c r="B4466" s="1" t="n">
        <v>45582</v>
      </c>
      <c r="C4466" s="1" t="n">
        <v>45627</v>
      </c>
      <c r="D4466" t="inlineStr">
        <is>
          <t>HALLANDS LÄN</t>
        </is>
      </c>
      <c r="E4466" t="inlineStr">
        <is>
          <t>LAHOLM</t>
        </is>
      </c>
      <c r="G4466" t="n">
        <v>0.4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46581-2024</t>
        </is>
      </c>
      <c r="B4467" s="1" t="n">
        <v>45582</v>
      </c>
      <c r="C4467" s="1" t="n">
        <v>45627</v>
      </c>
      <c r="D4467" t="inlineStr">
        <is>
          <t>HALLANDS LÄN</t>
        </is>
      </c>
      <c r="E4467" t="inlineStr">
        <is>
          <t>VARBERG</t>
        </is>
      </c>
      <c r="G4467" t="n">
        <v>2.6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46782-2024</t>
        </is>
      </c>
      <c r="B4468" s="1" t="n">
        <v>45583</v>
      </c>
      <c r="C4468" s="1" t="n">
        <v>45627</v>
      </c>
      <c r="D4468" t="inlineStr">
        <is>
          <t>HALLANDS LÄN</t>
        </is>
      </c>
      <c r="E4468" t="inlineStr">
        <is>
          <t>VARBERG</t>
        </is>
      </c>
      <c r="G4468" t="n">
        <v>10.9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46754-2024</t>
        </is>
      </c>
      <c r="B4469" s="1" t="n">
        <v>45583</v>
      </c>
      <c r="C4469" s="1" t="n">
        <v>45627</v>
      </c>
      <c r="D4469" t="inlineStr">
        <is>
          <t>HALLANDS LÄN</t>
        </is>
      </c>
      <c r="E4469" t="inlineStr">
        <is>
          <t>HALMSTAD</t>
        </is>
      </c>
      <c r="G4469" t="n">
        <v>3.1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47074-2024</t>
        </is>
      </c>
      <c r="B4470" s="1" t="n">
        <v>45586</v>
      </c>
      <c r="C4470" s="1" t="n">
        <v>45627</v>
      </c>
      <c r="D4470" t="inlineStr">
        <is>
          <t>HALLANDS LÄN</t>
        </is>
      </c>
      <c r="E4470" t="inlineStr">
        <is>
          <t>HALMSTAD</t>
        </is>
      </c>
      <c r="G4470" t="n">
        <v>0.9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47458-2024</t>
        </is>
      </c>
      <c r="B4471" s="1" t="n">
        <v>45587</v>
      </c>
      <c r="C4471" s="1" t="n">
        <v>45627</v>
      </c>
      <c r="D4471" t="inlineStr">
        <is>
          <t>HALLANDS LÄN</t>
        </is>
      </c>
      <c r="E4471" t="inlineStr">
        <is>
          <t>HYLTE</t>
        </is>
      </c>
      <c r="G4471" t="n">
        <v>0.8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47321-2024</t>
        </is>
      </c>
      <c r="B4472" s="1" t="n">
        <v>45587</v>
      </c>
      <c r="C4472" s="1" t="n">
        <v>45627</v>
      </c>
      <c r="D4472" t="inlineStr">
        <is>
          <t>HALLANDS LÄN</t>
        </is>
      </c>
      <c r="E4472" t="inlineStr">
        <is>
          <t>KUNGSBACKA</t>
        </is>
      </c>
      <c r="G4472" t="n">
        <v>9.699999999999999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47589-2024</t>
        </is>
      </c>
      <c r="B4473" s="1" t="n">
        <v>45587</v>
      </c>
      <c r="C4473" s="1" t="n">
        <v>45627</v>
      </c>
      <c r="D4473" t="inlineStr">
        <is>
          <t>HALLANDS LÄN</t>
        </is>
      </c>
      <c r="E4473" t="inlineStr">
        <is>
          <t>LAHOLM</t>
        </is>
      </c>
      <c r="G4473" t="n">
        <v>1.4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47586-2024</t>
        </is>
      </c>
      <c r="B4474" s="1" t="n">
        <v>45587</v>
      </c>
      <c r="C4474" s="1" t="n">
        <v>45627</v>
      </c>
      <c r="D4474" t="inlineStr">
        <is>
          <t>HALLANDS LÄN</t>
        </is>
      </c>
      <c r="E4474" t="inlineStr">
        <is>
          <t>LAHOLM</t>
        </is>
      </c>
      <c r="G4474" t="n">
        <v>1.5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47587-2024</t>
        </is>
      </c>
      <c r="B4475" s="1" t="n">
        <v>45587</v>
      </c>
      <c r="C4475" s="1" t="n">
        <v>45627</v>
      </c>
      <c r="D4475" t="inlineStr">
        <is>
          <t>HALLANDS LÄN</t>
        </is>
      </c>
      <c r="E4475" t="inlineStr">
        <is>
          <t>LAHOLM</t>
        </is>
      </c>
      <c r="G4475" t="n">
        <v>0.6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47588-2024</t>
        </is>
      </c>
      <c r="B4476" s="1" t="n">
        <v>45587</v>
      </c>
      <c r="C4476" s="1" t="n">
        <v>45627</v>
      </c>
      <c r="D4476" t="inlineStr">
        <is>
          <t>HALLANDS LÄN</t>
        </is>
      </c>
      <c r="E4476" t="inlineStr">
        <is>
          <t>LAHOLM</t>
        </is>
      </c>
      <c r="G4476" t="n">
        <v>0.7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47731-2024</t>
        </is>
      </c>
      <c r="B4477" s="1" t="n">
        <v>45588</v>
      </c>
      <c r="C4477" s="1" t="n">
        <v>45627</v>
      </c>
      <c r="D4477" t="inlineStr">
        <is>
          <t>HALLANDS LÄN</t>
        </is>
      </c>
      <c r="E4477" t="inlineStr">
        <is>
          <t>FALKENBERG</t>
        </is>
      </c>
      <c r="F4477" t="inlineStr">
        <is>
          <t>Naturvårdsverket</t>
        </is>
      </c>
      <c r="G4477" t="n">
        <v>0.7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47813-2024</t>
        </is>
      </c>
      <c r="B4478" s="1" t="n">
        <v>45588</v>
      </c>
      <c r="C4478" s="1" t="n">
        <v>45627</v>
      </c>
      <c r="D4478" t="inlineStr">
        <is>
          <t>HALLANDS LÄN</t>
        </is>
      </c>
      <c r="E4478" t="inlineStr">
        <is>
          <t>HALMSTAD</t>
        </is>
      </c>
      <c r="G4478" t="n">
        <v>0.4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47772-2024</t>
        </is>
      </c>
      <c r="B4479" s="1" t="n">
        <v>45588</v>
      </c>
      <c r="C4479" s="1" t="n">
        <v>45627</v>
      </c>
      <c r="D4479" t="inlineStr">
        <is>
          <t>HALLANDS LÄN</t>
        </is>
      </c>
      <c r="E4479" t="inlineStr">
        <is>
          <t>HYLTE</t>
        </is>
      </c>
      <c r="F4479" t="inlineStr">
        <is>
          <t>Kyrkan</t>
        </is>
      </c>
      <c r="G4479" t="n">
        <v>4.7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47698-2024</t>
        </is>
      </c>
      <c r="B4480" s="1" t="n">
        <v>45588</v>
      </c>
      <c r="C4480" s="1" t="n">
        <v>45627</v>
      </c>
      <c r="D4480" t="inlineStr">
        <is>
          <t>HALLANDS LÄN</t>
        </is>
      </c>
      <c r="E4480" t="inlineStr">
        <is>
          <t>FALKENBERG</t>
        </is>
      </c>
      <c r="G4480" t="n">
        <v>0.8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47910-2024</t>
        </is>
      </c>
      <c r="B4481" s="1" t="n">
        <v>45589</v>
      </c>
      <c r="C4481" s="1" t="n">
        <v>45627</v>
      </c>
      <c r="D4481" t="inlineStr">
        <is>
          <t>HALLANDS LÄN</t>
        </is>
      </c>
      <c r="E4481" t="inlineStr">
        <is>
          <t>HYLTE</t>
        </is>
      </c>
      <c r="G4481" t="n">
        <v>0.6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47938-2024</t>
        </is>
      </c>
      <c r="B4482" s="1" t="n">
        <v>45589</v>
      </c>
      <c r="C4482" s="1" t="n">
        <v>45627</v>
      </c>
      <c r="D4482" t="inlineStr">
        <is>
          <t>HALLANDS LÄN</t>
        </is>
      </c>
      <c r="E4482" t="inlineStr">
        <is>
          <t>LAHOLM</t>
        </is>
      </c>
      <c r="G4482" t="n">
        <v>0.7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47983-2024</t>
        </is>
      </c>
      <c r="B4483" s="1" t="n">
        <v>45589</v>
      </c>
      <c r="C4483" s="1" t="n">
        <v>45627</v>
      </c>
      <c r="D4483" t="inlineStr">
        <is>
          <t>HALLANDS LÄN</t>
        </is>
      </c>
      <c r="E4483" t="inlineStr">
        <is>
          <t>HYLTE</t>
        </is>
      </c>
      <c r="F4483" t="inlineStr">
        <is>
          <t>Kyrkan</t>
        </is>
      </c>
      <c r="G4483" t="n">
        <v>1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48015-2024</t>
        </is>
      </c>
      <c r="B4484" s="1" t="n">
        <v>45589</v>
      </c>
      <c r="C4484" s="1" t="n">
        <v>45627</v>
      </c>
      <c r="D4484" t="inlineStr">
        <is>
          <t>HALLANDS LÄN</t>
        </is>
      </c>
      <c r="E4484" t="inlineStr">
        <is>
          <t>HALMSTAD</t>
        </is>
      </c>
      <c r="G4484" t="n">
        <v>7.3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48022-2024</t>
        </is>
      </c>
      <c r="B4485" s="1" t="n">
        <v>45589</v>
      </c>
      <c r="C4485" s="1" t="n">
        <v>45627</v>
      </c>
      <c r="D4485" t="inlineStr">
        <is>
          <t>HALLANDS LÄN</t>
        </is>
      </c>
      <c r="E4485" t="inlineStr">
        <is>
          <t>HALMSTAD</t>
        </is>
      </c>
      <c r="G4485" t="n">
        <v>3.3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47998-2024</t>
        </is>
      </c>
      <c r="B4486" s="1" t="n">
        <v>45589</v>
      </c>
      <c r="C4486" s="1" t="n">
        <v>45627</v>
      </c>
      <c r="D4486" t="inlineStr">
        <is>
          <t>HALLANDS LÄN</t>
        </is>
      </c>
      <c r="E4486" t="inlineStr">
        <is>
          <t>HYLTE</t>
        </is>
      </c>
      <c r="G4486" t="n">
        <v>2.3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48065-2024</t>
        </is>
      </c>
      <c r="B4487" s="1" t="n">
        <v>45589</v>
      </c>
      <c r="C4487" s="1" t="n">
        <v>45627</v>
      </c>
      <c r="D4487" t="inlineStr">
        <is>
          <t>HALLANDS LÄN</t>
        </is>
      </c>
      <c r="E4487" t="inlineStr">
        <is>
          <t>VARBERG</t>
        </is>
      </c>
      <c r="G4487" t="n">
        <v>1.9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47953-2024</t>
        </is>
      </c>
      <c r="B4488" s="1" t="n">
        <v>45589</v>
      </c>
      <c r="C4488" s="1" t="n">
        <v>45627</v>
      </c>
      <c r="D4488" t="inlineStr">
        <is>
          <t>HALLANDS LÄN</t>
        </is>
      </c>
      <c r="E4488" t="inlineStr">
        <is>
          <t>LAHOLM</t>
        </is>
      </c>
      <c r="G4488" t="n">
        <v>2.8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47904-2024</t>
        </is>
      </c>
      <c r="B4489" s="1" t="n">
        <v>45589</v>
      </c>
      <c r="C4489" s="1" t="n">
        <v>45627</v>
      </c>
      <c r="D4489" t="inlineStr">
        <is>
          <t>HALLANDS LÄN</t>
        </is>
      </c>
      <c r="E4489" t="inlineStr">
        <is>
          <t>HALMSTAD</t>
        </is>
      </c>
      <c r="G4489" t="n">
        <v>0.9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48008-2024</t>
        </is>
      </c>
      <c r="B4490" s="1" t="n">
        <v>45589</v>
      </c>
      <c r="C4490" s="1" t="n">
        <v>45627</v>
      </c>
      <c r="D4490" t="inlineStr">
        <is>
          <t>HALLANDS LÄN</t>
        </is>
      </c>
      <c r="E4490" t="inlineStr">
        <is>
          <t>HYLTE</t>
        </is>
      </c>
      <c r="G4490" t="n">
        <v>1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47996-2024</t>
        </is>
      </c>
      <c r="B4491" s="1" t="n">
        <v>45589</v>
      </c>
      <c r="C4491" s="1" t="n">
        <v>45627</v>
      </c>
      <c r="D4491" t="inlineStr">
        <is>
          <t>HALLANDS LÄN</t>
        </is>
      </c>
      <c r="E4491" t="inlineStr">
        <is>
          <t>HYLTE</t>
        </is>
      </c>
      <c r="G4491" t="n">
        <v>4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47911-2024</t>
        </is>
      </c>
      <c r="B4492" s="1" t="n">
        <v>45589</v>
      </c>
      <c r="C4492" s="1" t="n">
        <v>45627</v>
      </c>
      <c r="D4492" t="inlineStr">
        <is>
          <t>HALLANDS LÄN</t>
        </is>
      </c>
      <c r="E4492" t="inlineStr">
        <is>
          <t>HYLTE</t>
        </is>
      </c>
      <c r="G4492" t="n">
        <v>3.5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48184-2024</t>
        </is>
      </c>
      <c r="B4493" s="1" t="n">
        <v>45589</v>
      </c>
      <c r="C4493" s="1" t="n">
        <v>45627</v>
      </c>
      <c r="D4493" t="inlineStr">
        <is>
          <t>HALLANDS LÄN</t>
        </is>
      </c>
      <c r="E4493" t="inlineStr">
        <is>
          <t>HALMSTAD</t>
        </is>
      </c>
      <c r="G4493" t="n">
        <v>3.3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48454-2024</t>
        </is>
      </c>
      <c r="B4494" s="1" t="n">
        <v>45590</v>
      </c>
      <c r="C4494" s="1" t="n">
        <v>45627</v>
      </c>
      <c r="D4494" t="inlineStr">
        <is>
          <t>HALLANDS LÄN</t>
        </is>
      </c>
      <c r="E4494" t="inlineStr">
        <is>
          <t>VARBERG</t>
        </is>
      </c>
      <c r="G4494" t="n">
        <v>0.8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48381-2024</t>
        </is>
      </c>
      <c r="B4495" s="1" t="n">
        <v>45590</v>
      </c>
      <c r="C4495" s="1" t="n">
        <v>45627</v>
      </c>
      <c r="D4495" t="inlineStr">
        <is>
          <t>HALLANDS LÄN</t>
        </is>
      </c>
      <c r="E4495" t="inlineStr">
        <is>
          <t>LAHOLM</t>
        </is>
      </c>
      <c r="G4495" t="n">
        <v>3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48360-2024</t>
        </is>
      </c>
      <c r="B4496" s="1" t="n">
        <v>45590</v>
      </c>
      <c r="C4496" s="1" t="n">
        <v>45627</v>
      </c>
      <c r="D4496" t="inlineStr">
        <is>
          <t>HALLANDS LÄN</t>
        </is>
      </c>
      <c r="E4496" t="inlineStr">
        <is>
          <t>LAHOLM</t>
        </is>
      </c>
      <c r="G4496" t="n">
        <v>1.3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48453-2024</t>
        </is>
      </c>
      <c r="B4497" s="1" t="n">
        <v>45590</v>
      </c>
      <c r="C4497" s="1" t="n">
        <v>45627</v>
      </c>
      <c r="D4497" t="inlineStr">
        <is>
          <t>HALLANDS LÄN</t>
        </is>
      </c>
      <c r="E4497" t="inlineStr">
        <is>
          <t>VARBERG</t>
        </is>
      </c>
      <c r="G4497" t="n">
        <v>1.1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48281-2024</t>
        </is>
      </c>
      <c r="B4498" s="1" t="n">
        <v>45590</v>
      </c>
      <c r="C4498" s="1" t="n">
        <v>45627</v>
      </c>
      <c r="D4498" t="inlineStr">
        <is>
          <t>HALLANDS LÄN</t>
        </is>
      </c>
      <c r="E4498" t="inlineStr">
        <is>
          <t>FALKENBERG</t>
        </is>
      </c>
      <c r="G4498" t="n">
        <v>3.5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48217-2024</t>
        </is>
      </c>
      <c r="B4499" s="1" t="n">
        <v>45590</v>
      </c>
      <c r="C4499" s="1" t="n">
        <v>45627</v>
      </c>
      <c r="D4499" t="inlineStr">
        <is>
          <t>HALLANDS LÄN</t>
        </is>
      </c>
      <c r="E4499" t="inlineStr">
        <is>
          <t>HYLTE</t>
        </is>
      </c>
      <c r="G4499" t="n">
        <v>1.6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48349-2024</t>
        </is>
      </c>
      <c r="B4500" s="1" t="n">
        <v>45590</v>
      </c>
      <c r="C4500" s="1" t="n">
        <v>45627</v>
      </c>
      <c r="D4500" t="inlineStr">
        <is>
          <t>HALLANDS LÄN</t>
        </is>
      </c>
      <c r="E4500" t="inlineStr">
        <is>
          <t>LAHOLM</t>
        </is>
      </c>
      <c r="G4500" t="n">
        <v>5.6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48474-2024</t>
        </is>
      </c>
      <c r="B4501" s="1" t="n">
        <v>45591</v>
      </c>
      <c r="C4501" s="1" t="n">
        <v>45627</v>
      </c>
      <c r="D4501" t="inlineStr">
        <is>
          <t>HALLANDS LÄN</t>
        </is>
      </c>
      <c r="E4501" t="inlineStr">
        <is>
          <t>HYLTE</t>
        </is>
      </c>
      <c r="G4501" t="n">
        <v>3.4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48661-2024</t>
        </is>
      </c>
      <c r="B4502" s="1" t="n">
        <v>45593</v>
      </c>
      <c r="C4502" s="1" t="n">
        <v>45627</v>
      </c>
      <c r="D4502" t="inlineStr">
        <is>
          <t>HALLANDS LÄN</t>
        </is>
      </c>
      <c r="E4502" t="inlineStr">
        <is>
          <t>FALKENBERG</t>
        </is>
      </c>
      <c r="G4502" t="n">
        <v>0.8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48506-2024</t>
        </is>
      </c>
      <c r="B4503" s="1" t="n">
        <v>45593</v>
      </c>
      <c r="C4503" s="1" t="n">
        <v>45627</v>
      </c>
      <c r="D4503" t="inlineStr">
        <is>
          <t>HALLANDS LÄN</t>
        </is>
      </c>
      <c r="E4503" t="inlineStr">
        <is>
          <t>HYLTE</t>
        </is>
      </c>
      <c r="G4503" t="n">
        <v>2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48503-2024</t>
        </is>
      </c>
      <c r="B4504" s="1" t="n">
        <v>45593</v>
      </c>
      <c r="C4504" s="1" t="n">
        <v>45627</v>
      </c>
      <c r="D4504" t="inlineStr">
        <is>
          <t>HALLANDS LÄN</t>
        </is>
      </c>
      <c r="E4504" t="inlineStr">
        <is>
          <t>HYLTE</t>
        </is>
      </c>
      <c r="G4504" t="n">
        <v>0.6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48507-2024</t>
        </is>
      </c>
      <c r="B4505" s="1" t="n">
        <v>45593</v>
      </c>
      <c r="C4505" s="1" t="n">
        <v>45627</v>
      </c>
      <c r="D4505" t="inlineStr">
        <is>
          <t>HALLANDS LÄN</t>
        </is>
      </c>
      <c r="E4505" t="inlineStr">
        <is>
          <t>HYLTE</t>
        </is>
      </c>
      <c r="G4505" t="n">
        <v>0.6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48642-2024</t>
        </is>
      </c>
      <c r="B4506" s="1" t="n">
        <v>45593</v>
      </c>
      <c r="C4506" s="1" t="n">
        <v>45627</v>
      </c>
      <c r="D4506" t="inlineStr">
        <is>
          <t>HALLANDS LÄN</t>
        </is>
      </c>
      <c r="E4506" t="inlineStr">
        <is>
          <t>HYLTE</t>
        </is>
      </c>
      <c r="G4506" t="n">
        <v>1.8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48768-2024</t>
        </is>
      </c>
      <c r="B4507" s="1" t="n">
        <v>45593</v>
      </c>
      <c r="C4507" s="1" t="n">
        <v>45627</v>
      </c>
      <c r="D4507" t="inlineStr">
        <is>
          <t>HALLANDS LÄN</t>
        </is>
      </c>
      <c r="E4507" t="inlineStr">
        <is>
          <t>VARBERG</t>
        </is>
      </c>
      <c r="G4507" t="n">
        <v>1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48651-2024</t>
        </is>
      </c>
      <c r="B4508" s="1" t="n">
        <v>45593</v>
      </c>
      <c r="C4508" s="1" t="n">
        <v>45627</v>
      </c>
      <c r="D4508" t="inlineStr">
        <is>
          <t>HALLANDS LÄN</t>
        </is>
      </c>
      <c r="E4508" t="inlineStr">
        <is>
          <t>FALKENBERG</t>
        </is>
      </c>
      <c r="G4508" t="n">
        <v>0.7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48640-2024</t>
        </is>
      </c>
      <c r="B4509" s="1" t="n">
        <v>45593</v>
      </c>
      <c r="C4509" s="1" t="n">
        <v>45627</v>
      </c>
      <c r="D4509" t="inlineStr">
        <is>
          <t>HALLANDS LÄN</t>
        </is>
      </c>
      <c r="E4509" t="inlineStr">
        <is>
          <t>FALKENBERG</t>
        </is>
      </c>
      <c r="G4509" t="n">
        <v>1.3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48505-2024</t>
        </is>
      </c>
      <c r="B4510" s="1" t="n">
        <v>45593</v>
      </c>
      <c r="C4510" s="1" t="n">
        <v>45627</v>
      </c>
      <c r="D4510" t="inlineStr">
        <is>
          <t>HALLANDS LÄN</t>
        </is>
      </c>
      <c r="E4510" t="inlineStr">
        <is>
          <t>HYLTE</t>
        </is>
      </c>
      <c r="G4510" t="n">
        <v>5.7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49141-2024</t>
        </is>
      </c>
      <c r="B4511" s="1" t="n">
        <v>45594</v>
      </c>
      <c r="C4511" s="1" t="n">
        <v>45627</v>
      </c>
      <c r="D4511" t="inlineStr">
        <is>
          <t>HALLANDS LÄN</t>
        </is>
      </c>
      <c r="E4511" t="inlineStr">
        <is>
          <t>HALMSTAD</t>
        </is>
      </c>
      <c r="G4511" t="n">
        <v>1.8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49286-2024</t>
        </is>
      </c>
      <c r="B4512" s="1" t="n">
        <v>45595</v>
      </c>
      <c r="C4512" s="1" t="n">
        <v>45627</v>
      </c>
      <c r="D4512" t="inlineStr">
        <is>
          <t>HALLANDS LÄN</t>
        </is>
      </c>
      <c r="E4512" t="inlineStr">
        <is>
          <t>FALKENBERG</t>
        </is>
      </c>
      <c r="G4512" t="n">
        <v>6.4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49288-2024</t>
        </is>
      </c>
      <c r="B4513" s="1" t="n">
        <v>45595</v>
      </c>
      <c r="C4513" s="1" t="n">
        <v>45627</v>
      </c>
      <c r="D4513" t="inlineStr">
        <is>
          <t>HALLANDS LÄN</t>
        </is>
      </c>
      <c r="E4513" t="inlineStr">
        <is>
          <t>FALKENBERG</t>
        </is>
      </c>
      <c r="G4513" t="n">
        <v>0.8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49354-2024</t>
        </is>
      </c>
      <c r="B4514" s="1" t="n">
        <v>45595</v>
      </c>
      <c r="C4514" s="1" t="n">
        <v>45627</v>
      </c>
      <c r="D4514" t="inlineStr">
        <is>
          <t>HALLANDS LÄN</t>
        </is>
      </c>
      <c r="E4514" t="inlineStr">
        <is>
          <t>HYLTE</t>
        </is>
      </c>
      <c r="G4514" t="n">
        <v>1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49402-2024</t>
        </is>
      </c>
      <c r="B4515" s="1" t="n">
        <v>45595</v>
      </c>
      <c r="C4515" s="1" t="n">
        <v>45627</v>
      </c>
      <c r="D4515" t="inlineStr">
        <is>
          <t>HALLANDS LÄN</t>
        </is>
      </c>
      <c r="E4515" t="inlineStr">
        <is>
          <t>HALMSTAD</t>
        </is>
      </c>
      <c r="F4515" t="inlineStr">
        <is>
          <t>Kyrkan</t>
        </is>
      </c>
      <c r="G4515" t="n">
        <v>2.4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49489-2024</t>
        </is>
      </c>
      <c r="B4516" s="1" t="n">
        <v>45596</v>
      </c>
      <c r="C4516" s="1" t="n">
        <v>45627</v>
      </c>
      <c r="D4516" t="inlineStr">
        <is>
          <t>HALLANDS LÄN</t>
        </is>
      </c>
      <c r="E4516" t="inlineStr">
        <is>
          <t>KUNGSBACKA</t>
        </is>
      </c>
      <c r="G4516" t="n">
        <v>0.7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49492-2024</t>
        </is>
      </c>
      <c r="B4517" s="1" t="n">
        <v>45596</v>
      </c>
      <c r="C4517" s="1" t="n">
        <v>45627</v>
      </c>
      <c r="D4517" t="inlineStr">
        <is>
          <t>HALLANDS LÄN</t>
        </is>
      </c>
      <c r="E4517" t="inlineStr">
        <is>
          <t>KUNGSBACKA</t>
        </is>
      </c>
      <c r="G4517" t="n">
        <v>0.2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49505-2024</t>
        </is>
      </c>
      <c r="B4518" s="1" t="n">
        <v>45596</v>
      </c>
      <c r="C4518" s="1" t="n">
        <v>45627</v>
      </c>
      <c r="D4518" t="inlineStr">
        <is>
          <t>HALLANDS LÄN</t>
        </is>
      </c>
      <c r="E4518" t="inlineStr">
        <is>
          <t>KUNGSBACKA</t>
        </is>
      </c>
      <c r="G4518" t="n">
        <v>0.3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49450-2024</t>
        </is>
      </c>
      <c r="B4519" s="1" t="n">
        <v>45596</v>
      </c>
      <c r="C4519" s="1" t="n">
        <v>45627</v>
      </c>
      <c r="D4519" t="inlineStr">
        <is>
          <t>HALLANDS LÄN</t>
        </is>
      </c>
      <c r="E4519" t="inlineStr">
        <is>
          <t>VARBERG</t>
        </is>
      </c>
      <c r="G4519" t="n">
        <v>0.7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49640-2024</t>
        </is>
      </c>
      <c r="B4520" s="1" t="n">
        <v>45596</v>
      </c>
      <c r="C4520" s="1" t="n">
        <v>45627</v>
      </c>
      <c r="D4520" t="inlineStr">
        <is>
          <t>HALLANDS LÄN</t>
        </is>
      </c>
      <c r="E4520" t="inlineStr">
        <is>
          <t>HYLTE</t>
        </is>
      </c>
      <c r="G4520" t="n">
        <v>1.1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49486-2024</t>
        </is>
      </c>
      <c r="B4521" s="1" t="n">
        <v>45596</v>
      </c>
      <c r="C4521" s="1" t="n">
        <v>45627</v>
      </c>
      <c r="D4521" t="inlineStr">
        <is>
          <t>HALLANDS LÄN</t>
        </is>
      </c>
      <c r="E4521" t="inlineStr">
        <is>
          <t>KUNGSBACKA</t>
        </is>
      </c>
      <c r="G4521" t="n">
        <v>2.6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49738-2024</t>
        </is>
      </c>
      <c r="B4522" s="1" t="n">
        <v>45596</v>
      </c>
      <c r="C4522" s="1" t="n">
        <v>45627</v>
      </c>
      <c r="D4522" t="inlineStr">
        <is>
          <t>HALLANDS LÄN</t>
        </is>
      </c>
      <c r="E4522" t="inlineStr">
        <is>
          <t>VARBERG</t>
        </is>
      </c>
      <c r="G4522" t="n">
        <v>3.7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49916-2024</t>
        </is>
      </c>
      <c r="B4523" s="1" t="n">
        <v>45597</v>
      </c>
      <c r="C4523" s="1" t="n">
        <v>45627</v>
      </c>
      <c r="D4523" t="inlineStr">
        <is>
          <t>HALLANDS LÄN</t>
        </is>
      </c>
      <c r="E4523" t="inlineStr">
        <is>
          <t>HYLTE</t>
        </is>
      </c>
      <c r="G4523" t="n">
        <v>0.5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49914-2024</t>
        </is>
      </c>
      <c r="B4524" s="1" t="n">
        <v>45597</v>
      </c>
      <c r="C4524" s="1" t="n">
        <v>45627</v>
      </c>
      <c r="D4524" t="inlineStr">
        <is>
          <t>HALLANDS LÄN</t>
        </is>
      </c>
      <c r="E4524" t="inlineStr">
        <is>
          <t>HYLTE</t>
        </is>
      </c>
      <c r="G4524" t="n">
        <v>2.1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49889-2024</t>
        </is>
      </c>
      <c r="B4525" s="1" t="n">
        <v>45597</v>
      </c>
      <c r="C4525" s="1" t="n">
        <v>45627</v>
      </c>
      <c r="D4525" t="inlineStr">
        <is>
          <t>HALLANDS LÄN</t>
        </is>
      </c>
      <c r="E4525" t="inlineStr">
        <is>
          <t>FALKENBERG</t>
        </is>
      </c>
      <c r="F4525" t="inlineStr">
        <is>
          <t>Kyrkan</t>
        </is>
      </c>
      <c r="G4525" t="n">
        <v>5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49760-2024</t>
        </is>
      </c>
      <c r="B4526" s="1" t="n">
        <v>45597</v>
      </c>
      <c r="C4526" s="1" t="n">
        <v>45627</v>
      </c>
      <c r="D4526" t="inlineStr">
        <is>
          <t>HALLANDS LÄN</t>
        </is>
      </c>
      <c r="E4526" t="inlineStr">
        <is>
          <t>VARBERG</t>
        </is>
      </c>
      <c r="G4526" t="n">
        <v>0.5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49924-2024</t>
        </is>
      </c>
      <c r="B4527" s="1" t="n">
        <v>45597</v>
      </c>
      <c r="C4527" s="1" t="n">
        <v>45627</v>
      </c>
      <c r="D4527" t="inlineStr">
        <is>
          <t>HALLANDS LÄN</t>
        </is>
      </c>
      <c r="E4527" t="inlineStr">
        <is>
          <t>HYLTE</t>
        </is>
      </c>
      <c r="G4527" t="n">
        <v>1.9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50035-2024</t>
        </is>
      </c>
      <c r="B4528" s="1" t="n">
        <v>45599</v>
      </c>
      <c r="C4528" s="1" t="n">
        <v>45627</v>
      </c>
      <c r="D4528" t="inlineStr">
        <is>
          <t>HALLANDS LÄN</t>
        </is>
      </c>
      <c r="E4528" t="inlineStr">
        <is>
          <t>HALMSTAD</t>
        </is>
      </c>
      <c r="G4528" t="n">
        <v>2.1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50078-2024</t>
        </is>
      </c>
      <c r="B4529" s="1" t="n">
        <v>45600</v>
      </c>
      <c r="C4529" s="1" t="n">
        <v>45627</v>
      </c>
      <c r="D4529" t="inlineStr">
        <is>
          <t>HALLANDS LÄN</t>
        </is>
      </c>
      <c r="E4529" t="inlineStr">
        <is>
          <t>FALKENBERG</t>
        </is>
      </c>
      <c r="G4529" t="n">
        <v>3.6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50342-2024</t>
        </is>
      </c>
      <c r="B4530" s="1" t="n">
        <v>45600</v>
      </c>
      <c r="C4530" s="1" t="n">
        <v>45627</v>
      </c>
      <c r="D4530" t="inlineStr">
        <is>
          <t>HALLANDS LÄN</t>
        </is>
      </c>
      <c r="E4530" t="inlineStr">
        <is>
          <t>VARBERG</t>
        </is>
      </c>
      <c r="G4530" t="n">
        <v>1.5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50081-2024</t>
        </is>
      </c>
      <c r="B4531" s="1" t="n">
        <v>45600</v>
      </c>
      <c r="C4531" s="1" t="n">
        <v>45627</v>
      </c>
      <c r="D4531" t="inlineStr">
        <is>
          <t>HALLANDS LÄN</t>
        </is>
      </c>
      <c r="E4531" t="inlineStr">
        <is>
          <t>FALKENBERG</t>
        </is>
      </c>
      <c r="G4531" t="n">
        <v>1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50341-2024</t>
        </is>
      </c>
      <c r="B4532" s="1" t="n">
        <v>45600</v>
      </c>
      <c r="C4532" s="1" t="n">
        <v>45627</v>
      </c>
      <c r="D4532" t="inlineStr">
        <is>
          <t>HALLANDS LÄN</t>
        </is>
      </c>
      <c r="E4532" t="inlineStr">
        <is>
          <t>VARBERG</t>
        </is>
      </c>
      <c r="G4532" t="n">
        <v>0.5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50345-2024</t>
        </is>
      </c>
      <c r="B4533" s="1" t="n">
        <v>45600</v>
      </c>
      <c r="C4533" s="1" t="n">
        <v>45627</v>
      </c>
      <c r="D4533" t="inlineStr">
        <is>
          <t>HALLANDS LÄN</t>
        </is>
      </c>
      <c r="E4533" t="inlineStr">
        <is>
          <t>HYLTE</t>
        </is>
      </c>
      <c r="G4533" t="n">
        <v>1.8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50340-2024</t>
        </is>
      </c>
      <c r="B4534" s="1" t="n">
        <v>45600</v>
      </c>
      <c r="C4534" s="1" t="n">
        <v>45627</v>
      </c>
      <c r="D4534" t="inlineStr">
        <is>
          <t>HALLANDS LÄN</t>
        </is>
      </c>
      <c r="E4534" t="inlineStr">
        <is>
          <t>VARBERG</t>
        </is>
      </c>
      <c r="G4534" t="n">
        <v>0.5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50074-2024</t>
        </is>
      </c>
      <c r="B4535" s="1" t="n">
        <v>45600</v>
      </c>
      <c r="C4535" s="1" t="n">
        <v>45627</v>
      </c>
      <c r="D4535" t="inlineStr">
        <is>
          <t>HALLANDS LÄN</t>
        </is>
      </c>
      <c r="E4535" t="inlineStr">
        <is>
          <t>HYLTE</t>
        </is>
      </c>
      <c r="G4535" t="n">
        <v>1.4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50319-2024</t>
        </is>
      </c>
      <c r="B4536" s="1" t="n">
        <v>45600</v>
      </c>
      <c r="C4536" s="1" t="n">
        <v>45627</v>
      </c>
      <c r="D4536" t="inlineStr">
        <is>
          <t>HALLANDS LÄN</t>
        </is>
      </c>
      <c r="E4536" t="inlineStr">
        <is>
          <t>HALMSTAD</t>
        </is>
      </c>
      <c r="G4536" t="n">
        <v>7.1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50523-2024</t>
        </is>
      </c>
      <c r="B4537" s="1" t="n">
        <v>45601</v>
      </c>
      <c r="C4537" s="1" t="n">
        <v>45627</v>
      </c>
      <c r="D4537" t="inlineStr">
        <is>
          <t>HALLANDS LÄN</t>
        </is>
      </c>
      <c r="E4537" t="inlineStr">
        <is>
          <t>HYLTE</t>
        </is>
      </c>
      <c r="G4537" t="n">
        <v>8.199999999999999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50576-2024</t>
        </is>
      </c>
      <c r="B4538" s="1" t="n">
        <v>45601</v>
      </c>
      <c r="C4538" s="1" t="n">
        <v>45627</v>
      </c>
      <c r="D4538" t="inlineStr">
        <is>
          <t>HALLANDS LÄN</t>
        </is>
      </c>
      <c r="E4538" t="inlineStr">
        <is>
          <t>LAHOLM</t>
        </is>
      </c>
      <c r="G4538" t="n">
        <v>1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50633-2024</t>
        </is>
      </c>
      <c r="B4539" s="1" t="n">
        <v>45601</v>
      </c>
      <c r="C4539" s="1" t="n">
        <v>45627</v>
      </c>
      <c r="D4539" t="inlineStr">
        <is>
          <t>HALLANDS LÄN</t>
        </is>
      </c>
      <c r="E4539" t="inlineStr">
        <is>
          <t>FALKENBERG</t>
        </is>
      </c>
      <c r="G4539" t="n">
        <v>1.6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50647-2024</t>
        </is>
      </c>
      <c r="B4540" s="1" t="n">
        <v>45601</v>
      </c>
      <c r="C4540" s="1" t="n">
        <v>45627</v>
      </c>
      <c r="D4540" t="inlineStr">
        <is>
          <t>HALLANDS LÄN</t>
        </is>
      </c>
      <c r="E4540" t="inlineStr">
        <is>
          <t>FALKENBERG</t>
        </is>
      </c>
      <c r="G4540" t="n">
        <v>1.6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50541-2024</t>
        </is>
      </c>
      <c r="B4541" s="1" t="n">
        <v>45601</v>
      </c>
      <c r="C4541" s="1" t="n">
        <v>45627</v>
      </c>
      <c r="D4541" t="inlineStr">
        <is>
          <t>HALLANDS LÄN</t>
        </is>
      </c>
      <c r="E4541" t="inlineStr">
        <is>
          <t>LAHOLM</t>
        </is>
      </c>
      <c r="G4541" t="n">
        <v>0.7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50992-2024</t>
        </is>
      </c>
      <c r="B4542" s="1" t="n">
        <v>45603</v>
      </c>
      <c r="C4542" s="1" t="n">
        <v>45627</v>
      </c>
      <c r="D4542" t="inlineStr">
        <is>
          <t>HALLANDS LÄN</t>
        </is>
      </c>
      <c r="E4542" t="inlineStr">
        <is>
          <t>LAHOLM</t>
        </is>
      </c>
      <c r="G4542" t="n">
        <v>1.9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51022-2024</t>
        </is>
      </c>
      <c r="B4543" s="1" t="n">
        <v>45603</v>
      </c>
      <c r="C4543" s="1" t="n">
        <v>45627</v>
      </c>
      <c r="D4543" t="inlineStr">
        <is>
          <t>HALLANDS LÄN</t>
        </is>
      </c>
      <c r="E4543" t="inlineStr">
        <is>
          <t>LAHOLM</t>
        </is>
      </c>
      <c r="G4543" t="n">
        <v>3.5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50957-2024</t>
        </is>
      </c>
      <c r="B4544" s="1" t="n">
        <v>45603</v>
      </c>
      <c r="C4544" s="1" t="n">
        <v>45627</v>
      </c>
      <c r="D4544" t="inlineStr">
        <is>
          <t>HALLANDS LÄN</t>
        </is>
      </c>
      <c r="E4544" t="inlineStr">
        <is>
          <t>KUNGSBACKA</t>
        </is>
      </c>
      <c r="G4544" t="n">
        <v>0.7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51002-2024</t>
        </is>
      </c>
      <c r="B4545" s="1" t="n">
        <v>45603</v>
      </c>
      <c r="C4545" s="1" t="n">
        <v>45627</v>
      </c>
      <c r="D4545" t="inlineStr">
        <is>
          <t>HALLANDS LÄN</t>
        </is>
      </c>
      <c r="E4545" t="inlineStr">
        <is>
          <t>LAHOLM</t>
        </is>
      </c>
      <c r="G4545" t="n">
        <v>2.1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51015-2024</t>
        </is>
      </c>
      <c r="B4546" s="1" t="n">
        <v>45603</v>
      </c>
      <c r="C4546" s="1" t="n">
        <v>45627</v>
      </c>
      <c r="D4546" t="inlineStr">
        <is>
          <t>HALLANDS LÄN</t>
        </is>
      </c>
      <c r="E4546" t="inlineStr">
        <is>
          <t>LAHOLM</t>
        </is>
      </c>
      <c r="G4546" t="n">
        <v>1.3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51291-2024</t>
        </is>
      </c>
      <c r="B4547" s="1" t="n">
        <v>45603</v>
      </c>
      <c r="C4547" s="1" t="n">
        <v>45627</v>
      </c>
      <c r="D4547" t="inlineStr">
        <is>
          <t>HALLANDS LÄN</t>
        </is>
      </c>
      <c r="E4547" t="inlineStr">
        <is>
          <t>HALMSTAD</t>
        </is>
      </c>
      <c r="G4547" t="n">
        <v>1.9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50995-2024</t>
        </is>
      </c>
      <c r="B4548" s="1" t="n">
        <v>45603</v>
      </c>
      <c r="C4548" s="1" t="n">
        <v>45627</v>
      </c>
      <c r="D4548" t="inlineStr">
        <is>
          <t>HALLANDS LÄN</t>
        </is>
      </c>
      <c r="E4548" t="inlineStr">
        <is>
          <t>LAHOLM</t>
        </is>
      </c>
      <c r="G4548" t="n">
        <v>4.2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51000-2024</t>
        </is>
      </c>
      <c r="B4549" s="1" t="n">
        <v>45603</v>
      </c>
      <c r="C4549" s="1" t="n">
        <v>45627</v>
      </c>
      <c r="D4549" t="inlineStr">
        <is>
          <t>HALLANDS LÄN</t>
        </is>
      </c>
      <c r="E4549" t="inlineStr">
        <is>
          <t>LAHOLM</t>
        </is>
      </c>
      <c r="G4549" t="n">
        <v>1.3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51021-2024</t>
        </is>
      </c>
      <c r="B4550" s="1" t="n">
        <v>45603</v>
      </c>
      <c r="C4550" s="1" t="n">
        <v>45627</v>
      </c>
      <c r="D4550" t="inlineStr">
        <is>
          <t>HALLANDS LÄN</t>
        </is>
      </c>
      <c r="E4550" t="inlineStr">
        <is>
          <t>LAHOLM</t>
        </is>
      </c>
      <c r="G4550" t="n">
        <v>6.2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51296-2024</t>
        </is>
      </c>
      <c r="B4551" s="1" t="n">
        <v>45603</v>
      </c>
      <c r="C4551" s="1" t="n">
        <v>45627</v>
      </c>
      <c r="D4551" t="inlineStr">
        <is>
          <t>HALLANDS LÄN</t>
        </is>
      </c>
      <c r="E4551" t="inlineStr">
        <is>
          <t>HYLTE</t>
        </is>
      </c>
      <c r="G4551" t="n">
        <v>1.1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51306-2024</t>
        </is>
      </c>
      <c r="B4552" s="1" t="n">
        <v>45604</v>
      </c>
      <c r="C4552" s="1" t="n">
        <v>45627</v>
      </c>
      <c r="D4552" t="inlineStr">
        <is>
          <t>HALLANDS LÄN</t>
        </is>
      </c>
      <c r="E4552" t="inlineStr">
        <is>
          <t>HALMSTAD</t>
        </is>
      </c>
      <c r="G4552" t="n">
        <v>4.8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51310-2024</t>
        </is>
      </c>
      <c r="B4553" s="1" t="n">
        <v>45604</v>
      </c>
      <c r="C4553" s="1" t="n">
        <v>45627</v>
      </c>
      <c r="D4553" t="inlineStr">
        <is>
          <t>HALLANDS LÄN</t>
        </is>
      </c>
      <c r="E4553" t="inlineStr">
        <is>
          <t>HALMSTAD</t>
        </is>
      </c>
      <c r="G4553" t="n">
        <v>0.8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51372-2024</t>
        </is>
      </c>
      <c r="B4554" s="1" t="n">
        <v>45604</v>
      </c>
      <c r="C4554" s="1" t="n">
        <v>45627</v>
      </c>
      <c r="D4554" t="inlineStr">
        <is>
          <t>HALLANDS LÄN</t>
        </is>
      </c>
      <c r="E4554" t="inlineStr">
        <is>
          <t>HYLTE</t>
        </is>
      </c>
      <c r="G4554" t="n">
        <v>1.3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51451-2024</t>
        </is>
      </c>
      <c r="B4555" s="1" t="n">
        <v>45604</v>
      </c>
      <c r="C4555" s="1" t="n">
        <v>45627</v>
      </c>
      <c r="D4555" t="inlineStr">
        <is>
          <t>HALLANDS LÄN</t>
        </is>
      </c>
      <c r="E4555" t="inlineStr">
        <is>
          <t>KUNGSBACKA</t>
        </is>
      </c>
      <c r="G4555" t="n">
        <v>2.9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51600-2024</t>
        </is>
      </c>
      <c r="B4556" s="1" t="n">
        <v>45604</v>
      </c>
      <c r="C4556" s="1" t="n">
        <v>45627</v>
      </c>
      <c r="D4556" t="inlineStr">
        <is>
          <t>HALLANDS LÄN</t>
        </is>
      </c>
      <c r="E4556" t="inlineStr">
        <is>
          <t>FALKENBERG</t>
        </is>
      </c>
      <c r="G4556" t="n">
        <v>1.6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51457-2024</t>
        </is>
      </c>
      <c r="B4557" s="1" t="n">
        <v>45604</v>
      </c>
      <c r="C4557" s="1" t="n">
        <v>45627</v>
      </c>
      <c r="D4557" t="inlineStr">
        <is>
          <t>HALLANDS LÄN</t>
        </is>
      </c>
      <c r="E4557" t="inlineStr">
        <is>
          <t>KUNGSBACKA</t>
        </is>
      </c>
      <c r="G4557" t="n">
        <v>1.1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51465-2024</t>
        </is>
      </c>
      <c r="B4558" s="1" t="n">
        <v>45604</v>
      </c>
      <c r="C4558" s="1" t="n">
        <v>45627</v>
      </c>
      <c r="D4558" t="inlineStr">
        <is>
          <t>HALLANDS LÄN</t>
        </is>
      </c>
      <c r="E4558" t="inlineStr">
        <is>
          <t>KUNGSBACKA</t>
        </is>
      </c>
      <c r="G4558" t="n">
        <v>1.7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51307-2024</t>
        </is>
      </c>
      <c r="B4559" s="1" t="n">
        <v>45604</v>
      </c>
      <c r="C4559" s="1" t="n">
        <v>45627</v>
      </c>
      <c r="D4559" t="inlineStr">
        <is>
          <t>HALLANDS LÄN</t>
        </is>
      </c>
      <c r="E4559" t="inlineStr">
        <is>
          <t>HALMSTAD</t>
        </is>
      </c>
      <c r="G4559" t="n">
        <v>1.1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51932-2024</t>
        </is>
      </c>
      <c r="B4560" s="1" t="n">
        <v>45607</v>
      </c>
      <c r="C4560" s="1" t="n">
        <v>45627</v>
      </c>
      <c r="D4560" t="inlineStr">
        <is>
          <t>HALLANDS LÄN</t>
        </is>
      </c>
      <c r="E4560" t="inlineStr">
        <is>
          <t>VARBERG</t>
        </is>
      </c>
      <c r="G4560" t="n">
        <v>0.9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51901-2024</t>
        </is>
      </c>
      <c r="B4561" s="1" t="n">
        <v>45607</v>
      </c>
      <c r="C4561" s="1" t="n">
        <v>45627</v>
      </c>
      <c r="D4561" t="inlineStr">
        <is>
          <t>HALLANDS LÄN</t>
        </is>
      </c>
      <c r="E4561" t="inlineStr">
        <is>
          <t>HALMSTAD</t>
        </is>
      </c>
      <c r="G4561" t="n">
        <v>2.6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51978-2024</t>
        </is>
      </c>
      <c r="B4562" s="1" t="n">
        <v>45607</v>
      </c>
      <c r="C4562" s="1" t="n">
        <v>45627</v>
      </c>
      <c r="D4562" t="inlineStr">
        <is>
          <t>HALLANDS LÄN</t>
        </is>
      </c>
      <c r="E4562" t="inlineStr">
        <is>
          <t>KUNGSBACKA</t>
        </is>
      </c>
      <c r="G4562" t="n">
        <v>0.2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51849-2024</t>
        </is>
      </c>
      <c r="B4563" s="1" t="n">
        <v>45607</v>
      </c>
      <c r="C4563" s="1" t="n">
        <v>45627</v>
      </c>
      <c r="D4563" t="inlineStr">
        <is>
          <t>HALLANDS LÄN</t>
        </is>
      </c>
      <c r="E4563" t="inlineStr">
        <is>
          <t>VARBERG</t>
        </is>
      </c>
      <c r="G4563" t="n">
        <v>7.9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52073-2024</t>
        </is>
      </c>
      <c r="B4564" s="1" t="n">
        <v>45608</v>
      </c>
      <c r="C4564" s="1" t="n">
        <v>45627</v>
      </c>
      <c r="D4564" t="inlineStr">
        <is>
          <t>HALLANDS LÄN</t>
        </is>
      </c>
      <c r="E4564" t="inlineStr">
        <is>
          <t>LAHOLM</t>
        </is>
      </c>
      <c r="G4564" t="n">
        <v>1.6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52092-2024</t>
        </is>
      </c>
      <c r="B4565" s="1" t="n">
        <v>45608</v>
      </c>
      <c r="C4565" s="1" t="n">
        <v>45627</v>
      </c>
      <c r="D4565" t="inlineStr">
        <is>
          <t>HALLANDS LÄN</t>
        </is>
      </c>
      <c r="E4565" t="inlineStr">
        <is>
          <t>HALMSTAD</t>
        </is>
      </c>
      <c r="G4565" t="n">
        <v>1.6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52070-2024</t>
        </is>
      </c>
      <c r="B4566" s="1" t="n">
        <v>45608</v>
      </c>
      <c r="C4566" s="1" t="n">
        <v>45627</v>
      </c>
      <c r="D4566" t="inlineStr">
        <is>
          <t>HALLANDS LÄN</t>
        </is>
      </c>
      <c r="E4566" t="inlineStr">
        <is>
          <t>HALMSTAD</t>
        </is>
      </c>
      <c r="G4566" t="n">
        <v>3.1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52285-2024</t>
        </is>
      </c>
      <c r="B4567" s="1" t="n">
        <v>45608</v>
      </c>
      <c r="C4567" s="1" t="n">
        <v>45627</v>
      </c>
      <c r="D4567" t="inlineStr">
        <is>
          <t>HALLANDS LÄN</t>
        </is>
      </c>
      <c r="E4567" t="inlineStr">
        <is>
          <t>FALKENBERG</t>
        </is>
      </c>
      <c r="G4567" t="n">
        <v>3.9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52325-2024</t>
        </is>
      </c>
      <c r="B4568" s="1" t="n">
        <v>45609</v>
      </c>
      <c r="C4568" s="1" t="n">
        <v>45627</v>
      </c>
      <c r="D4568" t="inlineStr">
        <is>
          <t>HALLANDS LÄN</t>
        </is>
      </c>
      <c r="E4568" t="inlineStr">
        <is>
          <t>VARBERG</t>
        </is>
      </c>
      <c r="G4568" t="n">
        <v>2.6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52324-2024</t>
        </is>
      </c>
      <c r="B4569" s="1" t="n">
        <v>45609</v>
      </c>
      <c r="C4569" s="1" t="n">
        <v>45627</v>
      </c>
      <c r="D4569" t="inlineStr">
        <is>
          <t>HALLANDS LÄN</t>
        </is>
      </c>
      <c r="E4569" t="inlineStr">
        <is>
          <t>VARBERG</t>
        </is>
      </c>
      <c r="G4569" t="n">
        <v>1.8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52488-2024</t>
        </is>
      </c>
      <c r="B4570" s="1" t="n">
        <v>45609</v>
      </c>
      <c r="C4570" s="1" t="n">
        <v>45627</v>
      </c>
      <c r="D4570" t="inlineStr">
        <is>
          <t>HALLANDS LÄN</t>
        </is>
      </c>
      <c r="E4570" t="inlineStr">
        <is>
          <t>HYLTE</t>
        </is>
      </c>
      <c r="G4570" t="n">
        <v>2.7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52463-2024</t>
        </is>
      </c>
      <c r="B4571" s="1" t="n">
        <v>45609</v>
      </c>
      <c r="C4571" s="1" t="n">
        <v>45627</v>
      </c>
      <c r="D4571" t="inlineStr">
        <is>
          <t>HALLANDS LÄN</t>
        </is>
      </c>
      <c r="E4571" t="inlineStr">
        <is>
          <t>VARBERG</t>
        </is>
      </c>
      <c r="G4571" t="n">
        <v>0.8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52475-2024</t>
        </is>
      </c>
      <c r="B4572" s="1" t="n">
        <v>45609</v>
      </c>
      <c r="C4572" s="1" t="n">
        <v>45627</v>
      </c>
      <c r="D4572" t="inlineStr">
        <is>
          <t>HALLANDS LÄN</t>
        </is>
      </c>
      <c r="E4572" t="inlineStr">
        <is>
          <t>FALKENBERG</t>
        </is>
      </c>
      <c r="G4572" t="n">
        <v>0.8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52625-2024</t>
        </is>
      </c>
      <c r="B4573" s="1" t="n">
        <v>45609</v>
      </c>
      <c r="C4573" s="1" t="n">
        <v>45627</v>
      </c>
      <c r="D4573" t="inlineStr">
        <is>
          <t>HALLANDS LÄN</t>
        </is>
      </c>
      <c r="E4573" t="inlineStr">
        <is>
          <t>HYLTE</t>
        </is>
      </c>
      <c r="G4573" t="n">
        <v>2.6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52597-2024</t>
        </is>
      </c>
      <c r="B4574" s="1" t="n">
        <v>45609</v>
      </c>
      <c r="C4574" s="1" t="n">
        <v>45627</v>
      </c>
      <c r="D4574" t="inlineStr">
        <is>
          <t>HALLANDS LÄN</t>
        </is>
      </c>
      <c r="E4574" t="inlineStr">
        <is>
          <t>FALKENBERG</t>
        </is>
      </c>
      <c r="G4574" t="n">
        <v>6.8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52742-2024</t>
        </is>
      </c>
      <c r="B4575" s="1" t="n">
        <v>45610</v>
      </c>
      <c r="C4575" s="1" t="n">
        <v>45627</v>
      </c>
      <c r="D4575" t="inlineStr">
        <is>
          <t>HALLANDS LÄN</t>
        </is>
      </c>
      <c r="E4575" t="inlineStr">
        <is>
          <t>HYLTE</t>
        </is>
      </c>
      <c r="G4575" t="n">
        <v>2.2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52820-2024</t>
        </is>
      </c>
      <c r="B4576" s="1" t="n">
        <v>45610</v>
      </c>
      <c r="C4576" s="1" t="n">
        <v>45627</v>
      </c>
      <c r="D4576" t="inlineStr">
        <is>
          <t>HALLANDS LÄN</t>
        </is>
      </c>
      <c r="E4576" t="inlineStr">
        <is>
          <t>HALMSTAD</t>
        </is>
      </c>
      <c r="F4576" t="inlineStr">
        <is>
          <t>Kyrkan</t>
        </is>
      </c>
      <c r="G4576" t="n">
        <v>1.3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53194-2024</t>
        </is>
      </c>
      <c r="B4577" s="1" t="n">
        <v>45610</v>
      </c>
      <c r="C4577" s="1" t="n">
        <v>45627</v>
      </c>
      <c r="D4577" t="inlineStr">
        <is>
          <t>HALLANDS LÄN</t>
        </is>
      </c>
      <c r="E4577" t="inlineStr">
        <is>
          <t>KUNGSBACKA</t>
        </is>
      </c>
      <c r="G4577" t="n">
        <v>3.1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53195-2024</t>
        </is>
      </c>
      <c r="B4578" s="1" t="n">
        <v>45610</v>
      </c>
      <c r="C4578" s="1" t="n">
        <v>45627</v>
      </c>
      <c r="D4578" t="inlineStr">
        <is>
          <t>HALLANDS LÄN</t>
        </is>
      </c>
      <c r="E4578" t="inlineStr">
        <is>
          <t>KUNGSBACKA</t>
        </is>
      </c>
      <c r="G4578" t="n">
        <v>11.2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53087-2024</t>
        </is>
      </c>
      <c r="B4579" s="1" t="n">
        <v>45611</v>
      </c>
      <c r="C4579" s="1" t="n">
        <v>45627</v>
      </c>
      <c r="D4579" t="inlineStr">
        <is>
          <t>HALLANDS LÄN</t>
        </is>
      </c>
      <c r="E4579" t="inlineStr">
        <is>
          <t>HALMSTAD</t>
        </is>
      </c>
      <c r="G4579" t="n">
        <v>1.1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52975-2024</t>
        </is>
      </c>
      <c r="B4580" s="1" t="n">
        <v>45611</v>
      </c>
      <c r="C4580" s="1" t="n">
        <v>45627</v>
      </c>
      <c r="D4580" t="inlineStr">
        <is>
          <t>HALLANDS LÄN</t>
        </is>
      </c>
      <c r="E4580" t="inlineStr">
        <is>
          <t>FALKENBERG</t>
        </is>
      </c>
      <c r="G4580" t="n">
        <v>3.6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53109-2024</t>
        </is>
      </c>
      <c r="B4581" s="1" t="n">
        <v>45611</v>
      </c>
      <c r="C4581" s="1" t="n">
        <v>45627</v>
      </c>
      <c r="D4581" t="inlineStr">
        <is>
          <t>HALLANDS LÄN</t>
        </is>
      </c>
      <c r="E4581" t="inlineStr">
        <is>
          <t>HALMSTAD</t>
        </is>
      </c>
      <c r="G4581" t="n">
        <v>3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53493-2024</t>
        </is>
      </c>
      <c r="B4582" s="1" t="n">
        <v>45614</v>
      </c>
      <c r="C4582" s="1" t="n">
        <v>45627</v>
      </c>
      <c r="D4582" t="inlineStr">
        <is>
          <t>HALLANDS LÄN</t>
        </is>
      </c>
      <c r="E4582" t="inlineStr">
        <is>
          <t>LAHOLM</t>
        </is>
      </c>
      <c r="G4582" t="n">
        <v>1.4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53532-2024</t>
        </is>
      </c>
      <c r="B4583" s="1" t="n">
        <v>45614</v>
      </c>
      <c r="C4583" s="1" t="n">
        <v>45627</v>
      </c>
      <c r="D4583" t="inlineStr">
        <is>
          <t>HALLANDS LÄN</t>
        </is>
      </c>
      <c r="E4583" t="inlineStr">
        <is>
          <t>LAHOLM</t>
        </is>
      </c>
      <c r="G4583" t="n">
        <v>1.7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53435-2024</t>
        </is>
      </c>
      <c r="B4584" s="1" t="n">
        <v>45614</v>
      </c>
      <c r="C4584" s="1" t="n">
        <v>45627</v>
      </c>
      <c r="D4584" t="inlineStr">
        <is>
          <t>HALLANDS LÄN</t>
        </is>
      </c>
      <c r="E4584" t="inlineStr">
        <is>
          <t>HALMSTAD</t>
        </is>
      </c>
      <c r="G4584" t="n">
        <v>2.4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53780-2024</t>
        </is>
      </c>
      <c r="B4585" s="1" t="n">
        <v>45615</v>
      </c>
      <c r="C4585" s="1" t="n">
        <v>45627</v>
      </c>
      <c r="D4585" t="inlineStr">
        <is>
          <t>HALLANDS LÄN</t>
        </is>
      </c>
      <c r="E4585" t="inlineStr">
        <is>
          <t>HYLTE</t>
        </is>
      </c>
      <c r="G4585" t="n">
        <v>2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53796-2024</t>
        </is>
      </c>
      <c r="B4586" s="1" t="n">
        <v>45615</v>
      </c>
      <c r="C4586" s="1" t="n">
        <v>45627</v>
      </c>
      <c r="D4586" t="inlineStr">
        <is>
          <t>HALLANDS LÄN</t>
        </is>
      </c>
      <c r="E4586" t="inlineStr">
        <is>
          <t>HALMSTAD</t>
        </is>
      </c>
      <c r="G4586" t="n">
        <v>4.6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53940-2024</t>
        </is>
      </c>
      <c r="B4587" s="1" t="n">
        <v>45615</v>
      </c>
      <c r="C4587" s="1" t="n">
        <v>45627</v>
      </c>
      <c r="D4587" t="inlineStr">
        <is>
          <t>HALLANDS LÄN</t>
        </is>
      </c>
      <c r="E4587" t="inlineStr">
        <is>
          <t>HYLTE</t>
        </is>
      </c>
      <c r="G4587" t="n">
        <v>2.6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53772-2024</t>
        </is>
      </c>
      <c r="B4588" s="1" t="n">
        <v>45615</v>
      </c>
      <c r="C4588" s="1" t="n">
        <v>45627</v>
      </c>
      <c r="D4588" t="inlineStr">
        <is>
          <t>HALLANDS LÄN</t>
        </is>
      </c>
      <c r="E4588" t="inlineStr">
        <is>
          <t>FALKENBERG</t>
        </is>
      </c>
      <c r="G4588" t="n">
        <v>1.2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53797-2024</t>
        </is>
      </c>
      <c r="B4589" s="1" t="n">
        <v>45615</v>
      </c>
      <c r="C4589" s="1" t="n">
        <v>45627</v>
      </c>
      <c r="D4589" t="inlineStr">
        <is>
          <t>HALLANDS LÄN</t>
        </is>
      </c>
      <c r="E4589" t="inlineStr">
        <is>
          <t>HALMSTAD</t>
        </is>
      </c>
      <c r="G4589" t="n">
        <v>3.5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53972-2024</t>
        </is>
      </c>
      <c r="B4590" s="1" t="n">
        <v>45616</v>
      </c>
      <c r="C4590" s="1" t="n">
        <v>45627</v>
      </c>
      <c r="D4590" t="inlineStr">
        <is>
          <t>HALLANDS LÄN</t>
        </is>
      </c>
      <c r="E4590" t="inlineStr">
        <is>
          <t>KUNGSBACKA</t>
        </is>
      </c>
      <c r="G4590" t="n">
        <v>5.5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53995-2024</t>
        </is>
      </c>
      <c r="B4591" s="1" t="n">
        <v>45616</v>
      </c>
      <c r="C4591" s="1" t="n">
        <v>45627</v>
      </c>
      <c r="D4591" t="inlineStr">
        <is>
          <t>HALLANDS LÄN</t>
        </is>
      </c>
      <c r="E4591" t="inlineStr">
        <is>
          <t>HYLTE</t>
        </is>
      </c>
      <c r="G4591" t="n">
        <v>1.1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54003-2024</t>
        </is>
      </c>
      <c r="B4592" s="1" t="n">
        <v>45616</v>
      </c>
      <c r="C4592" s="1" t="n">
        <v>45627</v>
      </c>
      <c r="D4592" t="inlineStr">
        <is>
          <t>HALLANDS LÄN</t>
        </is>
      </c>
      <c r="E4592" t="inlineStr">
        <is>
          <t>HYLTE</t>
        </is>
      </c>
      <c r="G4592" t="n">
        <v>2.6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54109-2024</t>
        </is>
      </c>
      <c r="B4593" s="1" t="n">
        <v>45616</v>
      </c>
      <c r="C4593" s="1" t="n">
        <v>45627</v>
      </c>
      <c r="D4593" t="inlineStr">
        <is>
          <t>HALLANDS LÄN</t>
        </is>
      </c>
      <c r="E4593" t="inlineStr">
        <is>
          <t>FALKENBERG</t>
        </is>
      </c>
      <c r="G4593" t="n">
        <v>1.6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54125-2024</t>
        </is>
      </c>
      <c r="B4594" s="1" t="n">
        <v>45616</v>
      </c>
      <c r="C4594" s="1" t="n">
        <v>45627</v>
      </c>
      <c r="D4594" t="inlineStr">
        <is>
          <t>HALLANDS LÄN</t>
        </is>
      </c>
      <c r="E4594" t="inlineStr">
        <is>
          <t>FALKENBERG</t>
        </is>
      </c>
      <c r="G4594" t="n">
        <v>6.3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54131-2024</t>
        </is>
      </c>
      <c r="B4595" s="1" t="n">
        <v>45616</v>
      </c>
      <c r="C4595" s="1" t="n">
        <v>45627</v>
      </c>
      <c r="D4595" t="inlineStr">
        <is>
          <t>HALLANDS LÄN</t>
        </is>
      </c>
      <c r="E4595" t="inlineStr">
        <is>
          <t>FALKENBERG</t>
        </is>
      </c>
      <c r="G4595" t="n">
        <v>1.2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54170-2024</t>
        </is>
      </c>
      <c r="B4596" s="1" t="n">
        <v>45616</v>
      </c>
      <c r="C4596" s="1" t="n">
        <v>45627</v>
      </c>
      <c r="D4596" t="inlineStr">
        <is>
          <t>HALLANDS LÄN</t>
        </is>
      </c>
      <c r="E4596" t="inlineStr">
        <is>
          <t>HYLTE</t>
        </is>
      </c>
      <c r="G4596" t="n">
        <v>1.4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54230-2024</t>
        </is>
      </c>
      <c r="B4597" s="1" t="n">
        <v>45616</v>
      </c>
      <c r="C4597" s="1" t="n">
        <v>45627</v>
      </c>
      <c r="D4597" t="inlineStr">
        <is>
          <t>HALLANDS LÄN</t>
        </is>
      </c>
      <c r="E4597" t="inlineStr">
        <is>
          <t>HYLTE</t>
        </is>
      </c>
      <c r="G4597" t="n">
        <v>1.1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54242-2024</t>
        </is>
      </c>
      <c r="B4598" s="1" t="n">
        <v>45616</v>
      </c>
      <c r="C4598" s="1" t="n">
        <v>45627</v>
      </c>
      <c r="D4598" t="inlineStr">
        <is>
          <t>HALLANDS LÄN</t>
        </is>
      </c>
      <c r="E4598" t="inlineStr">
        <is>
          <t>FALKENBERG</t>
        </is>
      </c>
      <c r="G4598" t="n">
        <v>1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54421-2024</t>
        </is>
      </c>
      <c r="B4599" s="1" t="n">
        <v>45617</v>
      </c>
      <c r="C4599" s="1" t="n">
        <v>45627</v>
      </c>
      <c r="D4599" t="inlineStr">
        <is>
          <t>HALLANDS LÄN</t>
        </is>
      </c>
      <c r="E4599" t="inlineStr">
        <is>
          <t>HYLTE</t>
        </is>
      </c>
      <c r="G4599" t="n">
        <v>3.9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54319-2024</t>
        </is>
      </c>
      <c r="B4600" s="1" t="n">
        <v>45617</v>
      </c>
      <c r="C4600" s="1" t="n">
        <v>45627</v>
      </c>
      <c r="D4600" t="inlineStr">
        <is>
          <t>HALLANDS LÄN</t>
        </is>
      </c>
      <c r="E4600" t="inlineStr">
        <is>
          <t>KUNGSBACKA</t>
        </is>
      </c>
      <c r="G4600" t="n">
        <v>2.6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54301-2024</t>
        </is>
      </c>
      <c r="B4601" s="1" t="n">
        <v>45617</v>
      </c>
      <c r="C4601" s="1" t="n">
        <v>45627</v>
      </c>
      <c r="D4601" t="inlineStr">
        <is>
          <t>HALLANDS LÄN</t>
        </is>
      </c>
      <c r="E4601" t="inlineStr">
        <is>
          <t>FALKENBERG</t>
        </is>
      </c>
      <c r="G4601" t="n">
        <v>1.4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54411-2024</t>
        </is>
      </c>
      <c r="B4602" s="1" t="n">
        <v>45617</v>
      </c>
      <c r="C4602" s="1" t="n">
        <v>45627</v>
      </c>
      <c r="D4602" t="inlineStr">
        <is>
          <t>HALLANDS LÄN</t>
        </is>
      </c>
      <c r="E4602" t="inlineStr">
        <is>
          <t>HYLTE</t>
        </is>
      </c>
      <c r="G4602" t="n">
        <v>3.9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54465-2024</t>
        </is>
      </c>
      <c r="B4603" s="1" t="n">
        <v>45617</v>
      </c>
      <c r="C4603" s="1" t="n">
        <v>45627</v>
      </c>
      <c r="D4603" t="inlineStr">
        <is>
          <t>HALLANDS LÄN</t>
        </is>
      </c>
      <c r="E4603" t="inlineStr">
        <is>
          <t>LAHOLM</t>
        </is>
      </c>
      <c r="F4603" t="inlineStr">
        <is>
          <t>Sveaskog</t>
        </is>
      </c>
      <c r="G4603" t="n">
        <v>3.7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54464-2024</t>
        </is>
      </c>
      <c r="B4604" s="1" t="n">
        <v>45617</v>
      </c>
      <c r="C4604" s="1" t="n">
        <v>45627</v>
      </c>
      <c r="D4604" t="inlineStr">
        <is>
          <t>HALLANDS LÄN</t>
        </is>
      </c>
      <c r="E4604" t="inlineStr">
        <is>
          <t>LAHOLM</t>
        </is>
      </c>
      <c r="F4604" t="inlineStr">
        <is>
          <t>Sveaskog</t>
        </is>
      </c>
      <c r="G4604" t="n">
        <v>1.7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54701-2024</t>
        </is>
      </c>
      <c r="B4605" s="1" t="n">
        <v>45618</v>
      </c>
      <c r="C4605" s="1" t="n">
        <v>45627</v>
      </c>
      <c r="D4605" t="inlineStr">
        <is>
          <t>HALLANDS LÄN</t>
        </is>
      </c>
      <c r="E4605" t="inlineStr">
        <is>
          <t>LAHOLM</t>
        </is>
      </c>
      <c r="G4605" t="n">
        <v>1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54659-2024</t>
        </is>
      </c>
      <c r="B4606" s="1" t="n">
        <v>45618</v>
      </c>
      <c r="C4606" s="1" t="n">
        <v>45627</v>
      </c>
      <c r="D4606" t="inlineStr">
        <is>
          <t>HALLANDS LÄN</t>
        </is>
      </c>
      <c r="E4606" t="inlineStr">
        <is>
          <t>FALKENBERG</t>
        </is>
      </c>
      <c r="G4606" t="n">
        <v>3.9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54679-2024</t>
        </is>
      </c>
      <c r="B4607" s="1" t="n">
        <v>45618</v>
      </c>
      <c r="C4607" s="1" t="n">
        <v>45627</v>
      </c>
      <c r="D4607" t="inlineStr">
        <is>
          <t>HALLANDS LÄN</t>
        </is>
      </c>
      <c r="E4607" t="inlineStr">
        <is>
          <t>LAHOLM</t>
        </is>
      </c>
      <c r="G4607" t="n">
        <v>2.2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54700-2024</t>
        </is>
      </c>
      <c r="B4608" s="1" t="n">
        <v>45618</v>
      </c>
      <c r="C4608" s="1" t="n">
        <v>45627</v>
      </c>
      <c r="D4608" t="inlineStr">
        <is>
          <t>HALLANDS LÄN</t>
        </is>
      </c>
      <c r="E4608" t="inlineStr">
        <is>
          <t>FALKENBERG</t>
        </is>
      </c>
      <c r="G4608" t="n">
        <v>0.2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54404-2024</t>
        </is>
      </c>
      <c r="B4609" s="1" t="n">
        <v>45618</v>
      </c>
      <c r="C4609" s="1" t="n">
        <v>45627</v>
      </c>
      <c r="D4609" t="inlineStr">
        <is>
          <t>HALLANDS LÄN</t>
        </is>
      </c>
      <c r="E4609" t="inlineStr">
        <is>
          <t>HYLTE</t>
        </is>
      </c>
      <c r="G4609" t="n">
        <v>1.5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54686-2024</t>
        </is>
      </c>
      <c r="B4610" s="1" t="n">
        <v>45618</v>
      </c>
      <c r="C4610" s="1" t="n">
        <v>45627</v>
      </c>
      <c r="D4610" t="inlineStr">
        <is>
          <t>HALLANDS LÄN</t>
        </is>
      </c>
      <c r="E4610" t="inlineStr">
        <is>
          <t>FALKENBERG</t>
        </is>
      </c>
      <c r="G4610" t="n">
        <v>2.3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54698-2024</t>
        </is>
      </c>
      <c r="B4611" s="1" t="n">
        <v>45618</v>
      </c>
      <c r="C4611" s="1" t="n">
        <v>45627</v>
      </c>
      <c r="D4611" t="inlineStr">
        <is>
          <t>HALLANDS LÄN</t>
        </is>
      </c>
      <c r="E4611" t="inlineStr">
        <is>
          <t>FALKENBERG</t>
        </is>
      </c>
      <c r="G4611" t="n">
        <v>0.6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54818-2024</t>
        </is>
      </c>
      <c r="B4612" s="1" t="n">
        <v>45618</v>
      </c>
      <c r="C4612" s="1" t="n">
        <v>45627</v>
      </c>
      <c r="D4612" t="inlineStr">
        <is>
          <t>HALLANDS LÄN</t>
        </is>
      </c>
      <c r="E4612" t="inlineStr">
        <is>
          <t>HYLTE</t>
        </is>
      </c>
      <c r="G4612" t="n">
        <v>3.5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54937-2024</t>
        </is>
      </c>
      <c r="B4613" s="1" t="n">
        <v>45618</v>
      </c>
      <c r="C4613" s="1" t="n">
        <v>45627</v>
      </c>
      <c r="D4613" t="inlineStr">
        <is>
          <t>HALLANDS LÄN</t>
        </is>
      </c>
      <c r="E4613" t="inlineStr">
        <is>
          <t>VARBERG</t>
        </is>
      </c>
      <c r="G4613" t="n">
        <v>0.7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55109-2024</t>
        </is>
      </c>
      <c r="B4614" s="1" t="n">
        <v>45621</v>
      </c>
      <c r="C4614" s="1" t="n">
        <v>45627</v>
      </c>
      <c r="D4614" t="inlineStr">
        <is>
          <t>HALLANDS LÄN</t>
        </is>
      </c>
      <c r="E4614" t="inlineStr">
        <is>
          <t>LAHOLM</t>
        </is>
      </c>
      <c r="G4614" t="n">
        <v>1.6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55705-2024</t>
        </is>
      </c>
      <c r="B4615" s="1" t="n">
        <v>45622</v>
      </c>
      <c r="C4615" s="1" t="n">
        <v>45627</v>
      </c>
      <c r="D4615" t="inlineStr">
        <is>
          <t>HALLANDS LÄN</t>
        </is>
      </c>
      <c r="E4615" t="inlineStr">
        <is>
          <t>VARBERG</t>
        </is>
      </c>
      <c r="G4615" t="n">
        <v>1.5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55861-2024</t>
        </is>
      </c>
      <c r="B4616" s="1" t="n">
        <v>45623</v>
      </c>
      <c r="C4616" s="1" t="n">
        <v>45627</v>
      </c>
      <c r="D4616" t="inlineStr">
        <is>
          <t>HALLANDS LÄN</t>
        </is>
      </c>
      <c r="E4616" t="inlineStr">
        <is>
          <t>HYLTE</t>
        </is>
      </c>
      <c r="G4616" t="n">
        <v>0.7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55865-2024</t>
        </is>
      </c>
      <c r="B4617" s="1" t="n">
        <v>45623</v>
      </c>
      <c r="C4617" s="1" t="n">
        <v>45627</v>
      </c>
      <c r="D4617" t="inlineStr">
        <is>
          <t>HALLANDS LÄN</t>
        </is>
      </c>
      <c r="E4617" t="inlineStr">
        <is>
          <t>HYLTE</t>
        </is>
      </c>
      <c r="G4617" t="n">
        <v>1.3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55813-2024</t>
        </is>
      </c>
      <c r="B4618" s="1" t="n">
        <v>45623</v>
      </c>
      <c r="C4618" s="1" t="n">
        <v>45627</v>
      </c>
      <c r="D4618" t="inlineStr">
        <is>
          <t>HALLANDS LÄN</t>
        </is>
      </c>
      <c r="E4618" t="inlineStr">
        <is>
          <t>VARBERG</t>
        </is>
      </c>
      <c r="G4618" t="n">
        <v>6.3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55858-2024</t>
        </is>
      </c>
      <c r="B4619" s="1" t="n">
        <v>45623</v>
      </c>
      <c r="C4619" s="1" t="n">
        <v>45627</v>
      </c>
      <c r="D4619" t="inlineStr">
        <is>
          <t>HALLANDS LÄN</t>
        </is>
      </c>
      <c r="E4619" t="inlineStr">
        <is>
          <t>HYLTE</t>
        </is>
      </c>
      <c r="G4619" t="n">
        <v>0.6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55806-2024</t>
        </is>
      </c>
      <c r="B4620" s="1" t="n">
        <v>45623</v>
      </c>
      <c r="C4620" s="1" t="n">
        <v>45627</v>
      </c>
      <c r="D4620" t="inlineStr">
        <is>
          <t>HALLANDS LÄN</t>
        </is>
      </c>
      <c r="E4620" t="inlineStr">
        <is>
          <t>FALKENBERG</t>
        </is>
      </c>
      <c r="G4620" t="n">
        <v>9.9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56066-2024</t>
        </is>
      </c>
      <c r="B4621" s="1" t="n">
        <v>45624</v>
      </c>
      <c r="C4621" s="1" t="n">
        <v>45627</v>
      </c>
      <c r="D4621" t="inlineStr">
        <is>
          <t>HALLANDS LÄN</t>
        </is>
      </c>
      <c r="E4621" t="inlineStr">
        <is>
          <t>HYLTE</t>
        </is>
      </c>
      <c r="G4621" t="n">
        <v>0.9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56239-2024</t>
        </is>
      </c>
      <c r="B4622" s="1" t="n">
        <v>45624</v>
      </c>
      <c r="C4622" s="1" t="n">
        <v>45627</v>
      </c>
      <c r="D4622" t="inlineStr">
        <is>
          <t>HALLANDS LÄN</t>
        </is>
      </c>
      <c r="E4622" t="inlineStr">
        <is>
          <t>FALKENBERG</t>
        </is>
      </c>
      <c r="G4622" t="n">
        <v>6.1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56275-2024</t>
        </is>
      </c>
      <c r="B4623" s="1" t="n">
        <v>45624</v>
      </c>
      <c r="C4623" s="1" t="n">
        <v>45627</v>
      </c>
      <c r="D4623" t="inlineStr">
        <is>
          <t>HALLANDS LÄN</t>
        </is>
      </c>
      <c r="E4623" t="inlineStr">
        <is>
          <t>FALKENBERG</t>
        </is>
      </c>
      <c r="F4623" t="inlineStr">
        <is>
          <t>Kyrkan</t>
        </is>
      </c>
      <c r="G4623" t="n">
        <v>3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56260-2024</t>
        </is>
      </c>
      <c r="B4624" s="1" t="n">
        <v>45624</v>
      </c>
      <c r="C4624" s="1" t="n">
        <v>45627</v>
      </c>
      <c r="D4624" t="inlineStr">
        <is>
          <t>HALLANDS LÄN</t>
        </is>
      </c>
      <c r="E4624" t="inlineStr">
        <is>
          <t>FALKENBERG</t>
        </is>
      </c>
      <c r="G4624" t="n">
        <v>3.1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56310-2024</t>
        </is>
      </c>
      <c r="B4625" s="1" t="n">
        <v>45624</v>
      </c>
      <c r="C4625" s="1" t="n">
        <v>45627</v>
      </c>
      <c r="D4625" t="inlineStr">
        <is>
          <t>HALLANDS LÄN</t>
        </is>
      </c>
      <c r="E4625" t="inlineStr">
        <is>
          <t>HYLTE</t>
        </is>
      </c>
      <c r="G4625" t="n">
        <v>1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56124-2024</t>
        </is>
      </c>
      <c r="B4626" s="1" t="n">
        <v>45624</v>
      </c>
      <c r="C4626" s="1" t="n">
        <v>45627</v>
      </c>
      <c r="D4626" t="inlineStr">
        <is>
          <t>HALLANDS LÄN</t>
        </is>
      </c>
      <c r="E4626" t="inlineStr">
        <is>
          <t>HYLTE</t>
        </is>
      </c>
      <c r="G4626" t="n">
        <v>1.3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56447-2024</t>
        </is>
      </c>
      <c r="B4627" s="1" t="n">
        <v>45625</v>
      </c>
      <c r="C4627" s="1" t="n">
        <v>45627</v>
      </c>
      <c r="D4627" t="inlineStr">
        <is>
          <t>HALLANDS LÄN</t>
        </is>
      </c>
      <c r="E4627" t="inlineStr">
        <is>
          <t>HYLTE</t>
        </is>
      </c>
      <c r="G4627" t="n">
        <v>4.6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56525-2024</t>
        </is>
      </c>
      <c r="B4628" s="1" t="n">
        <v>45625</v>
      </c>
      <c r="C4628" s="1" t="n">
        <v>45627</v>
      </c>
      <c r="D4628" t="inlineStr">
        <is>
          <t>HALLANDS LÄN</t>
        </is>
      </c>
      <c r="E4628" t="inlineStr">
        <is>
          <t>VARBERG</t>
        </is>
      </c>
      <c r="G4628" t="n">
        <v>1.3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56636-2024</t>
        </is>
      </c>
      <c r="B4629" s="1" t="n">
        <v>45625</v>
      </c>
      <c r="C4629" s="1" t="n">
        <v>45627</v>
      </c>
      <c r="D4629" t="inlineStr">
        <is>
          <t>HALLANDS LÄN</t>
        </is>
      </c>
      <c r="E4629" t="inlineStr">
        <is>
          <t>FALKENBERG</t>
        </is>
      </c>
      <c r="G4629" t="n">
        <v>6.7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56661-2024</t>
        </is>
      </c>
      <c r="B4630" s="1" t="n">
        <v>45625</v>
      </c>
      <c r="C4630" s="1" t="n">
        <v>45627</v>
      </c>
      <c r="D4630" t="inlineStr">
        <is>
          <t>HALLANDS LÄN</t>
        </is>
      </c>
      <c r="E4630" t="inlineStr">
        <is>
          <t>HYLTE</t>
        </is>
      </c>
      <c r="G4630" t="n">
        <v>4.4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56522-2024</t>
        </is>
      </c>
      <c r="B4631" s="1" t="n">
        <v>45625</v>
      </c>
      <c r="C4631" s="1" t="n">
        <v>45627</v>
      </c>
      <c r="D4631" t="inlineStr">
        <is>
          <t>HALLANDS LÄN</t>
        </is>
      </c>
      <c r="E4631" t="inlineStr">
        <is>
          <t>VARBERG</t>
        </is>
      </c>
      <c r="G4631" t="n">
        <v>2.2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>
      <c r="A4632" t="inlineStr">
        <is>
          <t>A 56596-2024</t>
        </is>
      </c>
      <c r="B4632" s="1" t="n">
        <v>45625</v>
      </c>
      <c r="C4632" s="1" t="n">
        <v>45627</v>
      </c>
      <c r="D4632" t="inlineStr">
        <is>
          <t>HALLANDS LÄN</t>
        </is>
      </c>
      <c r="E4632" t="inlineStr">
        <is>
          <t>HALMSTAD</t>
        </is>
      </c>
      <c r="G4632" t="n">
        <v>0.8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2024-12-01T15:35:32Z</dcterms:created>
  <dcterms:modified xmlns:dcterms="http://purl.org/dc/terms/" xmlns:xsi="http://www.w3.org/2001/XMLSchema-instance" xsi:type="dcterms:W3CDTF">2024-12-01T15:35:36Z</dcterms:modified>
</cp:coreProperties>
</file>