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45827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45827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45827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45827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45827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45827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45827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45827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45827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45827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45827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45827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45827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45827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45827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45827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45827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45827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45827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45827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45827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45827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45827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45827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45827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45827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45827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45827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45827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45827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45827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45827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45827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45827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45827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45827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45827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45827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45827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45827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45827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45827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45827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45827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45827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45827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45827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45827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45827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45827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45827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45827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45827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10630-2020</t>
        </is>
      </c>
      <c r="B56" s="1" t="n">
        <v>43887</v>
      </c>
      <c r="C56" s="1" t="n">
        <v>45827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HYPERLINK("https://klasma.github.io/Logging_1383/artfynd/A 10630-2020 artfynd.xlsx", "A 10630-2020")</f>
        <v/>
      </c>
      <c r="T56">
        <f>HYPERLINK("https://klasma.github.io/Logging_1383/kartor/A 10630-2020 karta.png", "A 10630-2020")</f>
        <v/>
      </c>
      <c r="V56">
        <f>HYPERLINK("https://klasma.github.io/Logging_1383/klagomål/A 10630-2020 FSC-klagomål.docx", "A 10630-2020")</f>
        <v/>
      </c>
      <c r="W56">
        <f>HYPERLINK("https://klasma.github.io/Logging_1383/klagomålsmail/A 10630-2020 FSC-klagomål mail.docx", "A 10630-2020")</f>
        <v/>
      </c>
      <c r="X56">
        <f>HYPERLINK("https://klasma.github.io/Logging_1383/tillsyn/A 10630-2020 tillsynsbegäran.docx", "A 10630-2020")</f>
        <v/>
      </c>
      <c r="Y56">
        <f>HYPERLINK("https://klasma.github.io/Logging_1383/tillsynsmail/A 10630-2020 tillsynsbegäran mail.docx", "A 10630-2020")</f>
        <v/>
      </c>
    </row>
    <row r="57" ht="15" customHeight="1">
      <c r="A57" t="inlineStr">
        <is>
          <t>A 14863-2020</t>
        </is>
      </c>
      <c r="B57" s="1" t="n">
        <v>43903</v>
      </c>
      <c r="C57" s="1" t="n">
        <v>45827</v>
      </c>
      <c r="D57" t="inlineStr">
        <is>
          <t>HALLANDS LÄN</t>
        </is>
      </c>
      <c r="E57" t="inlineStr">
        <is>
          <t>LAHOLM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HYPERLINK("https://klasma.github.io/Logging_1381/artfynd/A 14863-2020 artfynd.xlsx", "A 14863-2020")</f>
        <v/>
      </c>
      <c r="T57">
        <f>HYPERLINK("https://klasma.github.io/Logging_1381/kartor/A 14863-2020 karta.png", "A 14863-2020")</f>
        <v/>
      </c>
      <c r="V57">
        <f>HYPERLINK("https://klasma.github.io/Logging_1381/klagomål/A 14863-2020 FSC-klagomål.docx", "A 14863-2020")</f>
        <v/>
      </c>
      <c r="W57">
        <f>HYPERLINK("https://klasma.github.io/Logging_1381/klagomålsmail/A 14863-2020 FSC-klagomål mail.docx", "A 14863-2020")</f>
        <v/>
      </c>
      <c r="X57">
        <f>HYPERLINK("https://klasma.github.io/Logging_1381/tillsyn/A 14863-2020 tillsynsbegäran.docx", "A 14863-2020")</f>
        <v/>
      </c>
      <c r="Y57">
        <f>HYPERLINK("https://klasma.github.io/Logging_1381/tillsynsmail/A 14863-2020 tillsynsbegäran mail.docx", "A 14863-2020")</f>
        <v/>
      </c>
    </row>
    <row r="58" ht="15" customHeight="1">
      <c r="A58" t="inlineStr">
        <is>
          <t>A 13761-2020</t>
        </is>
      </c>
      <c r="B58" s="1" t="n">
        <v>43903</v>
      </c>
      <c r="C58" s="1" t="n">
        <v>45827</v>
      </c>
      <c r="D58" t="inlineStr">
        <is>
          <t>HALLANDS LÄN</t>
        </is>
      </c>
      <c r="E58" t="inlineStr">
        <is>
          <t>HYLTE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HYPERLINK("https://klasma.github.io/Logging_1315/artfynd/A 13761-2020 artfynd.xlsx", "A 13761-2020")</f>
        <v/>
      </c>
      <c r="T58">
        <f>HYPERLINK("https://klasma.github.io/Logging_1315/kartor/A 13761-2020 karta.png", "A 13761-2020")</f>
        <v/>
      </c>
      <c r="V58">
        <f>HYPERLINK("https://klasma.github.io/Logging_1315/klagomål/A 13761-2020 FSC-klagomål.docx", "A 13761-2020")</f>
        <v/>
      </c>
      <c r="W58">
        <f>HYPERLINK("https://klasma.github.io/Logging_1315/klagomålsmail/A 13761-2020 FSC-klagomål mail.docx", "A 13761-2020")</f>
        <v/>
      </c>
      <c r="X58">
        <f>HYPERLINK("https://klasma.github.io/Logging_1315/tillsyn/A 13761-2020 tillsynsbegäran.docx", "A 13761-2020")</f>
        <v/>
      </c>
      <c r="Y58">
        <f>HYPERLINK("https://klasma.github.io/Logging_1315/tillsynsmail/A 13761-2020 tillsynsbegäran mail.docx", "A 13761-2020")</f>
        <v/>
      </c>
    </row>
    <row r="59" ht="15" customHeight="1">
      <c r="A59" t="inlineStr">
        <is>
          <t>A 25537-2020</t>
        </is>
      </c>
      <c r="B59" s="1" t="n">
        <v>43983</v>
      </c>
      <c r="C59" s="1" t="n">
        <v>45827</v>
      </c>
      <c r="D59" t="inlineStr">
        <is>
          <t>HALLANDS LÄN</t>
        </is>
      </c>
      <c r="E59" t="inlineStr">
        <is>
          <t>HYLTE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HYPERLINK("https://klasma.github.io/Logging_1315/artfynd/A 25537-2020 artfynd.xlsx", "A 25537-2020")</f>
        <v/>
      </c>
      <c r="T59">
        <f>HYPERLINK("https://klasma.github.io/Logging_1315/kartor/A 25537-2020 karta.png", "A 25537-2020")</f>
        <v/>
      </c>
      <c r="V59">
        <f>HYPERLINK("https://klasma.github.io/Logging_1315/klagomål/A 25537-2020 FSC-klagomål.docx", "A 25537-2020")</f>
        <v/>
      </c>
      <c r="W59">
        <f>HYPERLINK("https://klasma.github.io/Logging_1315/klagomålsmail/A 25537-2020 FSC-klagomål mail.docx", "A 25537-2020")</f>
        <v/>
      </c>
      <c r="X59">
        <f>HYPERLINK("https://klasma.github.io/Logging_1315/tillsyn/A 25537-2020 tillsynsbegäran.docx", "A 25537-2020")</f>
        <v/>
      </c>
      <c r="Y59">
        <f>HYPERLINK("https://klasma.github.io/Logging_1315/tillsynsmail/A 25537-2020 tillsynsbegäran mail.docx", "A 25537-2020")</f>
        <v/>
      </c>
    </row>
    <row r="60" ht="15" customHeight="1">
      <c r="A60" t="inlineStr">
        <is>
          <t>A 35100-2020</t>
        </is>
      </c>
      <c r="B60" s="1" t="n">
        <v>44040</v>
      </c>
      <c r="C60" s="1" t="n">
        <v>45827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35100-2020 artfynd.xlsx", "A 35100-2020")</f>
        <v/>
      </c>
      <c r="T60">
        <f>HYPERLINK("https://klasma.github.io/Logging_1380/kartor/A 35100-2020 karta.png", "A 35100-2020")</f>
        <v/>
      </c>
      <c r="V60">
        <f>HYPERLINK("https://klasma.github.io/Logging_1380/klagomål/A 35100-2020 FSC-klagomål.docx", "A 35100-2020")</f>
        <v/>
      </c>
      <c r="W60">
        <f>HYPERLINK("https://klasma.github.io/Logging_1380/klagomålsmail/A 35100-2020 FSC-klagomål mail.docx", "A 35100-2020")</f>
        <v/>
      </c>
      <c r="X60">
        <f>HYPERLINK("https://klasma.github.io/Logging_1380/tillsyn/A 35100-2020 tillsynsbegäran.docx", "A 35100-2020")</f>
        <v/>
      </c>
      <c r="Y60">
        <f>HYPERLINK("https://klasma.github.io/Logging_1380/tillsynsmail/A 35100-2020 tillsynsbegäran mail.docx", "A 35100-2020")</f>
        <v/>
      </c>
    </row>
    <row r="61" ht="15" customHeight="1">
      <c r="A61" t="inlineStr">
        <is>
          <t>A 50228-2020</t>
        </is>
      </c>
      <c r="B61" s="1" t="n">
        <v>44109</v>
      </c>
      <c r="C61" s="1" t="n">
        <v>45827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Trädlärka</t>
        </is>
      </c>
      <c r="S61">
        <f>HYPERLINK("https://klasma.github.io/Logging_1382/artfynd/A 50228-2020 artfynd.xlsx", "A 50228-2020")</f>
        <v/>
      </c>
      <c r="T61">
        <f>HYPERLINK("https://klasma.github.io/Logging_1382/kartor/A 50228-2020 karta.png", "A 50228-2020")</f>
        <v/>
      </c>
      <c r="V61">
        <f>HYPERLINK("https://klasma.github.io/Logging_1382/klagomål/A 50228-2020 FSC-klagomål.docx", "A 50228-2020")</f>
        <v/>
      </c>
      <c r="W61">
        <f>HYPERLINK("https://klasma.github.io/Logging_1382/klagomålsmail/A 50228-2020 FSC-klagomål mail.docx", "A 50228-2020")</f>
        <v/>
      </c>
      <c r="X61">
        <f>HYPERLINK("https://klasma.github.io/Logging_1382/tillsyn/A 50228-2020 tillsynsbegäran.docx", "A 50228-2020")</f>
        <v/>
      </c>
      <c r="Y61">
        <f>HYPERLINK("https://klasma.github.io/Logging_1382/tillsynsmail/A 50228-2020 tillsynsbegäran mail.docx", "A 50228-2020")</f>
        <v/>
      </c>
      <c r="Z61">
        <f>HYPERLINK("https://klasma.github.io/Logging_1382/fåglar/A 50228-2020 prioriterade fågelarter.docx", "A 50228-2020")</f>
        <v/>
      </c>
    </row>
    <row r="62" ht="15" customHeight="1">
      <c r="A62" t="inlineStr">
        <is>
          <t>A 52303-2020</t>
        </is>
      </c>
      <c r="B62" s="1" t="n">
        <v>44117</v>
      </c>
      <c r="C62" s="1" t="n">
        <v>45827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HYPERLINK("https://klasma.github.io/Logging_1384/artfynd/A 52303-2020 artfynd.xlsx", "A 52303-2020")</f>
        <v/>
      </c>
      <c r="T62">
        <f>HYPERLINK("https://klasma.github.io/Logging_1384/kartor/A 52303-2020 karta.png", "A 52303-2020")</f>
        <v/>
      </c>
      <c r="V62">
        <f>HYPERLINK("https://klasma.github.io/Logging_1384/klagomål/A 52303-2020 FSC-klagomål.docx", "A 52303-2020")</f>
        <v/>
      </c>
      <c r="W62">
        <f>HYPERLINK("https://klasma.github.io/Logging_1384/klagomålsmail/A 52303-2020 FSC-klagomål mail.docx", "A 52303-2020")</f>
        <v/>
      </c>
      <c r="X62">
        <f>HYPERLINK("https://klasma.github.io/Logging_1384/tillsyn/A 52303-2020 tillsynsbegäran.docx", "A 52303-2020")</f>
        <v/>
      </c>
      <c r="Y62">
        <f>HYPERLINK("https://klasma.github.io/Logging_1384/tillsynsmail/A 52303-2020 tillsynsbegäran mail.docx", "A 52303-2020")</f>
        <v/>
      </c>
    </row>
    <row r="63" ht="15" customHeight="1">
      <c r="A63" t="inlineStr">
        <is>
          <t>A 58682-2020</t>
        </is>
      </c>
      <c r="B63" s="1" t="n">
        <v>44146</v>
      </c>
      <c r="C63" s="1" t="n">
        <v>45827</v>
      </c>
      <c r="D63" t="inlineStr">
        <is>
          <t>HALLANDS LÄN</t>
        </is>
      </c>
      <c r="E63" t="inlineStr">
        <is>
          <t>FALKENBERG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HYPERLINK("https://klasma.github.io/Logging_1382/artfynd/A 58682-2020 artfynd.xlsx", "A 58682-2020")</f>
        <v/>
      </c>
      <c r="T63">
        <f>HYPERLINK("https://klasma.github.io/Logging_1382/kartor/A 58682-2020 karta.png", "A 58682-2020")</f>
        <v/>
      </c>
      <c r="V63">
        <f>HYPERLINK("https://klasma.github.io/Logging_1382/klagomål/A 58682-2020 FSC-klagomål.docx", "A 58682-2020")</f>
        <v/>
      </c>
      <c r="W63">
        <f>HYPERLINK("https://klasma.github.io/Logging_1382/klagomålsmail/A 58682-2020 FSC-klagomål mail.docx", "A 58682-2020")</f>
        <v/>
      </c>
      <c r="X63">
        <f>HYPERLINK("https://klasma.github.io/Logging_1382/tillsyn/A 58682-2020 tillsynsbegäran.docx", "A 58682-2020")</f>
        <v/>
      </c>
      <c r="Y63">
        <f>HYPERLINK("https://klasma.github.io/Logging_1382/tillsynsmail/A 58682-2020 tillsynsbegäran mail.docx", "A 58682-2020")</f>
        <v/>
      </c>
    </row>
    <row r="64" ht="15" customHeight="1">
      <c r="A64" t="inlineStr">
        <is>
          <t>A 62200-2020</t>
        </is>
      </c>
      <c r="B64" s="1" t="n">
        <v>44159</v>
      </c>
      <c r="C64" s="1" t="n">
        <v>45827</v>
      </c>
      <c r="D64" t="inlineStr">
        <is>
          <t>HALLANDS LÄN</t>
        </is>
      </c>
      <c r="E64" t="inlineStr">
        <is>
          <t>FALKENBERG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HYPERLINK("https://klasma.github.io/Logging_1382/artfynd/A 62200-2020 artfynd.xlsx", "A 62200-2020")</f>
        <v/>
      </c>
      <c r="T64">
        <f>HYPERLINK("https://klasma.github.io/Logging_1382/kartor/A 62200-2020 karta.png", "A 62200-2020")</f>
        <v/>
      </c>
      <c r="V64">
        <f>HYPERLINK("https://klasma.github.io/Logging_1382/klagomål/A 62200-2020 FSC-klagomål.docx", "A 62200-2020")</f>
        <v/>
      </c>
      <c r="W64">
        <f>HYPERLINK("https://klasma.github.io/Logging_1382/klagomålsmail/A 62200-2020 FSC-klagomål mail.docx", "A 62200-2020")</f>
        <v/>
      </c>
      <c r="X64">
        <f>HYPERLINK("https://klasma.github.io/Logging_1382/tillsyn/A 62200-2020 tillsynsbegäran.docx", "A 62200-2020")</f>
        <v/>
      </c>
      <c r="Y64">
        <f>HYPERLINK("https://klasma.github.io/Logging_1382/tillsynsmail/A 62200-2020 tillsynsbegäran mail.docx", "A 62200-2020")</f>
        <v/>
      </c>
    </row>
    <row r="65" ht="15" customHeight="1">
      <c r="A65" t="inlineStr">
        <is>
          <t>A 68882-2020</t>
        </is>
      </c>
      <c r="B65" s="1" t="n">
        <v>44187</v>
      </c>
      <c r="C65" s="1" t="n">
        <v>45827</v>
      </c>
      <c r="D65" t="inlineStr">
        <is>
          <t>HALLANDS LÄN</t>
        </is>
      </c>
      <c r="E65" t="inlineStr">
        <is>
          <t>VARBERG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68882-2020 artfynd.xlsx", "A 68882-2020")</f>
        <v/>
      </c>
      <c r="T65">
        <f>HYPERLINK("https://klasma.github.io/Logging_1383/kartor/A 68882-2020 karta.png", "A 68882-2020")</f>
        <v/>
      </c>
      <c r="V65">
        <f>HYPERLINK("https://klasma.github.io/Logging_1383/klagomål/A 68882-2020 FSC-klagomål.docx", "A 68882-2020")</f>
        <v/>
      </c>
      <c r="W65">
        <f>HYPERLINK("https://klasma.github.io/Logging_1383/klagomålsmail/A 68882-2020 FSC-klagomål mail.docx", "A 68882-2020")</f>
        <v/>
      </c>
      <c r="X65">
        <f>HYPERLINK("https://klasma.github.io/Logging_1383/tillsyn/A 68882-2020 tillsynsbegäran.docx", "A 68882-2020")</f>
        <v/>
      </c>
      <c r="Y65">
        <f>HYPERLINK("https://klasma.github.io/Logging_1383/tillsynsmail/A 68882-2020 tillsynsbegäran mail.docx", "A 68882-2020")</f>
        <v/>
      </c>
    </row>
    <row r="66" ht="15" customHeight="1">
      <c r="A66" t="inlineStr">
        <is>
          <t>A 69344-2020</t>
        </is>
      </c>
      <c r="B66" s="1" t="n">
        <v>44193</v>
      </c>
      <c r="C66" s="1" t="n">
        <v>45827</v>
      </c>
      <c r="D66" t="inlineStr">
        <is>
          <t>HALLANDS LÄN</t>
        </is>
      </c>
      <c r="E66" t="inlineStr">
        <is>
          <t>VARBERG</t>
        </is>
      </c>
      <c r="G66" t="n">
        <v>22.9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HYPERLINK("https://klasma.github.io/Logging_1383/artfynd/A 69344-2020 artfynd.xlsx", "A 69344-2020")</f>
        <v/>
      </c>
      <c r="T66">
        <f>HYPERLINK("https://klasma.github.io/Logging_1383/kartor/A 69344-2020 karta.png", "A 69344-2020")</f>
        <v/>
      </c>
      <c r="V66">
        <f>HYPERLINK("https://klasma.github.io/Logging_1383/klagomål/A 69344-2020 FSC-klagomål.docx", "A 69344-2020")</f>
        <v/>
      </c>
      <c r="W66">
        <f>HYPERLINK("https://klasma.github.io/Logging_1383/klagomålsmail/A 69344-2020 FSC-klagomål mail.docx", "A 69344-2020")</f>
        <v/>
      </c>
      <c r="X66">
        <f>HYPERLINK("https://klasma.github.io/Logging_1383/tillsyn/A 69344-2020 tillsynsbegäran.docx", "A 69344-2020")</f>
        <v/>
      </c>
      <c r="Y66">
        <f>HYPERLINK("https://klasma.github.io/Logging_1383/tillsynsmail/A 69344-2020 tillsynsbegäran mail.docx", "A 69344-2020")</f>
        <v/>
      </c>
    </row>
    <row r="67" ht="15" customHeight="1">
      <c r="A67" t="inlineStr">
        <is>
          <t>A 4831-2021</t>
        </is>
      </c>
      <c r="B67" s="1" t="n">
        <v>44225</v>
      </c>
      <c r="C67" s="1" t="n">
        <v>45827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HYPERLINK("https://klasma.github.io/Logging_1384/artfynd/A 4831-2021 artfynd.xlsx", "A 4831-2021")</f>
        <v/>
      </c>
      <c r="T67">
        <f>HYPERLINK("https://klasma.github.io/Logging_1384/kartor/A 4831-2021 karta.png", "A 4831-2021")</f>
        <v/>
      </c>
      <c r="V67">
        <f>HYPERLINK("https://klasma.github.io/Logging_1384/klagomål/A 4831-2021 FSC-klagomål.docx", "A 4831-2021")</f>
        <v/>
      </c>
      <c r="W67">
        <f>HYPERLINK("https://klasma.github.io/Logging_1384/klagomålsmail/A 4831-2021 FSC-klagomål mail.docx", "A 4831-2021")</f>
        <v/>
      </c>
      <c r="X67">
        <f>HYPERLINK("https://klasma.github.io/Logging_1384/tillsyn/A 4831-2021 tillsynsbegäran.docx", "A 4831-2021")</f>
        <v/>
      </c>
      <c r="Y67">
        <f>HYPERLINK("https://klasma.github.io/Logging_1384/tillsynsmail/A 4831-2021 tillsynsbegäran mail.docx", "A 4831-2021")</f>
        <v/>
      </c>
    </row>
    <row r="68" ht="15" customHeight="1">
      <c r="A68" t="inlineStr">
        <is>
          <t>A 9371-2021</t>
        </is>
      </c>
      <c r="B68" s="1" t="n">
        <v>44250</v>
      </c>
      <c r="C68" s="1" t="n">
        <v>45827</v>
      </c>
      <c r="D68" t="inlineStr">
        <is>
          <t>HALLANDS LÄN</t>
        </is>
      </c>
      <c r="E68" t="inlineStr">
        <is>
          <t>VARBERG</t>
        </is>
      </c>
      <c r="G68" t="n">
        <v>18.9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HYPERLINK("https://klasma.github.io/Logging_1383/artfynd/A 9371-2021 artfynd.xlsx", "A 9371-2021")</f>
        <v/>
      </c>
      <c r="T68">
        <f>HYPERLINK("https://klasma.github.io/Logging_1383/kartor/A 9371-2021 karta.png", "A 9371-2021")</f>
        <v/>
      </c>
      <c r="V68">
        <f>HYPERLINK("https://klasma.github.io/Logging_1383/klagomål/A 9371-2021 FSC-klagomål.docx", "A 9371-2021")</f>
        <v/>
      </c>
      <c r="W68">
        <f>HYPERLINK("https://klasma.github.io/Logging_1383/klagomålsmail/A 9371-2021 FSC-klagomål mail.docx", "A 9371-2021")</f>
        <v/>
      </c>
      <c r="X68">
        <f>HYPERLINK("https://klasma.github.io/Logging_1383/tillsyn/A 9371-2021 tillsynsbegäran.docx", "A 9371-2021")</f>
        <v/>
      </c>
      <c r="Y68">
        <f>HYPERLINK("https://klasma.github.io/Logging_1383/tillsynsmail/A 9371-2021 tillsynsbegäran mail.docx", "A 9371-2021")</f>
        <v/>
      </c>
      <c r="Z68">
        <f>HYPERLINK("https://klasma.github.io/Logging_1383/fåglar/A 9371-2021 prioriterade fågelarter.docx", "A 9371-2021")</f>
        <v/>
      </c>
    </row>
    <row r="69" ht="15" customHeight="1">
      <c r="A69" t="inlineStr">
        <is>
          <t>A 17350-2021</t>
        </is>
      </c>
      <c r="B69" s="1" t="n">
        <v>44298</v>
      </c>
      <c r="C69" s="1" t="n">
        <v>45827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Åkerfibbla</t>
        </is>
      </c>
      <c r="S69">
        <f>HYPERLINK("https://klasma.github.io/Logging_1380/artfynd/A 17350-2021 artfynd.xlsx", "A 17350-2021")</f>
        <v/>
      </c>
      <c r="T69">
        <f>HYPERLINK("https://klasma.github.io/Logging_1380/kartor/A 17350-2021 karta.png", "A 17350-2021")</f>
        <v/>
      </c>
      <c r="V69">
        <f>HYPERLINK("https://klasma.github.io/Logging_1380/klagomål/A 17350-2021 FSC-klagomål.docx", "A 17350-2021")</f>
        <v/>
      </c>
      <c r="W69">
        <f>HYPERLINK("https://klasma.github.io/Logging_1380/klagomålsmail/A 17350-2021 FSC-klagomål mail.docx", "A 17350-2021")</f>
        <v/>
      </c>
      <c r="X69">
        <f>HYPERLINK("https://klasma.github.io/Logging_1380/tillsyn/A 17350-2021 tillsynsbegäran.docx", "A 17350-2021")</f>
        <v/>
      </c>
      <c r="Y69">
        <f>HYPERLINK("https://klasma.github.io/Logging_1380/tillsynsmail/A 17350-2021 tillsynsbegäran mail.docx", "A 17350-2021")</f>
        <v/>
      </c>
    </row>
    <row r="70" ht="15" customHeight="1">
      <c r="A70" t="inlineStr">
        <is>
          <t>A 23166-2021</t>
        </is>
      </c>
      <c r="B70" s="1" t="n">
        <v>44332</v>
      </c>
      <c r="C70" s="1" t="n">
        <v>45827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HYPERLINK("https://klasma.github.io/Logging_1315/artfynd/A 23166-2021 artfynd.xlsx", "A 23166-2021")</f>
        <v/>
      </c>
      <c r="T70">
        <f>HYPERLINK("https://klasma.github.io/Logging_1315/kartor/A 23166-2021 karta.png", "A 23166-2021")</f>
        <v/>
      </c>
      <c r="U70">
        <f>HYPERLINK("https://klasma.github.io/Logging_1315/knärot/A 23166-2021 karta knärot.png", "A 23166-2021")</f>
        <v/>
      </c>
      <c r="V70">
        <f>HYPERLINK("https://klasma.github.io/Logging_1315/klagomål/A 23166-2021 FSC-klagomål.docx", "A 23166-2021")</f>
        <v/>
      </c>
      <c r="W70">
        <f>HYPERLINK("https://klasma.github.io/Logging_1315/klagomålsmail/A 23166-2021 FSC-klagomål mail.docx", "A 23166-2021")</f>
        <v/>
      </c>
      <c r="X70">
        <f>HYPERLINK("https://klasma.github.io/Logging_1315/tillsyn/A 23166-2021 tillsynsbegäran.docx", "A 23166-2021")</f>
        <v/>
      </c>
      <c r="Y70">
        <f>HYPERLINK("https://klasma.github.io/Logging_1315/tillsynsmail/A 23166-2021 tillsynsbegäran mail.docx", "A 23166-2021")</f>
        <v/>
      </c>
    </row>
    <row r="71" ht="15" customHeight="1">
      <c r="A71" t="inlineStr">
        <is>
          <t>A 30534-2021</t>
        </is>
      </c>
      <c r="B71" s="1" t="n">
        <v>44364</v>
      </c>
      <c r="C71" s="1" t="n">
        <v>45827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HYPERLINK("https://klasma.github.io/Logging_1383/artfynd/A 30534-2021 artfynd.xlsx", "A 30534-2021")</f>
        <v/>
      </c>
      <c r="T71">
        <f>HYPERLINK("https://klasma.github.io/Logging_1383/kartor/A 30534-2021 karta.png", "A 30534-2021")</f>
        <v/>
      </c>
      <c r="V71">
        <f>HYPERLINK("https://klasma.github.io/Logging_1383/klagomål/A 30534-2021 FSC-klagomål.docx", "A 30534-2021")</f>
        <v/>
      </c>
      <c r="W71">
        <f>HYPERLINK("https://klasma.github.io/Logging_1383/klagomålsmail/A 30534-2021 FSC-klagomål mail.docx", "A 30534-2021")</f>
        <v/>
      </c>
      <c r="X71">
        <f>HYPERLINK("https://klasma.github.io/Logging_1383/tillsyn/A 30534-2021 tillsynsbegäran.docx", "A 30534-2021")</f>
        <v/>
      </c>
      <c r="Y71">
        <f>HYPERLINK("https://klasma.github.io/Logging_1383/tillsynsmail/A 30534-2021 tillsynsbegäran mail.docx", "A 30534-2021")</f>
        <v/>
      </c>
    </row>
    <row r="72" ht="15" customHeight="1">
      <c r="A72" t="inlineStr">
        <is>
          <t>A 35502-2021</t>
        </is>
      </c>
      <c r="B72" s="1" t="n">
        <v>44385</v>
      </c>
      <c r="C72" s="1" t="n">
        <v>45827</v>
      </c>
      <c r="D72" t="inlineStr">
        <is>
          <t>HALLANDS LÄN</t>
        </is>
      </c>
      <c r="E72" t="inlineStr">
        <is>
          <t>HALMSTAD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1</v>
      </c>
      <c r="P72" t="n">
        <v>0</v>
      </c>
      <c r="Q72" t="n">
        <v>1</v>
      </c>
      <c r="R72" s="2" t="inlineStr">
        <is>
          <t>Praktgrusmossa</t>
        </is>
      </c>
      <c r="S72">
        <f>HYPERLINK("https://klasma.github.io/Logging_1380/artfynd/A 35502-2021 artfynd.xlsx", "A 35502-2021")</f>
        <v/>
      </c>
      <c r="T72">
        <f>HYPERLINK("https://klasma.github.io/Logging_1380/kartor/A 35502-2021 karta.png", "A 35502-2021")</f>
        <v/>
      </c>
      <c r="V72">
        <f>HYPERLINK("https://klasma.github.io/Logging_1380/klagomål/A 35502-2021 FSC-klagomål.docx", "A 35502-2021")</f>
        <v/>
      </c>
      <c r="W72">
        <f>HYPERLINK("https://klasma.github.io/Logging_1380/klagomålsmail/A 35502-2021 FSC-klagomål mail.docx", "A 35502-2021")</f>
        <v/>
      </c>
      <c r="X72">
        <f>HYPERLINK("https://klasma.github.io/Logging_1380/tillsyn/A 35502-2021 tillsynsbegäran.docx", "A 35502-2021")</f>
        <v/>
      </c>
      <c r="Y72">
        <f>HYPERLINK("https://klasma.github.io/Logging_1380/tillsynsmail/A 35502-2021 tillsynsbegäran mail.docx", "A 35502-2021")</f>
        <v/>
      </c>
    </row>
    <row r="73" ht="15" customHeight="1">
      <c r="A73" t="inlineStr">
        <is>
          <t>A 44540-2021</t>
        </is>
      </c>
      <c r="B73" s="1" t="n">
        <v>44435</v>
      </c>
      <c r="C73" s="1" t="n">
        <v>45827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HYPERLINK("https://klasma.github.io/Logging_1382/artfynd/A 44540-2021 artfynd.xlsx", "A 44540-2021")</f>
        <v/>
      </c>
      <c r="T73">
        <f>HYPERLINK("https://klasma.github.io/Logging_1382/kartor/A 44540-2021 karta.png", "A 44540-2021")</f>
        <v/>
      </c>
      <c r="V73">
        <f>HYPERLINK("https://klasma.github.io/Logging_1382/klagomål/A 44540-2021 FSC-klagomål.docx", "A 44540-2021")</f>
        <v/>
      </c>
      <c r="W73">
        <f>HYPERLINK("https://klasma.github.io/Logging_1382/klagomålsmail/A 44540-2021 FSC-klagomål mail.docx", "A 44540-2021")</f>
        <v/>
      </c>
      <c r="X73">
        <f>HYPERLINK("https://klasma.github.io/Logging_1382/tillsyn/A 44540-2021 tillsynsbegäran.docx", "A 44540-2021")</f>
        <v/>
      </c>
      <c r="Y73">
        <f>HYPERLINK("https://klasma.github.io/Logging_1382/tillsynsmail/A 44540-2021 tillsynsbegäran mail.docx", "A 44540-2021")</f>
        <v/>
      </c>
    </row>
    <row r="74" ht="15" customHeight="1">
      <c r="A74" t="inlineStr">
        <is>
          <t>A 50645-2021</t>
        </is>
      </c>
      <c r="B74" s="1" t="n">
        <v>44459</v>
      </c>
      <c r="C74" s="1" t="n">
        <v>45827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HYPERLINK("https://klasma.github.io/Logging_1381/artfynd/A 50645-2021 artfynd.xlsx", "A 50645-2021")</f>
        <v/>
      </c>
      <c r="T74">
        <f>HYPERLINK("https://klasma.github.io/Logging_1381/kartor/A 50645-2021 karta.png", "A 50645-2021")</f>
        <v/>
      </c>
      <c r="V74">
        <f>HYPERLINK("https://klasma.github.io/Logging_1381/klagomål/A 50645-2021 FSC-klagomål.docx", "A 50645-2021")</f>
        <v/>
      </c>
      <c r="W74">
        <f>HYPERLINK("https://klasma.github.io/Logging_1381/klagomålsmail/A 50645-2021 FSC-klagomål mail.docx", "A 50645-2021")</f>
        <v/>
      </c>
      <c r="X74">
        <f>HYPERLINK("https://klasma.github.io/Logging_1381/tillsyn/A 50645-2021 tillsynsbegäran.docx", "A 50645-2021")</f>
        <v/>
      </c>
      <c r="Y74">
        <f>HYPERLINK("https://klasma.github.io/Logging_1381/tillsynsmail/A 50645-2021 tillsynsbegäran mail.docx", "A 50645-2021")</f>
        <v/>
      </c>
    </row>
    <row r="75" ht="15" customHeight="1">
      <c r="A75" t="inlineStr">
        <is>
          <t>A 50998-2021</t>
        </is>
      </c>
      <c r="B75" s="1" t="n">
        <v>44460</v>
      </c>
      <c r="C75" s="1" t="n">
        <v>45827</v>
      </c>
      <c r="D75" t="inlineStr">
        <is>
          <t>HALLANDS LÄN</t>
        </is>
      </c>
      <c r="E75" t="inlineStr">
        <is>
          <t>FALKENBERG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HYPERLINK("https://klasma.github.io/Logging_1382/artfynd/A 50998-2021 artfynd.xlsx", "A 50998-2021")</f>
        <v/>
      </c>
      <c r="T75">
        <f>HYPERLINK("https://klasma.github.io/Logging_1382/kartor/A 50998-2021 karta.png", "A 50998-2021")</f>
        <v/>
      </c>
      <c r="V75">
        <f>HYPERLINK("https://klasma.github.io/Logging_1382/klagomål/A 50998-2021 FSC-klagomål.docx", "A 50998-2021")</f>
        <v/>
      </c>
      <c r="W75">
        <f>HYPERLINK("https://klasma.github.io/Logging_1382/klagomålsmail/A 50998-2021 FSC-klagomål mail.docx", "A 50998-2021")</f>
        <v/>
      </c>
      <c r="X75">
        <f>HYPERLINK("https://klasma.github.io/Logging_1382/tillsyn/A 50998-2021 tillsynsbegäran.docx", "A 50998-2021")</f>
        <v/>
      </c>
      <c r="Y75">
        <f>HYPERLINK("https://klasma.github.io/Logging_1382/tillsynsmail/A 50998-2021 tillsynsbegäran mail.docx", "A 50998-2021")</f>
        <v/>
      </c>
    </row>
    <row r="76" ht="15" customHeight="1">
      <c r="A76" t="inlineStr">
        <is>
          <t>A 53915-2021</t>
        </is>
      </c>
      <c r="B76" s="1" t="n">
        <v>44469</v>
      </c>
      <c r="C76" s="1" t="n">
        <v>45827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66137-2021</t>
        </is>
      </c>
      <c r="B77" s="1" t="n">
        <v>44517</v>
      </c>
      <c r="C77" s="1" t="n">
        <v>45827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HYPERLINK("https://klasma.github.io/Logging_1382/artfynd/A 66137-2021 artfynd.xlsx", "A 66137-2021")</f>
        <v/>
      </c>
      <c r="T77">
        <f>HYPERLINK("https://klasma.github.io/Logging_1382/kartor/A 66137-2021 karta.png", "A 66137-2021")</f>
        <v/>
      </c>
      <c r="V77">
        <f>HYPERLINK("https://klasma.github.io/Logging_1382/klagomål/A 66137-2021 FSC-klagomål.docx", "A 66137-2021")</f>
        <v/>
      </c>
      <c r="W77">
        <f>HYPERLINK("https://klasma.github.io/Logging_1382/klagomålsmail/A 66137-2021 FSC-klagomål mail.docx", "A 66137-2021")</f>
        <v/>
      </c>
      <c r="X77">
        <f>HYPERLINK("https://klasma.github.io/Logging_1382/tillsyn/A 66137-2021 tillsynsbegäran.docx", "A 66137-2021")</f>
        <v/>
      </c>
      <c r="Y77">
        <f>HYPERLINK("https://klasma.github.io/Logging_1382/tillsynsmail/A 66137-2021 tillsynsbegäran mail.docx", "A 66137-2021")</f>
        <v/>
      </c>
    </row>
    <row r="78" ht="15" customHeight="1">
      <c r="A78" t="inlineStr">
        <is>
          <t>A 70738-2021</t>
        </is>
      </c>
      <c r="B78" s="1" t="n">
        <v>44537</v>
      </c>
      <c r="C78" s="1" t="n">
        <v>45827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HYPERLINK("https://klasma.github.io/Logging_1380/artfynd/A 70738-2021 artfynd.xlsx", "A 70738-2021")</f>
        <v/>
      </c>
      <c r="T78">
        <f>HYPERLINK("https://klasma.github.io/Logging_1380/kartor/A 70738-2021 karta.png", "A 70738-2021")</f>
        <v/>
      </c>
      <c r="V78">
        <f>HYPERLINK("https://klasma.github.io/Logging_1380/klagomål/A 70738-2021 FSC-klagomål.docx", "A 70738-2021")</f>
        <v/>
      </c>
      <c r="W78">
        <f>HYPERLINK("https://klasma.github.io/Logging_1380/klagomålsmail/A 70738-2021 FSC-klagomål mail.docx", "A 70738-2021")</f>
        <v/>
      </c>
      <c r="X78">
        <f>HYPERLINK("https://klasma.github.io/Logging_1380/tillsyn/A 70738-2021 tillsynsbegäran.docx", "A 70738-2021")</f>
        <v/>
      </c>
      <c r="Y78">
        <f>HYPERLINK("https://klasma.github.io/Logging_1380/tillsynsmail/A 70738-2021 tillsynsbegäran mail.docx", "A 70738-2021")</f>
        <v/>
      </c>
    </row>
    <row r="79" ht="15" customHeight="1">
      <c r="A79" t="inlineStr">
        <is>
          <t>A 70769-2021</t>
        </is>
      </c>
      <c r="B79" s="1" t="n">
        <v>44537</v>
      </c>
      <c r="C79" s="1" t="n">
        <v>45827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Brandticka</t>
        </is>
      </c>
      <c r="S79">
        <f>HYPERLINK("https://klasma.github.io/Logging_1380/artfynd/A 70769-2021 artfynd.xlsx", "A 70769-2021")</f>
        <v/>
      </c>
      <c r="T79">
        <f>HYPERLINK("https://klasma.github.io/Logging_1380/kartor/A 70769-2021 karta.png", "A 70769-2021")</f>
        <v/>
      </c>
      <c r="V79">
        <f>HYPERLINK("https://klasma.github.io/Logging_1380/klagomål/A 70769-2021 FSC-klagomål.docx", "A 70769-2021")</f>
        <v/>
      </c>
      <c r="W79">
        <f>HYPERLINK("https://klasma.github.io/Logging_1380/klagomålsmail/A 70769-2021 FSC-klagomål mail.docx", "A 70769-2021")</f>
        <v/>
      </c>
      <c r="X79">
        <f>HYPERLINK("https://klasma.github.io/Logging_1380/tillsyn/A 70769-2021 tillsynsbegäran.docx", "A 70769-2021")</f>
        <v/>
      </c>
      <c r="Y79">
        <f>HYPERLINK("https://klasma.github.io/Logging_1380/tillsynsmail/A 70769-2021 tillsynsbegäran mail.docx", "A 70769-2021")</f>
        <v/>
      </c>
    </row>
    <row r="80" ht="15" customHeight="1">
      <c r="A80" t="inlineStr">
        <is>
          <t>A 6626-2022</t>
        </is>
      </c>
      <c r="B80" s="1" t="n">
        <v>44601</v>
      </c>
      <c r="C80" s="1" t="n">
        <v>45827</v>
      </c>
      <c r="D80" t="inlineStr">
        <is>
          <t>HALLANDS LÄN</t>
        </is>
      </c>
      <c r="E80" t="inlineStr">
        <is>
          <t>HYLTE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HYPERLINK("https://klasma.github.io/Logging_1315/artfynd/A 6626-2022 artfynd.xlsx", "A 6626-2022")</f>
        <v/>
      </c>
      <c r="T80">
        <f>HYPERLINK("https://klasma.github.io/Logging_1315/kartor/A 6626-2022 karta.png", "A 6626-2022")</f>
        <v/>
      </c>
      <c r="V80">
        <f>HYPERLINK("https://klasma.github.io/Logging_1315/klagomål/A 6626-2022 FSC-klagomål.docx", "A 6626-2022")</f>
        <v/>
      </c>
      <c r="W80">
        <f>HYPERLINK("https://klasma.github.io/Logging_1315/klagomålsmail/A 6626-2022 FSC-klagomål mail.docx", "A 6626-2022")</f>
        <v/>
      </c>
      <c r="X80">
        <f>HYPERLINK("https://klasma.github.io/Logging_1315/tillsyn/A 6626-2022 tillsynsbegäran.docx", "A 6626-2022")</f>
        <v/>
      </c>
      <c r="Y80">
        <f>HYPERLINK("https://klasma.github.io/Logging_1315/tillsynsmail/A 6626-2022 tillsynsbegäran mail.docx", "A 6626-2022")</f>
        <v/>
      </c>
    </row>
    <row r="81" ht="15" customHeight="1">
      <c r="A81" t="inlineStr">
        <is>
          <t>A 8071-2022</t>
        </is>
      </c>
      <c r="B81" s="1" t="n">
        <v>44609</v>
      </c>
      <c r="C81" s="1" t="n">
        <v>45827</v>
      </c>
      <c r="D81" t="inlineStr">
        <is>
          <t>HALLANDS LÄN</t>
        </is>
      </c>
      <c r="E81" t="inlineStr">
        <is>
          <t>HALMSTAD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HYPERLINK("https://klasma.github.io/Logging_1380/artfynd/A 8071-2022 artfynd.xlsx", "A 8071-2022")</f>
        <v/>
      </c>
      <c r="T81">
        <f>HYPERLINK("https://klasma.github.io/Logging_1380/kartor/A 8071-2022 karta.png", "A 8071-2022")</f>
        <v/>
      </c>
      <c r="V81">
        <f>HYPERLINK("https://klasma.github.io/Logging_1380/klagomål/A 8071-2022 FSC-klagomål.docx", "A 8071-2022")</f>
        <v/>
      </c>
      <c r="W81">
        <f>HYPERLINK("https://klasma.github.io/Logging_1380/klagomålsmail/A 8071-2022 FSC-klagomål mail.docx", "A 8071-2022")</f>
        <v/>
      </c>
      <c r="X81">
        <f>HYPERLINK("https://klasma.github.io/Logging_1380/tillsyn/A 8071-2022 tillsynsbegäran.docx", "A 8071-2022")</f>
        <v/>
      </c>
      <c r="Y81">
        <f>HYPERLINK("https://klasma.github.io/Logging_1380/tillsynsmail/A 8071-2022 tillsynsbegäran mail.docx", "A 8071-2022")</f>
        <v/>
      </c>
    </row>
    <row r="82" ht="15" customHeight="1">
      <c r="A82" t="inlineStr">
        <is>
          <t>A 10567-2022</t>
        </is>
      </c>
      <c r="B82" s="1" t="n">
        <v>44624</v>
      </c>
      <c r="C82" s="1" t="n">
        <v>45827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HYPERLINK("https://klasma.github.io/Logging_1381/artfynd/A 10567-2022 artfynd.xlsx", "A 10567-2022")</f>
        <v/>
      </c>
      <c r="T82">
        <f>HYPERLINK("https://klasma.github.io/Logging_1381/kartor/A 10567-2022 karta.png", "A 10567-2022")</f>
        <v/>
      </c>
      <c r="V82">
        <f>HYPERLINK("https://klasma.github.io/Logging_1381/klagomål/A 10567-2022 FSC-klagomål.docx", "A 10567-2022")</f>
        <v/>
      </c>
      <c r="W82">
        <f>HYPERLINK("https://klasma.github.io/Logging_1381/klagomålsmail/A 10567-2022 FSC-klagomål mail.docx", "A 10567-2022")</f>
        <v/>
      </c>
      <c r="X82">
        <f>HYPERLINK("https://klasma.github.io/Logging_1381/tillsyn/A 10567-2022 tillsynsbegäran.docx", "A 10567-2022")</f>
        <v/>
      </c>
      <c r="Y82">
        <f>HYPERLINK("https://klasma.github.io/Logging_1381/tillsynsmail/A 10567-2022 tillsynsbegäran mail.docx", "A 10567-2022")</f>
        <v/>
      </c>
    </row>
    <row r="83" ht="15" customHeight="1">
      <c r="A83" t="inlineStr">
        <is>
          <t>A 13434-2022</t>
        </is>
      </c>
      <c r="B83" s="1" t="n">
        <v>44645</v>
      </c>
      <c r="C83" s="1" t="n">
        <v>45827</v>
      </c>
      <c r="D83" t="inlineStr">
        <is>
          <t>HALLANDS LÄN</t>
        </is>
      </c>
      <c r="E83" t="inlineStr">
        <is>
          <t>KUNGSBACKA</t>
        </is>
      </c>
      <c r="G83" t="n">
        <v>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HYPERLINK("https://klasma.github.io/Logging_1384/artfynd/A 13434-2022 artfynd.xlsx", "A 13434-2022")</f>
        <v/>
      </c>
      <c r="T83">
        <f>HYPERLINK("https://klasma.github.io/Logging_1384/kartor/A 13434-2022 karta.png", "A 13434-2022")</f>
        <v/>
      </c>
      <c r="V83">
        <f>HYPERLINK("https://klasma.github.io/Logging_1384/klagomål/A 13434-2022 FSC-klagomål.docx", "A 13434-2022")</f>
        <v/>
      </c>
      <c r="W83">
        <f>HYPERLINK("https://klasma.github.io/Logging_1384/klagomålsmail/A 13434-2022 FSC-klagomål mail.docx", "A 13434-2022")</f>
        <v/>
      </c>
      <c r="X83">
        <f>HYPERLINK("https://klasma.github.io/Logging_1384/tillsyn/A 13434-2022 tillsynsbegäran.docx", "A 13434-2022")</f>
        <v/>
      </c>
      <c r="Y83">
        <f>HYPERLINK("https://klasma.github.io/Logging_1384/tillsynsmail/A 13434-2022 tillsynsbegäran mail.docx", "A 13434-2022")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45827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24399-2022</t>
        </is>
      </c>
      <c r="B85" s="1" t="n">
        <v>44726</v>
      </c>
      <c r="C85" s="1" t="n">
        <v>45827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24399-2022 artfynd.xlsx", "A 24399-2022")</f>
        <v/>
      </c>
      <c r="T85">
        <f>HYPERLINK("https://klasma.github.io/Logging_1381/kartor/A 24399-2022 karta.png", "A 24399-2022")</f>
        <v/>
      </c>
      <c r="V85">
        <f>HYPERLINK("https://klasma.github.io/Logging_1381/klagomål/A 24399-2022 FSC-klagomål.docx", "A 24399-2022")</f>
        <v/>
      </c>
      <c r="W85">
        <f>HYPERLINK("https://klasma.github.io/Logging_1381/klagomålsmail/A 24399-2022 FSC-klagomål mail.docx", "A 24399-2022")</f>
        <v/>
      </c>
      <c r="X85">
        <f>HYPERLINK("https://klasma.github.io/Logging_1381/tillsyn/A 24399-2022 tillsynsbegäran.docx", "A 24399-2022")</f>
        <v/>
      </c>
      <c r="Y85">
        <f>HYPERLINK("https://klasma.github.io/Logging_1381/tillsynsmail/A 24399-2022 tillsynsbegäran mail.docx", "A 24399-2022")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45827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43362-2022</t>
        </is>
      </c>
      <c r="B87" s="1" t="n">
        <v>44834</v>
      </c>
      <c r="C87" s="1" t="n">
        <v>45827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HYPERLINK("https://klasma.github.io/Logging_1383/artfynd/A 43362-2022 artfynd.xlsx", "A 43362-2022")</f>
        <v/>
      </c>
      <c r="T87">
        <f>HYPERLINK("https://klasma.github.io/Logging_1383/kartor/A 43362-2022 karta.png", "A 43362-2022")</f>
        <v/>
      </c>
      <c r="V87">
        <f>HYPERLINK("https://klasma.github.io/Logging_1383/klagomål/A 43362-2022 FSC-klagomål.docx", "A 43362-2022")</f>
        <v/>
      </c>
      <c r="W87">
        <f>HYPERLINK("https://klasma.github.io/Logging_1383/klagomålsmail/A 43362-2022 FSC-klagomål mail.docx", "A 43362-2022")</f>
        <v/>
      </c>
      <c r="X87">
        <f>HYPERLINK("https://klasma.github.io/Logging_1383/tillsyn/A 43362-2022 tillsynsbegäran.docx", "A 43362-2022")</f>
        <v/>
      </c>
      <c r="Y87">
        <f>HYPERLINK("https://klasma.github.io/Logging_1383/tillsynsmail/A 43362-2022 tillsynsbegäran mail.docx", "A 43362-2022")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45827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49551-2022</t>
        </is>
      </c>
      <c r="B89" s="1" t="n">
        <v>44862</v>
      </c>
      <c r="C89" s="1" t="n">
        <v>45827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Guldlockmossa</t>
        </is>
      </c>
      <c r="S89">
        <f>HYPERLINK("https://klasma.github.io/Logging_1383/artfynd/A 49551-2022 artfynd.xlsx", "A 49551-2022")</f>
        <v/>
      </c>
      <c r="T89">
        <f>HYPERLINK("https://klasma.github.io/Logging_1383/kartor/A 49551-2022 karta.png", "A 49551-2022")</f>
        <v/>
      </c>
      <c r="V89">
        <f>HYPERLINK("https://klasma.github.io/Logging_1383/klagomål/A 49551-2022 FSC-klagomål.docx", "A 49551-2022")</f>
        <v/>
      </c>
      <c r="W89">
        <f>HYPERLINK("https://klasma.github.io/Logging_1383/klagomålsmail/A 49551-2022 FSC-klagomål mail.docx", "A 49551-2022")</f>
        <v/>
      </c>
      <c r="X89">
        <f>HYPERLINK("https://klasma.github.io/Logging_1383/tillsyn/A 49551-2022 tillsynsbegäran.docx", "A 49551-2022")</f>
        <v/>
      </c>
      <c r="Y89">
        <f>HYPERLINK("https://klasma.github.io/Logging_1383/tillsynsmail/A 49551-2022 tillsynsbegäran mail.docx", "A 49551-2022")</f>
        <v/>
      </c>
    </row>
    <row r="90" ht="15" customHeight="1">
      <c r="A90" t="inlineStr">
        <is>
          <t>A 52318-2022</t>
        </is>
      </c>
      <c r="B90" s="1" t="n">
        <v>44873</v>
      </c>
      <c r="C90" s="1" t="n">
        <v>45827</v>
      </c>
      <c r="D90" t="inlineStr">
        <is>
          <t>HALLANDS LÄN</t>
        </is>
      </c>
      <c r="E90" t="inlineStr">
        <is>
          <t>KUNGSBACKA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HYPERLINK("https://klasma.github.io/Logging_1384/artfynd/A 52318-2022 artfynd.xlsx", "A 52318-2022")</f>
        <v/>
      </c>
      <c r="T90">
        <f>HYPERLINK("https://klasma.github.io/Logging_1384/kartor/A 52318-2022 karta.png", "A 52318-2022")</f>
        <v/>
      </c>
      <c r="V90">
        <f>HYPERLINK("https://klasma.github.io/Logging_1384/klagomål/A 52318-2022 FSC-klagomål.docx", "A 52318-2022")</f>
        <v/>
      </c>
      <c r="W90">
        <f>HYPERLINK("https://klasma.github.io/Logging_1384/klagomålsmail/A 52318-2022 FSC-klagomål mail.docx", "A 52318-2022")</f>
        <v/>
      </c>
      <c r="X90">
        <f>HYPERLINK("https://klasma.github.io/Logging_1384/tillsyn/A 52318-2022 tillsynsbegäran.docx", "A 52318-2022")</f>
        <v/>
      </c>
      <c r="Y90">
        <f>HYPERLINK("https://klasma.github.io/Logging_1384/tillsynsmail/A 52318-2022 tillsynsbegäran mail.docx", "A 52318-2022")</f>
        <v/>
      </c>
    </row>
    <row r="91" ht="15" customHeight="1">
      <c r="A91" t="inlineStr">
        <is>
          <t>A 53584-2022</t>
        </is>
      </c>
      <c r="B91" s="1" t="n">
        <v>44879</v>
      </c>
      <c r="C91" s="1" t="n">
        <v>45827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53584-2022 artfynd.xlsx", "A 53584-2022")</f>
        <v/>
      </c>
      <c r="T91">
        <f>HYPERLINK("https://klasma.github.io/Logging_1381/kartor/A 53584-2022 karta.png", "A 53584-2022")</f>
        <v/>
      </c>
      <c r="V91">
        <f>HYPERLINK("https://klasma.github.io/Logging_1381/klagomål/A 53584-2022 FSC-klagomål.docx", "A 53584-2022")</f>
        <v/>
      </c>
      <c r="W91">
        <f>HYPERLINK("https://klasma.github.io/Logging_1381/klagomålsmail/A 53584-2022 FSC-klagomål mail.docx", "A 53584-2022")</f>
        <v/>
      </c>
      <c r="X91">
        <f>HYPERLINK("https://klasma.github.io/Logging_1381/tillsyn/A 53584-2022 tillsynsbegäran.docx", "A 53584-2022")</f>
        <v/>
      </c>
      <c r="Y91">
        <f>HYPERLINK("https://klasma.github.io/Logging_1381/tillsynsmail/A 53584-2022 tillsynsbegäran mail.docx", "A 53584-2022")</f>
        <v/>
      </c>
      <c r="Z91">
        <f>HYPERLINK("https://klasma.github.io/Logging_1381/fåglar/A 53584-2022 prioriterade fågelarter.docx", "A 53584-2022")</f>
        <v/>
      </c>
    </row>
    <row r="92" ht="15" customHeight="1">
      <c r="A92" t="inlineStr">
        <is>
          <t>A 57564-2022</t>
        </is>
      </c>
      <c r="B92" s="1" t="n">
        <v>44896</v>
      </c>
      <c r="C92" s="1" t="n">
        <v>45827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Lappuggla</t>
        </is>
      </c>
      <c r="S92">
        <f>HYPERLINK("https://klasma.github.io/Logging_1383/artfynd/A 57564-2022 artfynd.xlsx", "A 57564-2022")</f>
        <v/>
      </c>
      <c r="T92">
        <f>HYPERLINK("https://klasma.github.io/Logging_1383/kartor/A 57564-2022 karta.png", "A 57564-2022")</f>
        <v/>
      </c>
      <c r="V92">
        <f>HYPERLINK("https://klasma.github.io/Logging_1383/klagomål/A 57564-2022 FSC-klagomål.docx", "A 57564-2022")</f>
        <v/>
      </c>
      <c r="W92">
        <f>HYPERLINK("https://klasma.github.io/Logging_1383/klagomålsmail/A 57564-2022 FSC-klagomål mail.docx", "A 57564-2022")</f>
        <v/>
      </c>
      <c r="X92">
        <f>HYPERLINK("https://klasma.github.io/Logging_1383/tillsyn/A 57564-2022 tillsynsbegäran.docx", "A 57564-2022")</f>
        <v/>
      </c>
      <c r="Y92">
        <f>HYPERLINK("https://klasma.github.io/Logging_1383/tillsynsmail/A 57564-2022 tillsynsbegäran mail.docx", "A 57564-2022")</f>
        <v/>
      </c>
      <c r="Z92">
        <f>HYPERLINK("https://klasma.github.io/Logging_1383/fåglar/A 57564-2022 prioriterade fågelarter.docx", "A 57564-2022")</f>
        <v/>
      </c>
    </row>
    <row r="93" ht="15" customHeight="1">
      <c r="A93" t="inlineStr">
        <is>
          <t>A 3062-2023</t>
        </is>
      </c>
      <c r="B93" s="1" t="n">
        <v>44946</v>
      </c>
      <c r="C93" s="1" t="n">
        <v>45827</v>
      </c>
      <c r="D93" t="inlineStr">
        <is>
          <t>HALLANDS LÄN</t>
        </is>
      </c>
      <c r="E93" t="inlineStr">
        <is>
          <t>FALKENBERG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Loppstarr</t>
        </is>
      </c>
      <c r="S93">
        <f>HYPERLINK("https://klasma.github.io/Logging_1382/artfynd/A 3062-2023 artfynd.xlsx", "A 3062-2023")</f>
        <v/>
      </c>
      <c r="T93">
        <f>HYPERLINK("https://klasma.github.io/Logging_1382/kartor/A 3062-2023 karta.png", "A 3062-2023")</f>
        <v/>
      </c>
      <c r="V93">
        <f>HYPERLINK("https://klasma.github.io/Logging_1382/klagomål/A 3062-2023 FSC-klagomål.docx", "A 3062-2023")</f>
        <v/>
      </c>
      <c r="W93">
        <f>HYPERLINK("https://klasma.github.io/Logging_1382/klagomålsmail/A 3062-2023 FSC-klagomål mail.docx", "A 3062-2023")</f>
        <v/>
      </c>
      <c r="X93">
        <f>HYPERLINK("https://klasma.github.io/Logging_1382/tillsyn/A 3062-2023 tillsynsbegäran.docx", "A 3062-2023")</f>
        <v/>
      </c>
      <c r="Y93">
        <f>HYPERLINK("https://klasma.github.io/Logging_1382/tillsynsmail/A 3062-2023 tillsynsbegäran mail.docx", "A 3062-2023")</f>
        <v/>
      </c>
    </row>
    <row r="94" ht="15" customHeight="1">
      <c r="A94" t="inlineStr">
        <is>
          <t>A 9006-2023</t>
        </is>
      </c>
      <c r="B94" s="1" t="n">
        <v>44979</v>
      </c>
      <c r="C94" s="1" t="n">
        <v>45827</v>
      </c>
      <c r="D94" t="inlineStr">
        <is>
          <t>HALLANDS LÄN</t>
        </is>
      </c>
      <c r="E94" t="inlineStr">
        <is>
          <t>KUNGSBACKA</t>
        </is>
      </c>
      <c r="G94" t="n">
        <v>13.5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Hedjohannesört</t>
        </is>
      </c>
      <c r="S94">
        <f>HYPERLINK("https://klasma.github.io/Logging_1384/artfynd/A 9006-2023 artfynd.xlsx", "A 9006-2023")</f>
        <v/>
      </c>
      <c r="T94">
        <f>HYPERLINK("https://klasma.github.io/Logging_1384/kartor/A 9006-2023 karta.png", "A 9006-2023")</f>
        <v/>
      </c>
      <c r="V94">
        <f>HYPERLINK("https://klasma.github.io/Logging_1384/klagomål/A 9006-2023 FSC-klagomål.docx", "A 9006-2023")</f>
        <v/>
      </c>
      <c r="W94">
        <f>HYPERLINK("https://klasma.github.io/Logging_1384/klagomålsmail/A 9006-2023 FSC-klagomål mail.docx", "A 9006-2023")</f>
        <v/>
      </c>
      <c r="X94">
        <f>HYPERLINK("https://klasma.github.io/Logging_1384/tillsyn/A 9006-2023 tillsynsbegäran.docx", "A 9006-2023")</f>
        <v/>
      </c>
      <c r="Y94">
        <f>HYPERLINK("https://klasma.github.io/Logging_1384/tillsynsmail/A 9006-2023 tillsynsbegäran mail.docx", "A 9006-2023")</f>
        <v/>
      </c>
    </row>
    <row r="95" ht="15" customHeight="1">
      <c r="A95" t="inlineStr">
        <is>
          <t>A 12185-2023</t>
        </is>
      </c>
      <c r="B95" s="1" t="n">
        <v>44998</v>
      </c>
      <c r="C95" s="1" t="n">
        <v>45827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HYPERLINK("https://klasma.github.io/Logging_1380/artfynd/A 12185-2023 artfynd.xlsx", "A 12185-2023")</f>
        <v/>
      </c>
      <c r="T95">
        <f>HYPERLINK("https://klasma.github.io/Logging_1380/kartor/A 12185-2023 karta.png", "A 12185-2023")</f>
        <v/>
      </c>
      <c r="V95">
        <f>HYPERLINK("https://klasma.github.io/Logging_1380/klagomål/A 12185-2023 FSC-klagomål.docx", "A 12185-2023")</f>
        <v/>
      </c>
      <c r="W95">
        <f>HYPERLINK("https://klasma.github.io/Logging_1380/klagomålsmail/A 12185-2023 FSC-klagomål mail.docx", "A 12185-2023")</f>
        <v/>
      </c>
      <c r="X95">
        <f>HYPERLINK("https://klasma.github.io/Logging_1380/tillsyn/A 12185-2023 tillsynsbegäran.docx", "A 12185-2023")</f>
        <v/>
      </c>
      <c r="Y95">
        <f>HYPERLINK("https://klasma.github.io/Logging_1380/tillsynsmail/A 12185-2023 tillsynsbegäran mail.docx", "A 12185-2023")</f>
        <v/>
      </c>
    </row>
    <row r="96" ht="15" customHeight="1">
      <c r="A96" t="inlineStr">
        <is>
          <t>A 23050-2023</t>
        </is>
      </c>
      <c r="B96" s="1" t="n">
        <v>45075</v>
      </c>
      <c r="C96" s="1" t="n">
        <v>45827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23050-2023 artfynd.xlsx", "A 23050-2023")</f>
        <v/>
      </c>
      <c r="T96">
        <f>HYPERLINK("https://klasma.github.io/Logging_1383/kartor/A 23050-2023 karta.png", "A 23050-2023")</f>
        <v/>
      </c>
      <c r="V96">
        <f>HYPERLINK("https://klasma.github.io/Logging_1383/klagomål/A 23050-2023 FSC-klagomål.docx", "A 23050-2023")</f>
        <v/>
      </c>
      <c r="W96">
        <f>HYPERLINK("https://klasma.github.io/Logging_1383/klagomålsmail/A 23050-2023 FSC-klagomål mail.docx", "A 23050-2023")</f>
        <v/>
      </c>
      <c r="X96">
        <f>HYPERLINK("https://klasma.github.io/Logging_1383/tillsyn/A 23050-2023 tillsynsbegäran.docx", "A 23050-2023")</f>
        <v/>
      </c>
      <c r="Y96">
        <f>HYPERLINK("https://klasma.github.io/Logging_1383/tillsynsmail/A 23050-2023 tillsynsbegäran mail.docx", "A 23050-2023")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45827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33757-2023</t>
        </is>
      </c>
      <c r="B98" s="1" t="n">
        <v>45120</v>
      </c>
      <c r="C98" s="1" t="n">
        <v>45827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snok</t>
        </is>
      </c>
      <c r="S98">
        <f>HYPERLINK("https://klasma.github.io/Logging_1380/artfynd/A 33757-2023 artfynd.xlsx", "A 33757-2023")</f>
        <v/>
      </c>
      <c r="T98">
        <f>HYPERLINK("https://klasma.github.io/Logging_1380/kartor/A 33757-2023 karta.png", "A 33757-2023")</f>
        <v/>
      </c>
      <c r="V98">
        <f>HYPERLINK("https://klasma.github.io/Logging_1380/klagomål/A 33757-2023 FSC-klagomål.docx", "A 33757-2023")</f>
        <v/>
      </c>
      <c r="W98">
        <f>HYPERLINK("https://klasma.github.io/Logging_1380/klagomålsmail/A 33757-2023 FSC-klagomål mail.docx", "A 33757-2023")</f>
        <v/>
      </c>
      <c r="X98">
        <f>HYPERLINK("https://klasma.github.io/Logging_1380/tillsyn/A 33757-2023 tillsynsbegäran.docx", "A 33757-2023")</f>
        <v/>
      </c>
      <c r="Y98">
        <f>HYPERLINK("https://klasma.github.io/Logging_1380/tillsynsmail/A 33757-2023 tillsynsbegäran mail.docx", "A 33757-2023")</f>
        <v/>
      </c>
    </row>
    <row r="99" ht="15" customHeight="1">
      <c r="A99" t="inlineStr">
        <is>
          <t>A 34831-2023</t>
        </is>
      </c>
      <c r="B99" s="1" t="n">
        <v>45141</v>
      </c>
      <c r="C99" s="1" t="n">
        <v>45827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34831-2023 artfynd.xlsx", "A 34831-2023")</f>
        <v/>
      </c>
      <c r="T99">
        <f>HYPERLINK("https://klasma.github.io/Logging_1383/kartor/A 34831-2023 karta.png", "A 34831-2023")</f>
        <v/>
      </c>
      <c r="V99">
        <f>HYPERLINK("https://klasma.github.io/Logging_1383/klagomål/A 34831-2023 FSC-klagomål.docx", "A 34831-2023")</f>
        <v/>
      </c>
      <c r="W99">
        <f>HYPERLINK("https://klasma.github.io/Logging_1383/klagomålsmail/A 34831-2023 FSC-klagomål mail.docx", "A 34831-2023")</f>
        <v/>
      </c>
      <c r="X99">
        <f>HYPERLINK("https://klasma.github.io/Logging_1383/tillsyn/A 34831-2023 tillsynsbegäran.docx", "A 34831-2023")</f>
        <v/>
      </c>
      <c r="Y99">
        <f>HYPERLINK("https://klasma.github.io/Logging_1383/tillsynsmail/A 34831-2023 tillsynsbegäran mail.docx", "A 34831-2023")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45827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35453-2023</t>
        </is>
      </c>
      <c r="B101" s="1" t="n">
        <v>45146</v>
      </c>
      <c r="C101" s="1" t="n">
        <v>45827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45827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45827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45827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40523-2023</t>
        </is>
      </c>
      <c r="B105" s="1" t="n">
        <v>45168</v>
      </c>
      <c r="C105" s="1" t="n">
        <v>45827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40523-2023 artfynd.xlsx", "A 40523-2023")</f>
        <v/>
      </c>
      <c r="T105">
        <f>HYPERLINK("https://klasma.github.io/Logging_1380/kartor/A 40523-2023 karta.png", "A 40523-2023")</f>
        <v/>
      </c>
      <c r="V105">
        <f>HYPERLINK("https://klasma.github.io/Logging_1380/klagomål/A 40523-2023 FSC-klagomål.docx", "A 40523-2023")</f>
        <v/>
      </c>
      <c r="W105">
        <f>HYPERLINK("https://klasma.github.io/Logging_1380/klagomålsmail/A 40523-2023 FSC-klagomål mail.docx", "A 40523-2023")</f>
        <v/>
      </c>
      <c r="X105">
        <f>HYPERLINK("https://klasma.github.io/Logging_1380/tillsyn/A 40523-2023 tillsynsbegäran.docx", "A 40523-2023")</f>
        <v/>
      </c>
      <c r="Y105">
        <f>HYPERLINK("https://klasma.github.io/Logging_1380/tillsynsmail/A 40523-2023 tillsynsbegäran mail.docx", "A 40523-2023")</f>
        <v/>
      </c>
      <c r="Z105">
        <f>HYPERLINK("https://klasma.github.io/Logging_1380/fåglar/A 40523-2023 prioriterade fågelarter.docx", "A 40523-2023")</f>
        <v/>
      </c>
    </row>
    <row r="106" ht="15" customHeight="1">
      <c r="A106" t="inlineStr">
        <is>
          <t>A 40650-2023</t>
        </is>
      </c>
      <c r="B106" s="1" t="n">
        <v>45168</v>
      </c>
      <c r="C106" s="1" t="n">
        <v>45827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HYPERLINK("https://klasma.github.io/Logging_1380/artfynd/A 40650-2023 artfynd.xlsx", "A 40650-2023")</f>
        <v/>
      </c>
      <c r="T106">
        <f>HYPERLINK("https://klasma.github.io/Logging_1380/kartor/A 40650-2023 karta.png", "A 40650-2023")</f>
        <v/>
      </c>
      <c r="V106">
        <f>HYPERLINK("https://klasma.github.io/Logging_1380/klagomål/A 40650-2023 FSC-klagomål.docx", "A 40650-2023")</f>
        <v/>
      </c>
      <c r="W106">
        <f>HYPERLINK("https://klasma.github.io/Logging_1380/klagomålsmail/A 40650-2023 FSC-klagomål mail.docx", "A 40650-2023")</f>
        <v/>
      </c>
      <c r="X106">
        <f>HYPERLINK("https://klasma.github.io/Logging_1380/tillsyn/A 40650-2023 tillsynsbegäran.docx", "A 40650-2023")</f>
        <v/>
      </c>
      <c r="Y106">
        <f>HYPERLINK("https://klasma.github.io/Logging_1380/tillsynsmail/A 40650-2023 tillsynsbegäran mail.docx", "A 40650-2023")</f>
        <v/>
      </c>
    </row>
    <row r="107" ht="15" customHeight="1">
      <c r="A107" t="inlineStr">
        <is>
          <t>A 40531-2023</t>
        </is>
      </c>
      <c r="B107" s="1" t="n">
        <v>45168</v>
      </c>
      <c r="C107" s="1" t="n">
        <v>45827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4.2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40531-2023 artfynd.xlsx", "A 40531-2023")</f>
        <v/>
      </c>
      <c r="T107">
        <f>HYPERLINK("https://klasma.github.io/Logging_1380/kartor/A 40531-2023 karta.png", "A 40531-2023")</f>
        <v/>
      </c>
      <c r="V107">
        <f>HYPERLINK("https://klasma.github.io/Logging_1380/klagomål/A 40531-2023 FSC-klagomål.docx", "A 40531-2023")</f>
        <v/>
      </c>
      <c r="W107">
        <f>HYPERLINK("https://klasma.github.io/Logging_1380/klagomålsmail/A 40531-2023 FSC-klagomål mail.docx", "A 40531-2023")</f>
        <v/>
      </c>
      <c r="X107">
        <f>HYPERLINK("https://klasma.github.io/Logging_1380/tillsyn/A 40531-2023 tillsynsbegäran.docx", "A 40531-2023")</f>
        <v/>
      </c>
      <c r="Y107">
        <f>HYPERLINK("https://klasma.github.io/Logging_1380/tillsynsmail/A 40531-2023 tillsynsbegäran mail.docx", "A 40531-2023")</f>
        <v/>
      </c>
      <c r="Z107">
        <f>HYPERLINK("https://klasma.github.io/Logging_1380/fåglar/A 40531-2023 prioriterade fågelarter.docx", "A 40531-2023")</f>
        <v/>
      </c>
    </row>
    <row r="108" ht="15" customHeight="1">
      <c r="A108" t="inlineStr">
        <is>
          <t>A 42311-2023</t>
        </is>
      </c>
      <c r="B108" s="1" t="n">
        <v>45175</v>
      </c>
      <c r="C108" s="1" t="n">
        <v>45827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42311-2023 artfynd.xlsx", "A 42311-2023")</f>
        <v/>
      </c>
      <c r="T108">
        <f>HYPERLINK("https://klasma.github.io/Logging_1380/kartor/A 42311-2023 karta.png", "A 42311-2023")</f>
        <v/>
      </c>
      <c r="V108">
        <f>HYPERLINK("https://klasma.github.io/Logging_1380/klagomål/A 42311-2023 FSC-klagomål.docx", "A 42311-2023")</f>
        <v/>
      </c>
      <c r="W108">
        <f>HYPERLINK("https://klasma.github.io/Logging_1380/klagomålsmail/A 42311-2023 FSC-klagomål mail.docx", "A 42311-2023")</f>
        <v/>
      </c>
      <c r="X108">
        <f>HYPERLINK("https://klasma.github.io/Logging_1380/tillsyn/A 42311-2023 tillsynsbegäran.docx", "A 42311-2023")</f>
        <v/>
      </c>
      <c r="Y108">
        <f>HYPERLINK("https://klasma.github.io/Logging_1380/tillsynsmail/A 42311-2023 tillsynsbegäran mail.docx", "A 42311-2023")</f>
        <v/>
      </c>
    </row>
    <row r="109" ht="15" customHeight="1">
      <c r="A109" t="inlineStr">
        <is>
          <t>A 46459-2023</t>
        </is>
      </c>
      <c r="B109" s="1" t="n">
        <v>45197</v>
      </c>
      <c r="C109" s="1" t="n">
        <v>45827</v>
      </c>
      <c r="D109" t="inlineStr">
        <is>
          <t>HALLANDS LÄN</t>
        </is>
      </c>
      <c r="E109" t="inlineStr">
        <is>
          <t>KUNGSBACKA</t>
        </is>
      </c>
      <c r="F109" t="inlineStr">
        <is>
          <t>Övriga Aktiebolag</t>
        </is>
      </c>
      <c r="G109" t="n">
        <v>5.4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Drillsnäppa</t>
        </is>
      </c>
      <c r="S109">
        <f>HYPERLINK("https://klasma.github.io/Logging_1384/artfynd/A 46459-2023 artfynd.xlsx", "A 46459-2023")</f>
        <v/>
      </c>
      <c r="T109">
        <f>HYPERLINK("https://klasma.github.io/Logging_1384/kartor/A 46459-2023 karta.png", "A 46459-2023")</f>
        <v/>
      </c>
      <c r="V109">
        <f>HYPERLINK("https://klasma.github.io/Logging_1384/klagomål/A 46459-2023 FSC-klagomål.docx", "A 46459-2023")</f>
        <v/>
      </c>
      <c r="W109">
        <f>HYPERLINK("https://klasma.github.io/Logging_1384/klagomålsmail/A 46459-2023 FSC-klagomål mail.docx", "A 46459-2023")</f>
        <v/>
      </c>
      <c r="X109">
        <f>HYPERLINK("https://klasma.github.io/Logging_1384/tillsyn/A 46459-2023 tillsynsbegäran.docx", "A 46459-2023")</f>
        <v/>
      </c>
      <c r="Y109">
        <f>HYPERLINK("https://klasma.github.io/Logging_1384/tillsynsmail/A 46459-2023 tillsynsbegäran mail.docx", "A 46459-2023")</f>
        <v/>
      </c>
    </row>
    <row r="110" ht="15" customHeight="1">
      <c r="A110" t="inlineStr">
        <is>
          <t>A 47773-2023</t>
        </is>
      </c>
      <c r="B110" s="1" t="n">
        <v>45203</v>
      </c>
      <c r="C110" s="1" t="n">
        <v>45827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HYPERLINK("https://klasma.github.io/Logging_1380/artfynd/A 47773-2023 artfynd.xlsx", "A 47773-2023")</f>
        <v/>
      </c>
      <c r="T110">
        <f>HYPERLINK("https://klasma.github.io/Logging_1380/kartor/A 47773-2023 karta.png", "A 47773-2023")</f>
        <v/>
      </c>
      <c r="V110">
        <f>HYPERLINK("https://klasma.github.io/Logging_1380/klagomål/A 47773-2023 FSC-klagomål.docx", "A 47773-2023")</f>
        <v/>
      </c>
      <c r="W110">
        <f>HYPERLINK("https://klasma.github.io/Logging_1380/klagomålsmail/A 47773-2023 FSC-klagomål mail.docx", "A 47773-2023")</f>
        <v/>
      </c>
      <c r="X110">
        <f>HYPERLINK("https://klasma.github.io/Logging_1380/tillsyn/A 47773-2023 tillsynsbegäran.docx", "A 47773-2023")</f>
        <v/>
      </c>
      <c r="Y110">
        <f>HYPERLINK("https://klasma.github.io/Logging_1380/tillsynsmail/A 47773-2023 tillsynsbegäran mail.docx", "A 47773-2023")</f>
        <v/>
      </c>
    </row>
    <row r="111" ht="15" customHeight="1">
      <c r="A111" t="inlineStr">
        <is>
          <t>A 47997-2023</t>
        </is>
      </c>
      <c r="B111" s="1" t="n">
        <v>45204</v>
      </c>
      <c r="C111" s="1" t="n">
        <v>45827</v>
      </c>
      <c r="D111" t="inlineStr">
        <is>
          <t>HALLANDS LÄN</t>
        </is>
      </c>
      <c r="E111" t="inlineStr">
        <is>
          <t>HALMSTAD</t>
        </is>
      </c>
      <c r="G111" t="n">
        <v>4.5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HYPERLINK("https://klasma.github.io/Logging_1380/artfynd/A 47997-2023 artfynd.xlsx", "A 47997-2023")</f>
        <v/>
      </c>
      <c r="T111">
        <f>HYPERLINK("https://klasma.github.io/Logging_1380/kartor/A 47997-2023 karta.png", "A 47997-2023")</f>
        <v/>
      </c>
      <c r="V111">
        <f>HYPERLINK("https://klasma.github.io/Logging_1380/klagomål/A 47997-2023 FSC-klagomål.docx", "A 47997-2023")</f>
        <v/>
      </c>
      <c r="W111">
        <f>HYPERLINK("https://klasma.github.io/Logging_1380/klagomålsmail/A 47997-2023 FSC-klagomål mail.docx", "A 47997-2023")</f>
        <v/>
      </c>
      <c r="X111">
        <f>HYPERLINK("https://klasma.github.io/Logging_1380/tillsyn/A 47997-2023 tillsynsbegäran.docx", "A 47997-2023")</f>
        <v/>
      </c>
      <c r="Y111">
        <f>HYPERLINK("https://klasma.github.io/Logging_1380/tillsynsmail/A 47997-2023 tillsynsbegäran mail.docx", "A 47997-2023")</f>
        <v/>
      </c>
    </row>
    <row r="112" ht="15" customHeight="1">
      <c r="A112" t="inlineStr">
        <is>
          <t>A 48281-2023</t>
        </is>
      </c>
      <c r="B112" s="1" t="n">
        <v>45205</v>
      </c>
      <c r="C112" s="1" t="n">
        <v>45827</v>
      </c>
      <c r="D112" t="inlineStr">
        <is>
          <t>HALLANDS LÄN</t>
        </is>
      </c>
      <c r="E112" t="inlineStr">
        <is>
          <t>LAHOLM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Hårginst</t>
        </is>
      </c>
      <c r="S112">
        <f>HYPERLINK("https://klasma.github.io/Logging_1381/artfynd/A 48281-2023 artfynd.xlsx", "A 48281-2023")</f>
        <v/>
      </c>
      <c r="T112">
        <f>HYPERLINK("https://klasma.github.io/Logging_1381/kartor/A 48281-2023 karta.png", "A 48281-2023")</f>
        <v/>
      </c>
      <c r="V112">
        <f>HYPERLINK("https://klasma.github.io/Logging_1381/klagomål/A 48281-2023 FSC-klagomål.docx", "A 48281-2023")</f>
        <v/>
      </c>
      <c r="W112">
        <f>HYPERLINK("https://klasma.github.io/Logging_1381/klagomålsmail/A 48281-2023 FSC-klagomål mail.docx", "A 48281-2023")</f>
        <v/>
      </c>
      <c r="X112">
        <f>HYPERLINK("https://klasma.github.io/Logging_1381/tillsyn/A 48281-2023 tillsynsbegäran.docx", "A 48281-2023")</f>
        <v/>
      </c>
      <c r="Y112">
        <f>HYPERLINK("https://klasma.github.io/Logging_1381/tillsynsmail/A 48281-2023 tillsynsbegäran mail.docx", "A 48281-2023")</f>
        <v/>
      </c>
    </row>
    <row r="113" ht="15" customHeight="1">
      <c r="A113" t="inlineStr">
        <is>
          <t>A 55580-2023</t>
        </is>
      </c>
      <c r="B113" s="1" t="n">
        <v>45238</v>
      </c>
      <c r="C113" s="1" t="n">
        <v>45827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HYPERLINK("https://klasma.github.io/Logging_1380/artfynd/A 55580-2023 artfynd.xlsx", "A 55580-2023")</f>
        <v/>
      </c>
      <c r="T113">
        <f>HYPERLINK("https://klasma.github.io/Logging_1380/kartor/A 55580-2023 karta.png", "A 55580-2023")</f>
        <v/>
      </c>
      <c r="V113">
        <f>HYPERLINK("https://klasma.github.io/Logging_1380/klagomål/A 55580-2023 FSC-klagomål.docx", "A 55580-2023")</f>
        <v/>
      </c>
      <c r="W113">
        <f>HYPERLINK("https://klasma.github.io/Logging_1380/klagomålsmail/A 55580-2023 FSC-klagomål mail.docx", "A 55580-2023")</f>
        <v/>
      </c>
      <c r="X113">
        <f>HYPERLINK("https://klasma.github.io/Logging_1380/tillsyn/A 55580-2023 tillsynsbegäran.docx", "A 55580-2023")</f>
        <v/>
      </c>
      <c r="Y113">
        <f>HYPERLINK("https://klasma.github.io/Logging_1380/tillsynsmail/A 55580-2023 tillsynsbegäran mail.docx", "A 55580-2023")</f>
        <v/>
      </c>
    </row>
    <row r="114" ht="15" customHeight="1">
      <c r="A114" t="inlineStr">
        <is>
          <t>A 55880-2023</t>
        </is>
      </c>
      <c r="B114" s="1" t="n">
        <v>45239</v>
      </c>
      <c r="C114" s="1" t="n">
        <v>45827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Kopparödla</t>
        </is>
      </c>
      <c r="S114">
        <f>HYPERLINK("https://klasma.github.io/Logging_1382/artfynd/A 55880-2023 artfynd.xlsx", "A 55880-2023")</f>
        <v/>
      </c>
      <c r="T114">
        <f>HYPERLINK("https://klasma.github.io/Logging_1382/kartor/A 55880-2023 karta.png", "A 55880-2023")</f>
        <v/>
      </c>
      <c r="V114">
        <f>HYPERLINK("https://klasma.github.io/Logging_1382/klagomål/A 55880-2023 FSC-klagomål.docx", "A 55880-2023")</f>
        <v/>
      </c>
      <c r="W114">
        <f>HYPERLINK("https://klasma.github.io/Logging_1382/klagomålsmail/A 55880-2023 FSC-klagomål mail.docx", "A 55880-2023")</f>
        <v/>
      </c>
      <c r="X114">
        <f>HYPERLINK("https://klasma.github.io/Logging_1382/tillsyn/A 55880-2023 tillsynsbegäran.docx", "A 55880-2023")</f>
        <v/>
      </c>
      <c r="Y114">
        <f>HYPERLINK("https://klasma.github.io/Logging_1382/tillsynsmail/A 55880-2023 tillsynsbegäran mail.docx", "A 55880-2023")</f>
        <v/>
      </c>
    </row>
    <row r="115" ht="15" customHeight="1">
      <c r="A115" t="inlineStr">
        <is>
          <t>A 57230-2023</t>
        </is>
      </c>
      <c r="B115" s="1" t="n">
        <v>45245</v>
      </c>
      <c r="C115" s="1" t="n">
        <v>45827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HYPERLINK("https://klasma.github.io/Logging_1315/artfynd/A 57230-2023 artfynd.xlsx", "A 57230-2023")</f>
        <v/>
      </c>
      <c r="T115">
        <f>HYPERLINK("https://klasma.github.io/Logging_1315/kartor/A 57230-2023 karta.png", "A 57230-2023")</f>
        <v/>
      </c>
      <c r="V115">
        <f>HYPERLINK("https://klasma.github.io/Logging_1315/klagomål/A 57230-2023 FSC-klagomål.docx", "A 57230-2023")</f>
        <v/>
      </c>
      <c r="W115">
        <f>HYPERLINK("https://klasma.github.io/Logging_1315/klagomålsmail/A 57230-2023 FSC-klagomål mail.docx", "A 57230-2023")</f>
        <v/>
      </c>
      <c r="X115">
        <f>HYPERLINK("https://klasma.github.io/Logging_1315/tillsyn/A 57230-2023 tillsynsbegäran.docx", "A 57230-2023")</f>
        <v/>
      </c>
      <c r="Y115">
        <f>HYPERLINK("https://klasma.github.io/Logging_1315/tillsynsmail/A 57230-2023 tillsynsbegäran mail.docx", "A 57230-2023")</f>
        <v/>
      </c>
    </row>
    <row r="116" ht="15" customHeight="1">
      <c r="A116" t="inlineStr">
        <is>
          <t>A 58664-2023</t>
        </is>
      </c>
      <c r="B116" s="1" t="n">
        <v>45251</v>
      </c>
      <c r="C116" s="1" t="n">
        <v>45827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58664-2023 artfynd.xlsx", "A 58664-2023")</f>
        <v/>
      </c>
      <c r="T116">
        <f>HYPERLINK("https://klasma.github.io/Logging_1382/kartor/A 58664-2023 karta.png", "A 58664-2023")</f>
        <v/>
      </c>
      <c r="V116">
        <f>HYPERLINK("https://klasma.github.io/Logging_1382/klagomål/A 58664-2023 FSC-klagomål.docx", "A 58664-2023")</f>
        <v/>
      </c>
      <c r="W116">
        <f>HYPERLINK("https://klasma.github.io/Logging_1382/klagomålsmail/A 58664-2023 FSC-klagomål mail.docx", "A 58664-2023")</f>
        <v/>
      </c>
      <c r="X116">
        <f>HYPERLINK("https://klasma.github.io/Logging_1382/tillsyn/A 58664-2023 tillsynsbegäran.docx", "A 58664-2023")</f>
        <v/>
      </c>
      <c r="Y116">
        <f>HYPERLINK("https://klasma.github.io/Logging_1382/tillsynsmail/A 58664-2023 tillsynsbegäran mail.docx", "A 58664-2023")</f>
        <v/>
      </c>
    </row>
    <row r="117" ht="15" customHeight="1">
      <c r="A117" t="inlineStr">
        <is>
          <t>A 60387-2023</t>
        </is>
      </c>
      <c r="B117" s="1" t="n">
        <v>45259</v>
      </c>
      <c r="C117" s="1" t="n">
        <v>45827</v>
      </c>
      <c r="D117" t="inlineStr">
        <is>
          <t>HALLANDS LÄN</t>
        </is>
      </c>
      <c r="E117" t="inlineStr">
        <is>
          <t>HALMSTAD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HYPERLINK("https://klasma.github.io/Logging_1380/artfynd/A 60387-2023 artfynd.xlsx", "A 60387-2023")</f>
        <v/>
      </c>
      <c r="T117">
        <f>HYPERLINK("https://klasma.github.io/Logging_1380/kartor/A 60387-2023 karta.png", "A 60387-2023")</f>
        <v/>
      </c>
      <c r="V117">
        <f>HYPERLINK("https://klasma.github.io/Logging_1380/klagomål/A 60387-2023 FSC-klagomål.docx", "A 60387-2023")</f>
        <v/>
      </c>
      <c r="W117">
        <f>HYPERLINK("https://klasma.github.io/Logging_1380/klagomålsmail/A 60387-2023 FSC-klagomål mail.docx", "A 60387-2023")</f>
        <v/>
      </c>
      <c r="X117">
        <f>HYPERLINK("https://klasma.github.io/Logging_1380/tillsyn/A 60387-2023 tillsynsbegäran.docx", "A 60387-2023")</f>
        <v/>
      </c>
      <c r="Y117">
        <f>HYPERLINK("https://klasma.github.io/Logging_1380/tillsynsmail/A 60387-2023 tillsynsbegäran mail.docx", "A 60387-2023")</f>
        <v/>
      </c>
      <c r="Z117">
        <f>HYPERLINK("https://klasma.github.io/Logging_1380/fåglar/A 60387-2023 prioriterade fågelarter.docx", "A 60387-2023")</f>
        <v/>
      </c>
    </row>
    <row r="118" ht="15" customHeight="1">
      <c r="A118" t="inlineStr">
        <is>
          <t>A 61519-2023</t>
        </is>
      </c>
      <c r="B118" s="1" t="n">
        <v>45265</v>
      </c>
      <c r="C118" s="1" t="n">
        <v>45827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15.9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61519-2023 artfynd.xlsx", "A 61519-2023")</f>
        <v/>
      </c>
      <c r="T118">
        <f>HYPERLINK("https://klasma.github.io/Logging_1381/kartor/A 61519-2023 karta.png", "A 61519-2023")</f>
        <v/>
      </c>
      <c r="V118">
        <f>HYPERLINK("https://klasma.github.io/Logging_1381/klagomål/A 61519-2023 FSC-klagomål.docx", "A 61519-2023")</f>
        <v/>
      </c>
      <c r="W118">
        <f>HYPERLINK("https://klasma.github.io/Logging_1381/klagomålsmail/A 61519-2023 FSC-klagomål mail.docx", "A 61519-2023")</f>
        <v/>
      </c>
      <c r="X118">
        <f>HYPERLINK("https://klasma.github.io/Logging_1381/tillsyn/A 61519-2023 tillsynsbegäran.docx", "A 61519-2023")</f>
        <v/>
      </c>
      <c r="Y118">
        <f>HYPERLINK("https://klasma.github.io/Logging_1381/tillsynsmail/A 61519-2023 tillsynsbegäran mail.docx", "A 61519-2023")</f>
        <v/>
      </c>
      <c r="Z118">
        <f>HYPERLINK("https://klasma.github.io/Logging_1381/fåglar/A 61519-2023 prioriterade fågelarter.docx", "A 61519-2023")</f>
        <v/>
      </c>
    </row>
    <row r="119" ht="15" customHeight="1">
      <c r="A119" t="inlineStr">
        <is>
          <t>A 63247-2023</t>
        </is>
      </c>
      <c r="B119" s="1" t="n">
        <v>45273</v>
      </c>
      <c r="C119" s="1" t="n">
        <v>45827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Myskbock</t>
        </is>
      </c>
      <c r="S119">
        <f>HYPERLINK("https://klasma.github.io/Logging_1382/artfynd/A 63247-2023 artfynd.xlsx", "A 63247-2023")</f>
        <v/>
      </c>
      <c r="T119">
        <f>HYPERLINK("https://klasma.github.io/Logging_1382/kartor/A 63247-2023 karta.png", "A 63247-2023")</f>
        <v/>
      </c>
      <c r="V119">
        <f>HYPERLINK("https://klasma.github.io/Logging_1382/klagomål/A 63247-2023 FSC-klagomål.docx", "A 63247-2023")</f>
        <v/>
      </c>
      <c r="W119">
        <f>HYPERLINK("https://klasma.github.io/Logging_1382/klagomålsmail/A 63247-2023 FSC-klagomål mail.docx", "A 63247-2023")</f>
        <v/>
      </c>
      <c r="X119">
        <f>HYPERLINK("https://klasma.github.io/Logging_1382/tillsyn/A 63247-2023 tillsynsbegäran.docx", "A 63247-2023")</f>
        <v/>
      </c>
      <c r="Y119">
        <f>HYPERLINK("https://klasma.github.io/Logging_1382/tillsynsmail/A 63247-2023 tillsynsbegäran mail.docx", "A 63247-2023")</f>
        <v/>
      </c>
    </row>
    <row r="120" ht="15" customHeight="1">
      <c r="A120" t="inlineStr">
        <is>
          <t>A 2988-2024</t>
        </is>
      </c>
      <c r="B120" s="1" t="n">
        <v>45315</v>
      </c>
      <c r="C120" s="1" t="n">
        <v>45827</v>
      </c>
      <c r="D120" t="inlineStr">
        <is>
          <t>HALLANDS LÄN</t>
        </is>
      </c>
      <c r="E120" t="inlineStr">
        <is>
          <t>KUNGSBACKA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HYPERLINK("https://klasma.github.io/Logging_1384/artfynd/A 2988-2024 artfynd.xlsx", "A 2988-2024")</f>
        <v/>
      </c>
      <c r="T120">
        <f>HYPERLINK("https://klasma.github.io/Logging_1384/kartor/A 2988-2024 karta.png", "A 2988-2024")</f>
        <v/>
      </c>
      <c r="V120">
        <f>HYPERLINK("https://klasma.github.io/Logging_1384/klagomål/A 2988-2024 FSC-klagomål.docx", "A 2988-2024")</f>
        <v/>
      </c>
      <c r="W120">
        <f>HYPERLINK("https://klasma.github.io/Logging_1384/klagomålsmail/A 2988-2024 FSC-klagomål mail.docx", "A 2988-2024")</f>
        <v/>
      </c>
      <c r="X120">
        <f>HYPERLINK("https://klasma.github.io/Logging_1384/tillsyn/A 2988-2024 tillsynsbegäran.docx", "A 2988-2024")</f>
        <v/>
      </c>
      <c r="Y120">
        <f>HYPERLINK("https://klasma.github.io/Logging_1384/tillsynsmail/A 2988-2024 tillsynsbegäran mail.docx", "A 2988-2024")</f>
        <v/>
      </c>
    </row>
    <row r="121" ht="15" customHeight="1">
      <c r="A121" t="inlineStr">
        <is>
          <t>A 2994-2024</t>
        </is>
      </c>
      <c r="B121" s="1" t="n">
        <v>45315</v>
      </c>
      <c r="C121" s="1" t="n">
        <v>45827</v>
      </c>
      <c r="D121" t="inlineStr">
        <is>
          <t>HALLANDS LÄN</t>
        </is>
      </c>
      <c r="E121" t="inlineStr">
        <is>
          <t>HALMSTAD</t>
        </is>
      </c>
      <c r="G121" t="n">
        <v>7.9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HYPERLINK("https://klasma.github.io/Logging_1380/artfynd/A 2994-2024 artfynd.xlsx", "A 2994-2024")</f>
        <v/>
      </c>
      <c r="T121">
        <f>HYPERLINK("https://klasma.github.io/Logging_1380/kartor/A 2994-2024 karta.png", "A 2994-2024")</f>
        <v/>
      </c>
      <c r="V121">
        <f>HYPERLINK("https://klasma.github.io/Logging_1380/klagomål/A 2994-2024 FSC-klagomål.docx", "A 2994-2024")</f>
        <v/>
      </c>
      <c r="W121">
        <f>HYPERLINK("https://klasma.github.io/Logging_1380/klagomålsmail/A 2994-2024 FSC-klagomål mail.docx", "A 2994-2024")</f>
        <v/>
      </c>
      <c r="X121">
        <f>HYPERLINK("https://klasma.github.io/Logging_1380/tillsyn/A 2994-2024 tillsynsbegäran.docx", "A 2994-2024")</f>
        <v/>
      </c>
      <c r="Y121">
        <f>HYPERLINK("https://klasma.github.io/Logging_1380/tillsynsmail/A 2994-2024 tillsynsbegäran mail.docx", "A 2994-2024")</f>
        <v/>
      </c>
    </row>
    <row r="122" ht="15" customHeight="1">
      <c r="A122" t="inlineStr">
        <is>
          <t>A 3369-2024</t>
        </is>
      </c>
      <c r="B122" s="1" t="n">
        <v>45317</v>
      </c>
      <c r="C122" s="1" t="n">
        <v>45827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Brödmärgsticka</t>
        </is>
      </c>
      <c r="S122">
        <f>HYPERLINK("https://klasma.github.io/Logging_1383/artfynd/A 3369-2024 artfynd.xlsx", "A 3369-2024")</f>
        <v/>
      </c>
      <c r="T122">
        <f>HYPERLINK("https://klasma.github.io/Logging_1383/kartor/A 3369-2024 karta.png", "A 3369-2024")</f>
        <v/>
      </c>
      <c r="V122">
        <f>HYPERLINK("https://klasma.github.io/Logging_1383/klagomål/A 3369-2024 FSC-klagomål.docx", "A 3369-2024")</f>
        <v/>
      </c>
      <c r="W122">
        <f>HYPERLINK("https://klasma.github.io/Logging_1383/klagomålsmail/A 3369-2024 FSC-klagomål mail.docx", "A 3369-2024")</f>
        <v/>
      </c>
      <c r="X122">
        <f>HYPERLINK("https://klasma.github.io/Logging_1383/tillsyn/A 3369-2024 tillsynsbegäran.docx", "A 3369-2024")</f>
        <v/>
      </c>
      <c r="Y122">
        <f>HYPERLINK("https://klasma.github.io/Logging_1383/tillsynsmail/A 3369-2024 tillsynsbegäran mail.docx", "A 3369-2024")</f>
        <v/>
      </c>
    </row>
    <row r="123" ht="15" customHeight="1">
      <c r="A123" t="inlineStr">
        <is>
          <t>A 7006-2024</t>
        </is>
      </c>
      <c r="B123" s="1" t="n">
        <v>45343</v>
      </c>
      <c r="C123" s="1" t="n">
        <v>45827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HYPERLINK("https://klasma.github.io/Logging_1315/artfynd/A 7006-2024 artfynd.xlsx", "A 7006-2024")</f>
        <v/>
      </c>
      <c r="T123">
        <f>HYPERLINK("https://klasma.github.io/Logging_1315/kartor/A 7006-2024 karta.png", "A 7006-2024")</f>
        <v/>
      </c>
      <c r="V123">
        <f>HYPERLINK("https://klasma.github.io/Logging_1315/klagomål/A 7006-2024 FSC-klagomål.docx", "A 7006-2024")</f>
        <v/>
      </c>
      <c r="W123">
        <f>HYPERLINK("https://klasma.github.io/Logging_1315/klagomålsmail/A 7006-2024 FSC-klagomål mail.docx", "A 7006-2024")</f>
        <v/>
      </c>
      <c r="X123">
        <f>HYPERLINK("https://klasma.github.io/Logging_1315/tillsyn/A 7006-2024 tillsynsbegäran.docx", "A 7006-2024")</f>
        <v/>
      </c>
      <c r="Y123">
        <f>HYPERLINK("https://klasma.github.io/Logging_1315/tillsynsmail/A 7006-2024 tillsynsbegäran mail.docx", "A 7006-2024")</f>
        <v/>
      </c>
    </row>
    <row r="124" ht="15" customHeight="1">
      <c r="A124" t="inlineStr">
        <is>
          <t>A 8102-2024</t>
        </is>
      </c>
      <c r="B124" s="1" t="n">
        <v>45351</v>
      </c>
      <c r="C124" s="1" t="n">
        <v>45827</v>
      </c>
      <c r="D124" t="inlineStr">
        <is>
          <t>HALLANDS LÄN</t>
        </is>
      </c>
      <c r="E124" t="inlineStr">
        <is>
          <t>HALMSTAD</t>
        </is>
      </c>
      <c r="G124" t="n">
        <v>7.6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Fjällvråk</t>
        </is>
      </c>
      <c r="S124">
        <f>HYPERLINK("https://klasma.github.io/Logging_1380/artfynd/A 8102-2024 artfynd.xlsx", "A 8102-2024")</f>
        <v/>
      </c>
      <c r="T124">
        <f>HYPERLINK("https://klasma.github.io/Logging_1380/kartor/A 8102-2024 karta.png", "A 8102-2024")</f>
        <v/>
      </c>
      <c r="V124">
        <f>HYPERLINK("https://klasma.github.io/Logging_1380/klagomål/A 8102-2024 FSC-klagomål.docx", "A 8102-2024")</f>
        <v/>
      </c>
      <c r="W124">
        <f>HYPERLINK("https://klasma.github.io/Logging_1380/klagomålsmail/A 8102-2024 FSC-klagomål mail.docx", "A 8102-2024")</f>
        <v/>
      </c>
      <c r="X124">
        <f>HYPERLINK("https://klasma.github.io/Logging_1380/tillsyn/A 8102-2024 tillsynsbegäran.docx", "A 8102-2024")</f>
        <v/>
      </c>
      <c r="Y124">
        <f>HYPERLINK("https://klasma.github.io/Logging_1380/tillsynsmail/A 8102-2024 tillsynsbegäran mail.docx", "A 8102-2024")</f>
        <v/>
      </c>
      <c r="Z124">
        <f>HYPERLINK("https://klasma.github.io/Logging_1380/fåglar/A 8102-2024 prioriterade fågelarter.docx", "A 8102-2024")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45827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10229-2024</t>
        </is>
      </c>
      <c r="B126" s="1" t="n">
        <v>45365</v>
      </c>
      <c r="C126" s="1" t="n">
        <v>45827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Trind spretmossa</t>
        </is>
      </c>
      <c r="S126">
        <f>HYPERLINK("https://klasma.github.io/Logging_1380/artfynd/A 10229-2024 artfynd.xlsx", "A 10229-2024")</f>
        <v/>
      </c>
      <c r="T126">
        <f>HYPERLINK("https://klasma.github.io/Logging_1380/kartor/A 10229-2024 karta.png", "A 10229-2024")</f>
        <v/>
      </c>
      <c r="V126">
        <f>HYPERLINK("https://klasma.github.io/Logging_1380/klagomål/A 10229-2024 FSC-klagomål.docx", "A 10229-2024")</f>
        <v/>
      </c>
      <c r="W126">
        <f>HYPERLINK("https://klasma.github.io/Logging_1380/klagomålsmail/A 10229-2024 FSC-klagomål mail.docx", "A 10229-2024")</f>
        <v/>
      </c>
      <c r="X126">
        <f>HYPERLINK("https://klasma.github.io/Logging_1380/tillsyn/A 10229-2024 tillsynsbegäran.docx", "A 10229-2024")</f>
        <v/>
      </c>
      <c r="Y126">
        <f>HYPERLINK("https://klasma.github.io/Logging_1380/tillsynsmail/A 10229-2024 tillsynsbegäran mail.docx", "A 10229-2024")</f>
        <v/>
      </c>
    </row>
    <row r="127" ht="15" customHeight="1">
      <c r="A127" t="inlineStr">
        <is>
          <t>A 21622-2024</t>
        </is>
      </c>
      <c r="B127" s="1" t="n">
        <v>45442</v>
      </c>
      <c r="C127" s="1" t="n">
        <v>45827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Barbastell</t>
        </is>
      </c>
      <c r="S127">
        <f>HYPERLINK("https://klasma.github.io/Logging_1380/artfynd/A 21622-2024 artfynd.xlsx", "A 21622-2024")</f>
        <v/>
      </c>
      <c r="T127">
        <f>HYPERLINK("https://klasma.github.io/Logging_1380/kartor/A 21622-2024 karta.png", "A 21622-2024")</f>
        <v/>
      </c>
      <c r="V127">
        <f>HYPERLINK("https://klasma.github.io/Logging_1380/klagomål/A 21622-2024 FSC-klagomål.docx", "A 21622-2024")</f>
        <v/>
      </c>
      <c r="W127">
        <f>HYPERLINK("https://klasma.github.io/Logging_1380/klagomålsmail/A 21622-2024 FSC-klagomål mail.docx", "A 21622-2024")</f>
        <v/>
      </c>
      <c r="X127">
        <f>HYPERLINK("https://klasma.github.io/Logging_1380/tillsyn/A 21622-2024 tillsynsbegäran.docx", "A 21622-2024")</f>
        <v/>
      </c>
      <c r="Y127">
        <f>HYPERLINK("https://klasma.github.io/Logging_1380/tillsynsmail/A 21622-2024 tillsynsbegäran mail.docx", "A 21622-2024")</f>
        <v/>
      </c>
    </row>
    <row r="128" ht="15" customHeight="1">
      <c r="A128" t="inlineStr">
        <is>
          <t>A 34740-2024</t>
        </is>
      </c>
      <c r="B128" s="1" t="n">
        <v>45526</v>
      </c>
      <c r="C128" s="1" t="n">
        <v>45827</v>
      </c>
      <c r="D128" t="inlineStr">
        <is>
          <t>HALLANDS LÄN</t>
        </is>
      </c>
      <c r="E128" t="inlineStr">
        <is>
          <t>KUNGSBACKA</t>
        </is>
      </c>
      <c r="G128" t="n">
        <v>7.3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HYPERLINK("https://klasma.github.io/Logging_1384/artfynd/A 34740-2024 artfynd.xlsx", "A 34740-2024")</f>
        <v/>
      </c>
      <c r="T128">
        <f>HYPERLINK("https://klasma.github.io/Logging_1384/kartor/A 34740-2024 karta.png", "A 34740-2024")</f>
        <v/>
      </c>
      <c r="V128">
        <f>HYPERLINK("https://klasma.github.io/Logging_1384/klagomål/A 34740-2024 FSC-klagomål.docx", "A 34740-2024")</f>
        <v/>
      </c>
      <c r="W128">
        <f>HYPERLINK("https://klasma.github.io/Logging_1384/klagomålsmail/A 34740-2024 FSC-klagomål mail.docx", "A 34740-2024")</f>
        <v/>
      </c>
      <c r="X128">
        <f>HYPERLINK("https://klasma.github.io/Logging_1384/tillsyn/A 34740-2024 tillsynsbegäran.docx", "A 34740-2024")</f>
        <v/>
      </c>
      <c r="Y128">
        <f>HYPERLINK("https://klasma.github.io/Logging_1384/tillsynsmail/A 34740-2024 tillsynsbegäran mail.docx", "A 34740-2024")</f>
        <v/>
      </c>
    </row>
    <row r="129" ht="15" customHeight="1">
      <c r="A129" t="inlineStr">
        <is>
          <t>A 34772-2024</t>
        </is>
      </c>
      <c r="B129" s="1" t="n">
        <v>45526</v>
      </c>
      <c r="C129" s="1" t="n">
        <v>45827</v>
      </c>
      <c r="D129" t="inlineStr">
        <is>
          <t>HALLANDS LÄN</t>
        </is>
      </c>
      <c r="E129" t="inlineStr">
        <is>
          <t>KUNGSBACKA</t>
        </is>
      </c>
      <c r="G129" t="n">
        <v>13.2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HYPERLINK("https://klasma.github.io/Logging_1384/artfynd/A 34772-2024 artfynd.xlsx", "A 34772-2024")</f>
        <v/>
      </c>
      <c r="T129">
        <f>HYPERLINK("https://klasma.github.io/Logging_1384/kartor/A 34772-2024 karta.png", "A 34772-2024")</f>
        <v/>
      </c>
      <c r="V129">
        <f>HYPERLINK("https://klasma.github.io/Logging_1384/klagomål/A 34772-2024 FSC-klagomål.docx", "A 34772-2024")</f>
        <v/>
      </c>
      <c r="W129">
        <f>HYPERLINK("https://klasma.github.io/Logging_1384/klagomålsmail/A 34772-2024 FSC-klagomål mail.docx", "A 34772-2024")</f>
        <v/>
      </c>
      <c r="X129">
        <f>HYPERLINK("https://klasma.github.io/Logging_1384/tillsyn/A 34772-2024 tillsynsbegäran.docx", "A 34772-2024")</f>
        <v/>
      </c>
      <c r="Y129">
        <f>HYPERLINK("https://klasma.github.io/Logging_1384/tillsynsmail/A 34772-2024 tillsynsbegäran mail.docx", "A 34772-2024")</f>
        <v/>
      </c>
    </row>
    <row r="130" ht="15" customHeight="1">
      <c r="A130" t="inlineStr">
        <is>
          <t>A 37600-2024</t>
        </is>
      </c>
      <c r="B130" s="1" t="n">
        <v>45541</v>
      </c>
      <c r="C130" s="1" t="n">
        <v>45827</v>
      </c>
      <c r="D130" t="inlineStr">
        <is>
          <t>HALLANDS LÄN</t>
        </is>
      </c>
      <c r="E130" t="inlineStr">
        <is>
          <t>HALMSTAD</t>
        </is>
      </c>
      <c r="G130" t="n">
        <v>23.1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HYPERLINK("https://klasma.github.io/Logging_1380/artfynd/A 37600-2024 artfynd.xlsx", "A 37600-2024")</f>
        <v/>
      </c>
      <c r="T130">
        <f>HYPERLINK("https://klasma.github.io/Logging_1380/kartor/A 37600-2024 karta.png", "A 37600-2024")</f>
        <v/>
      </c>
      <c r="V130">
        <f>HYPERLINK("https://klasma.github.io/Logging_1380/klagomål/A 37600-2024 FSC-klagomål.docx", "A 37600-2024")</f>
        <v/>
      </c>
      <c r="W130">
        <f>HYPERLINK("https://klasma.github.io/Logging_1380/klagomålsmail/A 37600-2024 FSC-klagomål mail.docx", "A 37600-2024")</f>
        <v/>
      </c>
      <c r="X130">
        <f>HYPERLINK("https://klasma.github.io/Logging_1380/tillsyn/A 37600-2024 tillsynsbegäran.docx", "A 37600-2024")</f>
        <v/>
      </c>
      <c r="Y130">
        <f>HYPERLINK("https://klasma.github.io/Logging_1380/tillsynsmail/A 37600-2024 tillsynsbegäran mail.docx", "A 37600-2024")</f>
        <v/>
      </c>
    </row>
    <row r="131" ht="15" customHeight="1">
      <c r="A131" t="inlineStr">
        <is>
          <t>A 38642-2024</t>
        </is>
      </c>
      <c r="B131" s="1" t="n">
        <v>45546</v>
      </c>
      <c r="C131" s="1" t="n">
        <v>45827</v>
      </c>
      <c r="D131" t="inlineStr">
        <is>
          <t>HALLANDS LÄN</t>
        </is>
      </c>
      <c r="E131" t="inlineStr">
        <is>
          <t>VARBERG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Åkergroda</t>
        </is>
      </c>
      <c r="S131">
        <f>HYPERLINK("https://klasma.github.io/Logging_1383/artfynd/A 38642-2024 artfynd.xlsx", "A 38642-2024")</f>
        <v/>
      </c>
      <c r="T131">
        <f>HYPERLINK("https://klasma.github.io/Logging_1383/kartor/A 38642-2024 karta.png", "A 38642-2024")</f>
        <v/>
      </c>
      <c r="V131">
        <f>HYPERLINK("https://klasma.github.io/Logging_1383/klagomål/A 38642-2024 FSC-klagomål.docx", "A 38642-2024")</f>
        <v/>
      </c>
      <c r="W131">
        <f>HYPERLINK("https://klasma.github.io/Logging_1383/klagomålsmail/A 38642-2024 FSC-klagomål mail.docx", "A 38642-2024")</f>
        <v/>
      </c>
      <c r="X131">
        <f>HYPERLINK("https://klasma.github.io/Logging_1383/tillsyn/A 38642-2024 tillsynsbegäran.docx", "A 38642-2024")</f>
        <v/>
      </c>
      <c r="Y131">
        <f>HYPERLINK("https://klasma.github.io/Logging_1383/tillsynsmail/A 38642-2024 tillsynsbegäran mail.docx", "A 38642-2024")</f>
        <v/>
      </c>
    </row>
    <row r="132" ht="15" customHeight="1">
      <c r="A132" t="inlineStr">
        <is>
          <t>A 42732-2024</t>
        </is>
      </c>
      <c r="B132" s="1" t="n">
        <v>45566</v>
      </c>
      <c r="C132" s="1" t="n">
        <v>45827</v>
      </c>
      <c r="D132" t="inlineStr">
        <is>
          <t>HALLANDS LÄN</t>
        </is>
      </c>
      <c r="E132" t="inlineStr">
        <is>
          <t>HALMSTAD</t>
        </is>
      </c>
      <c r="G132" t="n">
        <v>13.9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42732-2024 artfynd.xlsx", "A 42732-2024")</f>
        <v/>
      </c>
      <c r="T132">
        <f>HYPERLINK("https://klasma.github.io/Logging_1380/kartor/A 42732-2024 karta.png", "A 42732-2024")</f>
        <v/>
      </c>
      <c r="V132">
        <f>HYPERLINK("https://klasma.github.io/Logging_1380/klagomål/A 42732-2024 FSC-klagomål.docx", "A 42732-2024")</f>
        <v/>
      </c>
      <c r="W132">
        <f>HYPERLINK("https://klasma.github.io/Logging_1380/klagomålsmail/A 42732-2024 FSC-klagomål mail.docx", "A 42732-2024")</f>
        <v/>
      </c>
      <c r="X132">
        <f>HYPERLINK("https://klasma.github.io/Logging_1380/tillsyn/A 42732-2024 tillsynsbegäran.docx", "A 42732-2024")</f>
        <v/>
      </c>
      <c r="Y132">
        <f>HYPERLINK("https://klasma.github.io/Logging_1380/tillsynsmail/A 42732-2024 tillsynsbegäran mail.docx", "A 42732-2024")</f>
        <v/>
      </c>
    </row>
    <row r="133" ht="15" customHeight="1">
      <c r="A133" t="inlineStr">
        <is>
          <t>A 46562-2024</t>
        </is>
      </c>
      <c r="B133" s="1" t="n">
        <v>45582</v>
      </c>
      <c r="C133" s="1" t="n">
        <v>45827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Hårginst</t>
        </is>
      </c>
      <c r="S133">
        <f>HYPERLINK("https://klasma.github.io/Logging_1381/artfynd/A 46562-2024 artfynd.xlsx", "A 46562-2024")</f>
        <v/>
      </c>
      <c r="T133">
        <f>HYPERLINK("https://klasma.github.io/Logging_1381/kartor/A 46562-2024 karta.png", "A 46562-2024")</f>
        <v/>
      </c>
      <c r="V133">
        <f>HYPERLINK("https://klasma.github.io/Logging_1381/klagomål/A 46562-2024 FSC-klagomål.docx", "A 46562-2024")</f>
        <v/>
      </c>
      <c r="W133">
        <f>HYPERLINK("https://klasma.github.io/Logging_1381/klagomålsmail/A 46562-2024 FSC-klagomål mail.docx", "A 46562-2024")</f>
        <v/>
      </c>
      <c r="X133">
        <f>HYPERLINK("https://klasma.github.io/Logging_1381/tillsyn/A 46562-2024 tillsynsbegäran.docx", "A 46562-2024")</f>
        <v/>
      </c>
      <c r="Y133">
        <f>HYPERLINK("https://klasma.github.io/Logging_1381/tillsynsmail/A 46562-2024 tillsynsbegäran mail.docx", "A 46562-2024")</f>
        <v/>
      </c>
    </row>
    <row r="134" ht="15" customHeight="1">
      <c r="A134" t="inlineStr">
        <is>
          <t>A 50273-2024</t>
        </is>
      </c>
      <c r="B134" s="1" t="n">
        <v>45600</v>
      </c>
      <c r="C134" s="1" t="n">
        <v>45827</v>
      </c>
      <c r="D134" t="inlineStr">
        <is>
          <t>HALLANDS LÄN</t>
        </is>
      </c>
      <c r="E134" t="inlineStr">
        <is>
          <t>FALKENBERG</t>
        </is>
      </c>
      <c r="G134" t="n">
        <v>2.7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50273-2024 artfynd.xlsx", "A 50273-2024")</f>
        <v/>
      </c>
      <c r="T134">
        <f>HYPERLINK("https://klasma.github.io/Logging_1382/kartor/A 50273-2024 karta.png", "A 50273-2024")</f>
        <v/>
      </c>
      <c r="V134">
        <f>HYPERLINK("https://klasma.github.io/Logging_1382/klagomål/A 50273-2024 FSC-klagomål.docx", "A 50273-2024")</f>
        <v/>
      </c>
      <c r="W134">
        <f>HYPERLINK("https://klasma.github.io/Logging_1382/klagomålsmail/A 50273-2024 FSC-klagomål mail.docx", "A 50273-2024")</f>
        <v/>
      </c>
      <c r="X134">
        <f>HYPERLINK("https://klasma.github.io/Logging_1382/tillsyn/A 50273-2024 tillsynsbegäran.docx", "A 50273-2024")</f>
        <v/>
      </c>
      <c r="Y134">
        <f>HYPERLINK("https://klasma.github.io/Logging_1382/tillsynsmail/A 50273-2024 tillsynsbegäran mail.docx", "A 50273-2024")</f>
        <v/>
      </c>
    </row>
    <row r="135" ht="15" customHeight="1">
      <c r="A135" t="inlineStr">
        <is>
          <t>A 54338-2024</t>
        </is>
      </c>
      <c r="B135" s="1" t="n">
        <v>45617</v>
      </c>
      <c r="C135" s="1" t="n">
        <v>45827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Sydfibbla</t>
        </is>
      </c>
      <c r="S135">
        <f>HYPERLINK("https://klasma.github.io/Logging_1381/artfynd/A 54338-2024 artfynd.xlsx", "A 54338-2024")</f>
        <v/>
      </c>
      <c r="T135">
        <f>HYPERLINK("https://klasma.github.io/Logging_1381/kartor/A 54338-2024 karta.png", "A 54338-2024")</f>
        <v/>
      </c>
      <c r="V135">
        <f>HYPERLINK("https://klasma.github.io/Logging_1381/klagomål/A 54338-2024 FSC-klagomål.docx", "A 54338-2024")</f>
        <v/>
      </c>
      <c r="W135">
        <f>HYPERLINK("https://klasma.github.io/Logging_1381/klagomålsmail/A 54338-2024 FSC-klagomål mail.docx", "A 54338-2024")</f>
        <v/>
      </c>
      <c r="X135">
        <f>HYPERLINK("https://klasma.github.io/Logging_1381/tillsyn/A 54338-2024 tillsynsbegäran.docx", "A 54338-2024")</f>
        <v/>
      </c>
      <c r="Y135">
        <f>HYPERLINK("https://klasma.github.io/Logging_1381/tillsynsmail/A 54338-2024 tillsynsbegäran mail.docx", "A 54338-2024")</f>
        <v/>
      </c>
    </row>
    <row r="136" ht="15" customHeight="1">
      <c r="A136" t="inlineStr">
        <is>
          <t>A 56034-2024</t>
        </is>
      </c>
      <c r="B136" s="1" t="n">
        <v>45624</v>
      </c>
      <c r="C136" s="1" t="n">
        <v>45827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HYPERLINK("https://klasma.github.io/Logging_1382/artfynd/A 56034-2024 artfynd.xlsx", "A 56034-2024")</f>
        <v/>
      </c>
      <c r="T136">
        <f>HYPERLINK("https://klasma.github.io/Logging_1382/kartor/A 56034-2024 karta.png", "A 56034-2024")</f>
        <v/>
      </c>
      <c r="V136">
        <f>HYPERLINK("https://klasma.github.io/Logging_1382/klagomål/A 56034-2024 FSC-klagomål.docx", "A 56034-2024")</f>
        <v/>
      </c>
      <c r="W136">
        <f>HYPERLINK("https://klasma.github.io/Logging_1382/klagomålsmail/A 56034-2024 FSC-klagomål mail.docx", "A 56034-2024")</f>
        <v/>
      </c>
      <c r="X136">
        <f>HYPERLINK("https://klasma.github.io/Logging_1382/tillsyn/A 56034-2024 tillsynsbegäran.docx", "A 56034-2024")</f>
        <v/>
      </c>
      <c r="Y136">
        <f>HYPERLINK("https://klasma.github.io/Logging_1382/tillsynsmail/A 56034-2024 tillsynsbegäran mail.docx", "A 56034-2024")</f>
        <v/>
      </c>
    </row>
    <row r="137" ht="15" customHeight="1">
      <c r="A137" t="inlineStr">
        <is>
          <t>A 56929-2024</t>
        </is>
      </c>
      <c r="B137" s="1" t="n">
        <v>45628</v>
      </c>
      <c r="C137" s="1" t="n">
        <v>45827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HYPERLINK("https://klasma.github.io/Logging_1382/artfynd/A 56929-2024 artfynd.xlsx", "A 56929-2024")</f>
        <v/>
      </c>
      <c r="T137">
        <f>HYPERLINK("https://klasma.github.io/Logging_1382/kartor/A 56929-2024 karta.png", "A 56929-2024")</f>
        <v/>
      </c>
      <c r="V137">
        <f>HYPERLINK("https://klasma.github.io/Logging_1382/klagomål/A 56929-2024 FSC-klagomål.docx", "A 56929-2024")</f>
        <v/>
      </c>
      <c r="W137">
        <f>HYPERLINK("https://klasma.github.io/Logging_1382/klagomålsmail/A 56929-2024 FSC-klagomål mail.docx", "A 56929-2024")</f>
        <v/>
      </c>
      <c r="X137">
        <f>HYPERLINK("https://klasma.github.io/Logging_1382/tillsyn/A 56929-2024 tillsynsbegäran.docx", "A 56929-2024")</f>
        <v/>
      </c>
      <c r="Y137">
        <f>HYPERLINK("https://klasma.github.io/Logging_1382/tillsynsmail/A 56929-2024 tillsynsbegäran mail.docx", "A 56929-2024")</f>
        <v/>
      </c>
    </row>
    <row r="138" ht="15" customHeight="1">
      <c r="A138" t="inlineStr">
        <is>
          <t>A 609-2025</t>
        </is>
      </c>
      <c r="B138" s="1" t="n">
        <v>45664</v>
      </c>
      <c r="C138" s="1" t="n">
        <v>45827</v>
      </c>
      <c r="D138" t="inlineStr">
        <is>
          <t>HALLANDS LÄN</t>
        </is>
      </c>
      <c r="E138" t="inlineStr">
        <is>
          <t>HYLTE</t>
        </is>
      </c>
      <c r="F138" t="inlineStr">
        <is>
          <t>Kyrkan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Sommargylling</t>
        </is>
      </c>
      <c r="S138">
        <f>HYPERLINK("https://klasma.github.io/Logging_1315/artfynd/A 609-2025 artfynd.xlsx", "A 609-2025")</f>
        <v/>
      </c>
      <c r="T138">
        <f>HYPERLINK("https://klasma.github.io/Logging_1315/kartor/A 609-2025 karta.png", "A 609-2025")</f>
        <v/>
      </c>
      <c r="V138">
        <f>HYPERLINK("https://klasma.github.io/Logging_1315/klagomål/A 609-2025 FSC-klagomål.docx", "A 609-2025")</f>
        <v/>
      </c>
      <c r="W138">
        <f>HYPERLINK("https://klasma.github.io/Logging_1315/klagomålsmail/A 609-2025 FSC-klagomål mail.docx", "A 609-2025")</f>
        <v/>
      </c>
      <c r="X138">
        <f>HYPERLINK("https://klasma.github.io/Logging_1315/tillsyn/A 609-2025 tillsynsbegäran.docx", "A 609-2025")</f>
        <v/>
      </c>
      <c r="Y138">
        <f>HYPERLINK("https://klasma.github.io/Logging_1315/tillsynsmail/A 609-2025 tillsynsbegäran mail.docx", "A 609-2025")</f>
        <v/>
      </c>
      <c r="Z138">
        <f>HYPERLINK("https://klasma.github.io/Logging_1315/fåglar/A 609-2025 prioriterade fågelarter.docx", "A 609-2025")</f>
        <v/>
      </c>
    </row>
    <row r="139" ht="15" customHeight="1">
      <c r="A139" t="inlineStr">
        <is>
          <t>A 1274-2025</t>
        </is>
      </c>
      <c r="B139" s="1" t="n">
        <v>45667</v>
      </c>
      <c r="C139" s="1" t="n">
        <v>45827</v>
      </c>
      <c r="D139" t="inlineStr">
        <is>
          <t>HALLANDS LÄN</t>
        </is>
      </c>
      <c r="E139" t="inlineStr">
        <is>
          <t>FALKENBERG</t>
        </is>
      </c>
      <c r="G139" t="n">
        <v>7.7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HYPERLINK("https://klasma.github.io/Logging_1382/artfynd/A 1274-2025 artfynd.xlsx", "A 1274-2025")</f>
        <v/>
      </c>
      <c r="T139">
        <f>HYPERLINK("https://klasma.github.io/Logging_1382/kartor/A 1274-2025 karta.png", "A 1274-2025")</f>
        <v/>
      </c>
      <c r="V139">
        <f>HYPERLINK("https://klasma.github.io/Logging_1382/klagomål/A 1274-2025 FSC-klagomål.docx", "A 1274-2025")</f>
        <v/>
      </c>
      <c r="W139">
        <f>HYPERLINK("https://klasma.github.io/Logging_1382/klagomålsmail/A 1274-2025 FSC-klagomål mail.docx", "A 1274-2025")</f>
        <v/>
      </c>
      <c r="X139">
        <f>HYPERLINK("https://klasma.github.io/Logging_1382/tillsyn/A 1274-2025 tillsynsbegäran.docx", "A 1274-2025")</f>
        <v/>
      </c>
      <c r="Y139">
        <f>HYPERLINK("https://klasma.github.io/Logging_1382/tillsynsmail/A 1274-2025 tillsynsbegäran mail.docx", "A 1274-2025")</f>
        <v/>
      </c>
    </row>
    <row r="140" ht="15" customHeight="1">
      <c r="A140" t="inlineStr">
        <is>
          <t>A 3576-2025</t>
        </is>
      </c>
      <c r="B140" s="1" t="n">
        <v>45680</v>
      </c>
      <c r="C140" s="1" t="n">
        <v>45827</v>
      </c>
      <c r="D140" t="inlineStr">
        <is>
          <t>HALLANDS LÄN</t>
        </is>
      </c>
      <c r="E140" t="inlineStr">
        <is>
          <t>LAHOLM</t>
        </is>
      </c>
      <c r="G140" t="n">
        <v>4.4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HYPERLINK("https://klasma.github.io/Logging_1381/artfynd/A 3576-2025 artfynd.xlsx", "A 3576-2025")</f>
        <v/>
      </c>
      <c r="T140">
        <f>HYPERLINK("https://klasma.github.io/Logging_1381/kartor/A 3576-2025 karta.png", "A 3576-2025")</f>
        <v/>
      </c>
      <c r="V140">
        <f>HYPERLINK("https://klasma.github.io/Logging_1381/klagomål/A 3576-2025 FSC-klagomål.docx", "A 3576-2025")</f>
        <v/>
      </c>
      <c r="W140">
        <f>HYPERLINK("https://klasma.github.io/Logging_1381/klagomålsmail/A 3576-2025 FSC-klagomål mail.docx", "A 3576-2025")</f>
        <v/>
      </c>
      <c r="X140">
        <f>HYPERLINK("https://klasma.github.io/Logging_1381/tillsyn/A 3576-2025 tillsynsbegäran.docx", "A 3576-2025")</f>
        <v/>
      </c>
      <c r="Y140">
        <f>HYPERLINK("https://klasma.github.io/Logging_1381/tillsynsmail/A 3576-2025 tillsynsbegäran mail.docx", "A 3576-2025")</f>
        <v/>
      </c>
      <c r="Z140">
        <f>HYPERLINK("https://klasma.github.io/Logging_1381/fåglar/A 3576-2025 prioriterade fågelarter.docx", "A 3576-2025")</f>
        <v/>
      </c>
    </row>
    <row r="141" ht="15" customHeight="1">
      <c r="A141" t="inlineStr">
        <is>
          <t>A 5530-2025</t>
        </is>
      </c>
      <c r="B141" s="1" t="n">
        <v>45692</v>
      </c>
      <c r="C141" s="1" t="n">
        <v>45827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HYPERLINK("https://klasma.github.io/Logging_1380/artfynd/A 5530-2025 artfynd.xlsx", "A 5530-2025")</f>
        <v/>
      </c>
      <c r="T141">
        <f>HYPERLINK("https://klasma.github.io/Logging_1380/kartor/A 5530-2025 karta.png", "A 5530-2025")</f>
        <v/>
      </c>
      <c r="V141">
        <f>HYPERLINK("https://klasma.github.io/Logging_1380/klagomål/A 5530-2025 FSC-klagomål.docx", "A 5530-2025")</f>
        <v/>
      </c>
      <c r="W141">
        <f>HYPERLINK("https://klasma.github.io/Logging_1380/klagomålsmail/A 5530-2025 FSC-klagomål mail.docx", "A 5530-2025")</f>
        <v/>
      </c>
      <c r="X141">
        <f>HYPERLINK("https://klasma.github.io/Logging_1380/tillsyn/A 5530-2025 tillsynsbegäran.docx", "A 5530-2025")</f>
        <v/>
      </c>
      <c r="Y141">
        <f>HYPERLINK("https://klasma.github.io/Logging_1380/tillsynsmail/A 5530-2025 tillsynsbegäran mail.docx", "A 5530-2025")</f>
        <v/>
      </c>
    </row>
    <row r="142" ht="15" customHeight="1">
      <c r="A142" t="inlineStr">
        <is>
          <t>A 5240-2025</t>
        </is>
      </c>
      <c r="B142" s="1" t="n">
        <v>45692</v>
      </c>
      <c r="C142" s="1" t="n">
        <v>45827</v>
      </c>
      <c r="D142" t="inlineStr">
        <is>
          <t>HALLANDS LÄN</t>
        </is>
      </c>
      <c r="E142" t="inlineStr">
        <is>
          <t>HALMSTAD</t>
        </is>
      </c>
      <c r="G142" t="n">
        <v>8.300000000000001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Mussellav</t>
        </is>
      </c>
      <c r="S142">
        <f>HYPERLINK("https://klasma.github.io/Logging_1380/artfynd/A 5240-2025 artfynd.xlsx", "A 5240-2025")</f>
        <v/>
      </c>
      <c r="T142">
        <f>HYPERLINK("https://klasma.github.io/Logging_1380/kartor/A 5240-2025 karta.png", "A 5240-2025")</f>
        <v/>
      </c>
      <c r="V142">
        <f>HYPERLINK("https://klasma.github.io/Logging_1380/klagomål/A 5240-2025 FSC-klagomål.docx", "A 5240-2025")</f>
        <v/>
      </c>
      <c r="W142">
        <f>HYPERLINK("https://klasma.github.io/Logging_1380/klagomålsmail/A 5240-2025 FSC-klagomål mail.docx", "A 5240-2025")</f>
        <v/>
      </c>
      <c r="X142">
        <f>HYPERLINK("https://klasma.github.io/Logging_1380/tillsyn/A 5240-2025 tillsynsbegäran.docx", "A 5240-2025")</f>
        <v/>
      </c>
      <c r="Y142">
        <f>HYPERLINK("https://klasma.github.io/Logging_1380/tillsynsmail/A 5240-2025 tillsynsbegäran mail.docx", "A 5240-2025")</f>
        <v/>
      </c>
    </row>
    <row r="143" ht="15" customHeight="1">
      <c r="A143" t="inlineStr">
        <is>
          <t>A 10124-2025</t>
        </is>
      </c>
      <c r="B143" s="1" t="n">
        <v>45719</v>
      </c>
      <c r="C143" s="1" t="n">
        <v>45827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Fiskmås</t>
        </is>
      </c>
      <c r="S143">
        <f>HYPERLINK("https://klasma.github.io/Logging_131384/artfynd/A 10124-2025 artfynd.xlsx", "A 10124-2025")</f>
        <v/>
      </c>
      <c r="T143">
        <f>HYPERLINK("https://klasma.github.io/Logging_131384/kartor/A 10124-2025 karta.png", "A 10124-2025")</f>
        <v/>
      </c>
      <c r="V143">
        <f>HYPERLINK("https://klasma.github.io/Logging_131384/klagomål/A 10124-2025 FSC-klagomål.docx", "A 10124-2025")</f>
        <v/>
      </c>
      <c r="W143">
        <f>HYPERLINK("https://klasma.github.io/Logging_131384/klagomålsmail/A 10124-2025 FSC-klagomål mail.docx", "A 10124-2025")</f>
        <v/>
      </c>
      <c r="X143">
        <f>HYPERLINK("https://klasma.github.io/Logging_131384/tillsyn/A 10124-2025 tillsynsbegäran.docx", "A 10124-2025")</f>
        <v/>
      </c>
      <c r="Y143">
        <f>HYPERLINK("https://klasma.github.io/Logging_131384/tillsynsmail/A 10124-2025 tillsynsbegäran mail.docx", "A 10124-2025")</f>
        <v/>
      </c>
    </row>
    <row r="144" ht="15" customHeight="1">
      <c r="A144" t="inlineStr">
        <is>
          <t>A 10751-2025</t>
        </is>
      </c>
      <c r="B144" s="1" t="n">
        <v>45722</v>
      </c>
      <c r="C144" s="1" t="n">
        <v>45827</v>
      </c>
      <c r="D144" t="inlineStr">
        <is>
          <t>HALLANDS LÄN</t>
        </is>
      </c>
      <c r="E144" t="inlineStr">
        <is>
          <t>VARBERG</t>
        </is>
      </c>
      <c r="G144" t="n">
        <v>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HYPERLINK("https://klasma.github.io/Logging_131383/artfynd/A 10751-2025 artfynd.xlsx", "A 10751-2025")</f>
        <v/>
      </c>
      <c r="T144">
        <f>HYPERLINK("https://klasma.github.io/Logging_131383/kartor/A 10751-2025 karta.png", "A 10751-2025")</f>
        <v/>
      </c>
      <c r="V144">
        <f>HYPERLINK("https://klasma.github.io/Logging_131383/klagomål/A 10751-2025 FSC-klagomål.docx", "A 10751-2025")</f>
        <v/>
      </c>
      <c r="W144">
        <f>HYPERLINK("https://klasma.github.io/Logging_131383/klagomålsmail/A 10751-2025 FSC-klagomål mail.docx", "A 10751-2025")</f>
        <v/>
      </c>
      <c r="X144">
        <f>HYPERLINK("https://klasma.github.io/Logging_131383/tillsyn/A 10751-2025 tillsynsbegäran.docx", "A 10751-2025")</f>
        <v/>
      </c>
      <c r="Y144">
        <f>HYPERLINK("https://klasma.github.io/Logging_131383/tillsynsmail/A 10751-2025 tillsynsbegäran mail.docx", "A 10751-2025")</f>
        <v/>
      </c>
    </row>
    <row r="145" ht="15" customHeight="1">
      <c r="A145" t="inlineStr">
        <is>
          <t>A 11010-2025</t>
        </is>
      </c>
      <c r="B145" s="1" t="n">
        <v>45723</v>
      </c>
      <c r="C145" s="1" t="n">
        <v>45827</v>
      </c>
      <c r="D145" t="inlineStr">
        <is>
          <t>HALLANDS LÄN</t>
        </is>
      </c>
      <c r="E145" t="inlineStr">
        <is>
          <t>KUNGSBACKA</t>
        </is>
      </c>
      <c r="G145" t="n">
        <v>12.4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Kambräken</t>
        </is>
      </c>
      <c r="S145">
        <f>HYPERLINK("https://klasma.github.io/Logging_131384/artfynd/A 11010-2025 artfynd.xlsx", "A 11010-2025")</f>
        <v/>
      </c>
      <c r="T145">
        <f>HYPERLINK("https://klasma.github.io/Logging_131384/kartor/A 11010-2025 karta.png", "A 11010-2025")</f>
        <v/>
      </c>
      <c r="V145">
        <f>HYPERLINK("https://klasma.github.io/Logging_131384/klagomål/A 11010-2025 FSC-klagomål.docx", "A 11010-2025")</f>
        <v/>
      </c>
      <c r="W145">
        <f>HYPERLINK("https://klasma.github.io/Logging_131384/klagomålsmail/A 11010-2025 FSC-klagomål mail.docx", "A 11010-2025")</f>
        <v/>
      </c>
      <c r="X145">
        <f>HYPERLINK("https://klasma.github.io/Logging_131384/tillsyn/A 11010-2025 tillsynsbegäran.docx", "A 11010-2025")</f>
        <v/>
      </c>
      <c r="Y145">
        <f>HYPERLINK("https://klasma.github.io/Logging_131384/tillsynsmail/A 11010-2025 tillsynsbegäran mail.docx", "A 11010-2025")</f>
        <v/>
      </c>
    </row>
    <row r="146" ht="15" customHeight="1">
      <c r="A146" t="inlineStr">
        <is>
          <t>A 13093-2025</t>
        </is>
      </c>
      <c r="B146" s="1" t="n">
        <v>45734</v>
      </c>
      <c r="C146" s="1" t="n">
        <v>45827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revmossa</t>
        </is>
      </c>
      <c r="S146">
        <f>HYPERLINK("https://klasma.github.io/Logging_131383/artfynd/A 13093-2025 artfynd.xlsx", "A 13093-2025")</f>
        <v/>
      </c>
      <c r="T146">
        <f>HYPERLINK("https://klasma.github.io/Logging_131383/kartor/A 13093-2025 karta.png", "A 13093-2025")</f>
        <v/>
      </c>
      <c r="V146">
        <f>HYPERLINK("https://klasma.github.io/Logging_131383/klagomål/A 13093-2025 FSC-klagomål.docx", "A 13093-2025")</f>
        <v/>
      </c>
      <c r="W146">
        <f>HYPERLINK("https://klasma.github.io/Logging_131383/klagomålsmail/A 13093-2025 FSC-klagomål mail.docx", "A 13093-2025")</f>
        <v/>
      </c>
      <c r="X146">
        <f>HYPERLINK("https://klasma.github.io/Logging_131383/tillsyn/A 13093-2025 tillsynsbegäran.docx", "A 13093-2025")</f>
        <v/>
      </c>
      <c r="Y146">
        <f>HYPERLINK("https://klasma.github.io/Logging_131383/tillsynsmail/A 13093-2025 tillsynsbegäran mail.docx", "A 13093-2025")</f>
        <v/>
      </c>
    </row>
    <row r="147" ht="15" customHeight="1">
      <c r="A147" t="inlineStr">
        <is>
          <t>A 13932-2025</t>
        </is>
      </c>
      <c r="B147" s="1" t="n">
        <v>45737</v>
      </c>
      <c r="C147" s="1" t="n">
        <v>45827</v>
      </c>
      <c r="D147" t="inlineStr">
        <is>
          <t>HALLANDS LÄN</t>
        </is>
      </c>
      <c r="E147" t="inlineStr">
        <is>
          <t>KUNGSBACKA</t>
        </is>
      </c>
      <c r="G147" t="n">
        <v>2.5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HYPERLINK("https://klasma.github.io/Logging_131384/artfynd/A 13932-2025 artfynd.xlsx", "A 13932-2025")</f>
        <v/>
      </c>
      <c r="T147">
        <f>HYPERLINK("https://klasma.github.io/Logging_131384/kartor/A 13932-2025 karta.png", "A 13932-2025")</f>
        <v/>
      </c>
      <c r="V147">
        <f>HYPERLINK("https://klasma.github.io/Logging_131384/klagomål/A 13932-2025 FSC-klagomål.docx", "A 13932-2025")</f>
        <v/>
      </c>
      <c r="W147">
        <f>HYPERLINK("https://klasma.github.io/Logging_131384/klagomålsmail/A 13932-2025 FSC-klagomål mail.docx", "A 13932-2025")</f>
        <v/>
      </c>
      <c r="X147">
        <f>HYPERLINK("https://klasma.github.io/Logging_131384/tillsyn/A 13932-2025 tillsynsbegäran.docx", "A 13932-2025")</f>
        <v/>
      </c>
      <c r="Y147">
        <f>HYPERLINK("https://klasma.github.io/Logging_131384/tillsynsmail/A 13932-2025 tillsynsbegäran mail.docx", "A 13932-2025")</f>
        <v/>
      </c>
    </row>
    <row r="148" ht="15" customHeight="1">
      <c r="A148" t="inlineStr">
        <is>
          <t>A 15103-2025</t>
        </is>
      </c>
      <c r="B148" s="1" t="n">
        <v>45744</v>
      </c>
      <c r="C148" s="1" t="n">
        <v>45827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HYPERLINK("https://klasma.github.io/Logging_131383/artfynd/A 15103-2025 artfynd.xlsx", "A 15103-2025")</f>
        <v/>
      </c>
      <c r="T148">
        <f>HYPERLINK("https://klasma.github.io/Logging_131383/kartor/A 15103-2025 karta.png", "A 15103-2025")</f>
        <v/>
      </c>
      <c r="V148">
        <f>HYPERLINK("https://klasma.github.io/Logging_131383/klagomål/A 15103-2025 FSC-klagomål.docx", "A 15103-2025")</f>
        <v/>
      </c>
      <c r="W148">
        <f>HYPERLINK("https://klasma.github.io/Logging_131383/klagomålsmail/A 15103-2025 FSC-klagomål mail.docx", "A 15103-2025")</f>
        <v/>
      </c>
      <c r="X148">
        <f>HYPERLINK("https://klasma.github.io/Logging_131383/tillsyn/A 15103-2025 tillsynsbegäran.docx", "A 15103-2025")</f>
        <v/>
      </c>
      <c r="Y148">
        <f>HYPERLINK("https://klasma.github.io/Logging_131383/tillsynsmail/A 15103-2025 tillsynsbegäran mail.docx", "A 15103-2025")</f>
        <v/>
      </c>
    </row>
    <row r="149" ht="15" customHeight="1">
      <c r="A149" t="inlineStr">
        <is>
          <t>A 22744-2025</t>
        </is>
      </c>
      <c r="B149" s="1" t="n">
        <v>45789</v>
      </c>
      <c r="C149" s="1" t="n">
        <v>45827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Björksplintborre</t>
        </is>
      </c>
      <c r="S149">
        <f>HYPERLINK("https://klasma.github.io/Logging_131382/artfynd/A 22744-2025 artfynd.xlsx", "A 22744-2025")</f>
        <v/>
      </c>
      <c r="T149">
        <f>HYPERLINK("https://klasma.github.io/Logging_131382/kartor/A 22744-2025 karta.png", "A 22744-2025")</f>
        <v/>
      </c>
      <c r="V149">
        <f>HYPERLINK("https://klasma.github.io/Logging_131382/klagomål/A 22744-2025 FSC-klagomål.docx", "A 22744-2025")</f>
        <v/>
      </c>
      <c r="W149">
        <f>HYPERLINK("https://klasma.github.io/Logging_131382/klagomålsmail/A 22744-2025 FSC-klagomål mail.docx", "A 22744-2025")</f>
        <v/>
      </c>
      <c r="X149">
        <f>HYPERLINK("https://klasma.github.io/Logging_131382/tillsyn/A 22744-2025 tillsynsbegäran.docx", "A 22744-2025")</f>
        <v/>
      </c>
      <c r="Y149">
        <f>HYPERLINK("https://klasma.github.io/Logging_131382/tillsynsmail/A 22744-2025 tillsynsbegäran mail.docx", "A 22744-2025")</f>
        <v/>
      </c>
    </row>
    <row r="150" ht="15" customHeight="1">
      <c r="A150" t="inlineStr">
        <is>
          <t>A 17740-2019</t>
        </is>
      </c>
      <c r="B150" s="1" t="n">
        <v>43556</v>
      </c>
      <c r="C150" s="1" t="n">
        <v>45827</v>
      </c>
      <c r="D150" t="inlineStr">
        <is>
          <t>HALLANDS LÄN</t>
        </is>
      </c>
      <c r="E150" t="inlineStr">
        <is>
          <t>HALMSTAD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17783-2019</t>
        </is>
      </c>
      <c r="B151" s="1" t="n">
        <v>43556</v>
      </c>
      <c r="C151" s="1" t="n">
        <v>45827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17776-2019</t>
        </is>
      </c>
      <c r="B152" s="1" t="n">
        <v>43556</v>
      </c>
      <c r="C152" s="1" t="n">
        <v>45827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18252-2019</t>
        </is>
      </c>
      <c r="B153" s="1" t="n">
        <v>43557</v>
      </c>
      <c r="C153" s="1" t="n">
        <v>45827</v>
      </c>
      <c r="D153" t="inlineStr">
        <is>
          <t>HALLANDS LÄN</t>
        </is>
      </c>
      <c r="E153" t="inlineStr">
        <is>
          <t>HYLTE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17886-2019</t>
        </is>
      </c>
      <c r="B154" s="1" t="n">
        <v>43557</v>
      </c>
      <c r="C154" s="1" t="n">
        <v>45827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18231-2019</t>
        </is>
      </c>
      <c r="B155" s="1" t="n">
        <v>43558</v>
      </c>
      <c r="C155" s="1" t="n">
        <v>45827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18248-2019</t>
        </is>
      </c>
      <c r="B156" s="1" t="n">
        <v>43558</v>
      </c>
      <c r="C156" s="1" t="n">
        <v>45827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18298-2019</t>
        </is>
      </c>
      <c r="B157" s="1" t="n">
        <v>43558</v>
      </c>
      <c r="C157" s="1" t="n">
        <v>45827</v>
      </c>
      <c r="D157" t="inlineStr">
        <is>
          <t>HALLANDS LÄN</t>
        </is>
      </c>
      <c r="E157" t="inlineStr">
        <is>
          <t>VARBERG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18297-2019</t>
        </is>
      </c>
      <c r="B158" s="1" t="n">
        <v>43558</v>
      </c>
      <c r="C158" s="1" t="n">
        <v>45827</v>
      </c>
      <c r="D158" t="inlineStr">
        <is>
          <t>HALLANDS LÄN</t>
        </is>
      </c>
      <c r="E158" t="inlineStr">
        <is>
          <t>VARBERG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18226-2019</t>
        </is>
      </c>
      <c r="B159" s="1" t="n">
        <v>43558</v>
      </c>
      <c r="C159" s="1" t="n">
        <v>45827</v>
      </c>
      <c r="D159" t="inlineStr">
        <is>
          <t>HALLANDS LÄN</t>
        </is>
      </c>
      <c r="E159" t="inlineStr">
        <is>
          <t>HYLTE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18296-2019</t>
        </is>
      </c>
      <c r="B160" s="1" t="n">
        <v>43558</v>
      </c>
      <c r="C160" s="1" t="n">
        <v>45827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18541-2019</t>
        </is>
      </c>
      <c r="B161" s="1" t="n">
        <v>43558</v>
      </c>
      <c r="C161" s="1" t="n">
        <v>45827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18306-2019</t>
        </is>
      </c>
      <c r="B162" s="1" t="n">
        <v>43558</v>
      </c>
      <c r="C162" s="1" t="n">
        <v>45827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18628-2019</t>
        </is>
      </c>
      <c r="B163" s="1" t="n">
        <v>43559</v>
      </c>
      <c r="C163" s="1" t="n">
        <v>45827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18661-2019</t>
        </is>
      </c>
      <c r="B164" s="1" t="n">
        <v>43560</v>
      </c>
      <c r="C164" s="1" t="n">
        <v>45827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18851-2019</t>
        </is>
      </c>
      <c r="B165" s="1" t="n">
        <v>43563</v>
      </c>
      <c r="C165" s="1" t="n">
        <v>45827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19013-2019</t>
        </is>
      </c>
      <c r="B166" s="1" t="n">
        <v>43563</v>
      </c>
      <c r="C166" s="1" t="n">
        <v>45827</v>
      </c>
      <c r="D166" t="inlineStr">
        <is>
          <t>HALLANDS LÄN</t>
        </is>
      </c>
      <c r="E166" t="inlineStr">
        <is>
          <t>KUNGSBACKA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18990-2019</t>
        </is>
      </c>
      <c r="B167" s="1" t="n">
        <v>43563</v>
      </c>
      <c r="C167" s="1" t="n">
        <v>45827</v>
      </c>
      <c r="D167" t="inlineStr">
        <is>
          <t>HALLANDS LÄN</t>
        </is>
      </c>
      <c r="E167" t="inlineStr">
        <is>
          <t>HYLTE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19188-2019</t>
        </is>
      </c>
      <c r="B168" s="1" t="n">
        <v>43564</v>
      </c>
      <c r="C168" s="1" t="n">
        <v>45827</v>
      </c>
      <c r="D168" t="inlineStr">
        <is>
          <t>HALLANDS LÄN</t>
        </is>
      </c>
      <c r="E168" t="inlineStr">
        <is>
          <t>HYLTE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19203-2019</t>
        </is>
      </c>
      <c r="B169" s="1" t="n">
        <v>43564</v>
      </c>
      <c r="C169" s="1" t="n">
        <v>45827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19223-2019</t>
        </is>
      </c>
      <c r="B170" s="1" t="n">
        <v>43564</v>
      </c>
      <c r="C170" s="1" t="n">
        <v>45827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19535-2019</t>
        </is>
      </c>
      <c r="B171" s="1" t="n">
        <v>43565</v>
      </c>
      <c r="C171" s="1" t="n">
        <v>45827</v>
      </c>
      <c r="D171" t="inlineStr">
        <is>
          <t>HALLANDS LÄN</t>
        </is>
      </c>
      <c r="E171" t="inlineStr">
        <is>
          <t>LAHOLM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19331-2019</t>
        </is>
      </c>
      <c r="B172" s="1" t="n">
        <v>43565</v>
      </c>
      <c r="C172" s="1" t="n">
        <v>45827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19284-2019</t>
        </is>
      </c>
      <c r="B173" s="1" t="n">
        <v>43565</v>
      </c>
      <c r="C173" s="1" t="n">
        <v>45827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19994-2019</t>
        </is>
      </c>
      <c r="B174" s="1" t="n">
        <v>43566</v>
      </c>
      <c r="C174" s="1" t="n">
        <v>45827</v>
      </c>
      <c r="D174" t="inlineStr">
        <is>
          <t>HALLANDS LÄN</t>
        </is>
      </c>
      <c r="E174" t="inlineStr">
        <is>
          <t>HYLTE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20022-2019</t>
        </is>
      </c>
      <c r="B175" s="1" t="n">
        <v>43570</v>
      </c>
      <c r="C175" s="1" t="n">
        <v>45827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20124-2019</t>
        </is>
      </c>
      <c r="B176" s="1" t="n">
        <v>43570</v>
      </c>
      <c r="C176" s="1" t="n">
        <v>45827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20122-2019</t>
        </is>
      </c>
      <c r="B177" s="1" t="n">
        <v>43570</v>
      </c>
      <c r="C177" s="1" t="n">
        <v>45827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20146-2019</t>
        </is>
      </c>
      <c r="B178" s="1" t="n">
        <v>43570</v>
      </c>
      <c r="C178" s="1" t="n">
        <v>45827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20327-2019</t>
        </is>
      </c>
      <c r="B179" s="1" t="n">
        <v>43571</v>
      </c>
      <c r="C179" s="1" t="n">
        <v>45827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20554-2019</t>
        </is>
      </c>
      <c r="B180" s="1" t="n">
        <v>43572</v>
      </c>
      <c r="C180" s="1" t="n">
        <v>45827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20735-2019</t>
        </is>
      </c>
      <c r="B181" s="1" t="n">
        <v>43573</v>
      </c>
      <c r="C181" s="1" t="n">
        <v>45827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20882-2019</t>
        </is>
      </c>
      <c r="B182" s="1" t="n">
        <v>43578</v>
      </c>
      <c r="C182" s="1" t="n">
        <v>45827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21022-2019</t>
        </is>
      </c>
      <c r="B183" s="1" t="n">
        <v>43578</v>
      </c>
      <c r="C183" s="1" t="n">
        <v>45827</v>
      </c>
      <c r="D183" t="inlineStr">
        <is>
          <t>HALLANDS LÄN</t>
        </is>
      </c>
      <c r="E183" t="inlineStr">
        <is>
          <t>LAHOLM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21151-2019</t>
        </is>
      </c>
      <c r="B184" s="1" t="n">
        <v>43578</v>
      </c>
      <c r="C184" s="1" t="n">
        <v>45827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21163-2019</t>
        </is>
      </c>
      <c r="B185" s="1" t="n">
        <v>43578</v>
      </c>
      <c r="C185" s="1" t="n">
        <v>45827</v>
      </c>
      <c r="D185" t="inlineStr">
        <is>
          <t>HALLANDS LÄN</t>
        </is>
      </c>
      <c r="E185" t="inlineStr">
        <is>
          <t>HALMSTAD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20878-2019</t>
        </is>
      </c>
      <c r="B186" s="1" t="n">
        <v>43578</v>
      </c>
      <c r="C186" s="1" t="n">
        <v>45827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21024-2019</t>
        </is>
      </c>
      <c r="B187" s="1" t="n">
        <v>43578</v>
      </c>
      <c r="C187" s="1" t="n">
        <v>45827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21159-2019</t>
        </is>
      </c>
      <c r="B188" s="1" t="n">
        <v>43578</v>
      </c>
      <c r="C188" s="1" t="n">
        <v>45827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21135-2019</t>
        </is>
      </c>
      <c r="B189" s="1" t="n">
        <v>43579</v>
      </c>
      <c r="C189" s="1" t="n">
        <v>45827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21448-2019</t>
        </is>
      </c>
      <c r="B190" s="1" t="n">
        <v>43580</v>
      </c>
      <c r="C190" s="1" t="n">
        <v>45827</v>
      </c>
      <c r="D190" t="inlineStr">
        <is>
          <t>HALLANDS LÄN</t>
        </is>
      </c>
      <c r="E190" t="inlineStr">
        <is>
          <t>LAHOLM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21505-2019</t>
        </is>
      </c>
      <c r="B191" s="1" t="n">
        <v>43580</v>
      </c>
      <c r="C191" s="1" t="n">
        <v>45827</v>
      </c>
      <c r="D191" t="inlineStr">
        <is>
          <t>HALLANDS LÄN</t>
        </is>
      </c>
      <c r="E191" t="inlineStr">
        <is>
          <t>KUNGSBACKA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21536-2019</t>
        </is>
      </c>
      <c r="B192" s="1" t="n">
        <v>43580</v>
      </c>
      <c r="C192" s="1" t="n">
        <v>45827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21713-2019</t>
        </is>
      </c>
      <c r="B193" s="1" t="n">
        <v>43581</v>
      </c>
      <c r="C193" s="1" t="n">
        <v>45827</v>
      </c>
      <c r="D193" t="inlineStr">
        <is>
          <t>HALLANDS LÄN</t>
        </is>
      </c>
      <c r="E193" t="inlineStr">
        <is>
          <t>HALMSTAD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21664-2019</t>
        </is>
      </c>
      <c r="B194" s="1" t="n">
        <v>43581</v>
      </c>
      <c r="C194" s="1" t="n">
        <v>45827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21649-2019</t>
        </is>
      </c>
      <c r="B195" s="1" t="n">
        <v>43581</v>
      </c>
      <c r="C195" s="1" t="n">
        <v>45827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21824-2019</t>
        </is>
      </c>
      <c r="B196" s="1" t="n">
        <v>43583</v>
      </c>
      <c r="C196" s="1" t="n">
        <v>45827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21944-2019</t>
        </is>
      </c>
      <c r="B197" s="1" t="n">
        <v>43584</v>
      </c>
      <c r="C197" s="1" t="n">
        <v>45827</v>
      </c>
      <c r="D197" t="inlineStr">
        <is>
          <t>HALLANDS LÄN</t>
        </is>
      </c>
      <c r="E197" t="inlineStr">
        <is>
          <t>VARBERG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21996-2019</t>
        </is>
      </c>
      <c r="B198" s="1" t="n">
        <v>43584</v>
      </c>
      <c r="C198" s="1" t="n">
        <v>45827</v>
      </c>
      <c r="D198" t="inlineStr">
        <is>
          <t>HALLANDS LÄN</t>
        </is>
      </c>
      <c r="E198" t="inlineStr">
        <is>
          <t>KUNGSBACKA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21988-2019</t>
        </is>
      </c>
      <c r="B199" s="1" t="n">
        <v>43584</v>
      </c>
      <c r="C199" s="1" t="n">
        <v>45827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22474-2019</t>
        </is>
      </c>
      <c r="B200" s="1" t="n">
        <v>43587</v>
      </c>
      <c r="C200" s="1" t="n">
        <v>45827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22488-2019</t>
        </is>
      </c>
      <c r="B201" s="1" t="n">
        <v>43587</v>
      </c>
      <c r="C201" s="1" t="n">
        <v>45827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22407-2019</t>
        </is>
      </c>
      <c r="B202" s="1" t="n">
        <v>43587</v>
      </c>
      <c r="C202" s="1" t="n">
        <v>45827</v>
      </c>
      <c r="D202" t="inlineStr">
        <is>
          <t>HALLANDS LÄN</t>
        </is>
      </c>
      <c r="E202" t="inlineStr">
        <is>
          <t>HYLTE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22652-2019</t>
        </is>
      </c>
      <c r="B203" s="1" t="n">
        <v>43588</v>
      </c>
      <c r="C203" s="1" t="n">
        <v>45827</v>
      </c>
      <c r="D203" t="inlineStr">
        <is>
          <t>HALLANDS LÄN</t>
        </is>
      </c>
      <c r="E203" t="inlineStr">
        <is>
          <t>FALKENBERG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22651-2019</t>
        </is>
      </c>
      <c r="B204" s="1" t="n">
        <v>43588</v>
      </c>
      <c r="C204" s="1" t="n">
        <v>45827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22855-2019</t>
        </is>
      </c>
      <c r="B205" s="1" t="n">
        <v>43591</v>
      </c>
      <c r="C205" s="1" t="n">
        <v>45827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22856-2019</t>
        </is>
      </c>
      <c r="B206" s="1" t="n">
        <v>43591</v>
      </c>
      <c r="C206" s="1" t="n">
        <v>45827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23113-2019</t>
        </is>
      </c>
      <c r="B207" s="1" t="n">
        <v>43592</v>
      </c>
      <c r="C207" s="1" t="n">
        <v>45827</v>
      </c>
      <c r="D207" t="inlineStr">
        <is>
          <t>HALLANDS LÄN</t>
        </is>
      </c>
      <c r="E207" t="inlineStr">
        <is>
          <t>LAHOLM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23219-2019</t>
        </is>
      </c>
      <c r="B208" s="1" t="n">
        <v>43592</v>
      </c>
      <c r="C208" s="1" t="n">
        <v>45827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23552-2019</t>
        </is>
      </c>
      <c r="B209" s="1" t="n">
        <v>43593</v>
      </c>
      <c r="C209" s="1" t="n">
        <v>45827</v>
      </c>
      <c r="D209" t="inlineStr">
        <is>
          <t>HALLANDS LÄN</t>
        </is>
      </c>
      <c r="E209" t="inlineStr">
        <is>
          <t>HALMSTAD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23522-2019</t>
        </is>
      </c>
      <c r="B210" s="1" t="n">
        <v>43593</v>
      </c>
      <c r="C210" s="1" t="n">
        <v>45827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23924-2019</t>
        </is>
      </c>
      <c r="B211" s="1" t="n">
        <v>43595</v>
      </c>
      <c r="C211" s="1" t="n">
        <v>45827</v>
      </c>
      <c r="D211" t="inlineStr">
        <is>
          <t>HALLANDS LÄN</t>
        </is>
      </c>
      <c r="E211" t="inlineStr">
        <is>
          <t>FALKENBERG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23857-2019</t>
        </is>
      </c>
      <c r="B212" s="1" t="n">
        <v>43595</v>
      </c>
      <c r="C212" s="1" t="n">
        <v>45827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24057-2019</t>
        </is>
      </c>
      <c r="B213" s="1" t="n">
        <v>43598</v>
      </c>
      <c r="C213" s="1" t="n">
        <v>45827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24047-2019</t>
        </is>
      </c>
      <c r="B214" s="1" t="n">
        <v>43598</v>
      </c>
      <c r="C214" s="1" t="n">
        <v>45827</v>
      </c>
      <c r="D214" t="inlineStr">
        <is>
          <t>HALLANDS LÄN</t>
        </is>
      </c>
      <c r="E214" t="inlineStr">
        <is>
          <t>LAHOLM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24232-2019</t>
        </is>
      </c>
      <c r="B215" s="1" t="n">
        <v>43599</v>
      </c>
      <c r="C215" s="1" t="n">
        <v>45827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24264-2019</t>
        </is>
      </c>
      <c r="B216" s="1" t="n">
        <v>43599</v>
      </c>
      <c r="C216" s="1" t="n">
        <v>45827</v>
      </c>
      <c r="D216" t="inlineStr">
        <is>
          <t>HALLANDS LÄN</t>
        </is>
      </c>
      <c r="E216" t="inlineStr">
        <is>
          <t>VARBERG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24269-2019</t>
        </is>
      </c>
      <c r="B217" s="1" t="n">
        <v>43599</v>
      </c>
      <c r="C217" s="1" t="n">
        <v>45827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24480-2019</t>
        </is>
      </c>
      <c r="B218" s="1" t="n">
        <v>43600</v>
      </c>
      <c r="C218" s="1" t="n">
        <v>45827</v>
      </c>
      <c r="D218" t="inlineStr">
        <is>
          <t>HALLANDS LÄN</t>
        </is>
      </c>
      <c r="E218" t="inlineStr">
        <is>
          <t>HALMSTAD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24588-2019</t>
        </is>
      </c>
      <c r="B219" s="1" t="n">
        <v>43601</v>
      </c>
      <c r="C219" s="1" t="n">
        <v>45827</v>
      </c>
      <c r="D219" t="inlineStr">
        <is>
          <t>HALLANDS LÄN</t>
        </is>
      </c>
      <c r="E219" t="inlineStr">
        <is>
          <t>VARBERG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24587-2019</t>
        </is>
      </c>
      <c r="B220" s="1" t="n">
        <v>43601</v>
      </c>
      <c r="C220" s="1" t="n">
        <v>45827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25198-2019</t>
        </is>
      </c>
      <c r="B221" s="1" t="n">
        <v>43605</v>
      </c>
      <c r="C221" s="1" t="n">
        <v>45827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25222-2019</t>
        </is>
      </c>
      <c r="B222" s="1" t="n">
        <v>43605</v>
      </c>
      <c r="C222" s="1" t="n">
        <v>45827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26295-2019</t>
        </is>
      </c>
      <c r="B223" s="1" t="n">
        <v>43606</v>
      </c>
      <c r="C223" s="1" t="n">
        <v>45827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26354-2019</t>
        </is>
      </c>
      <c r="B224" s="1" t="n">
        <v>43606</v>
      </c>
      <c r="C224" s="1" t="n">
        <v>45827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25536-2019</t>
        </is>
      </c>
      <c r="B225" s="1" t="n">
        <v>43606</v>
      </c>
      <c r="C225" s="1" t="n">
        <v>45827</v>
      </c>
      <c r="D225" t="inlineStr">
        <is>
          <t>HALLANDS LÄN</t>
        </is>
      </c>
      <c r="E225" t="inlineStr">
        <is>
          <t>KUNGSBACKA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25571-2019</t>
        </is>
      </c>
      <c r="B226" s="1" t="n">
        <v>43607</v>
      </c>
      <c r="C226" s="1" t="n">
        <v>45827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25913-2019</t>
        </is>
      </c>
      <c r="B227" s="1" t="n">
        <v>43608</v>
      </c>
      <c r="C227" s="1" t="n">
        <v>45827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26135-2019</t>
        </is>
      </c>
      <c r="B228" s="1" t="n">
        <v>43609</v>
      </c>
      <c r="C228" s="1" t="n">
        <v>45827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26454-2019</t>
        </is>
      </c>
      <c r="B229" s="1" t="n">
        <v>43612</v>
      </c>
      <c r="C229" s="1" t="n">
        <v>45827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26392-2019</t>
        </is>
      </c>
      <c r="B230" s="1" t="n">
        <v>43612</v>
      </c>
      <c r="C230" s="1" t="n">
        <v>45827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26463-2019</t>
        </is>
      </c>
      <c r="B231" s="1" t="n">
        <v>43612</v>
      </c>
      <c r="C231" s="1" t="n">
        <v>45827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26455-2019</t>
        </is>
      </c>
      <c r="B232" s="1" t="n">
        <v>43612</v>
      </c>
      <c r="C232" s="1" t="n">
        <v>45827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26930-2019</t>
        </is>
      </c>
      <c r="B233" s="1" t="n">
        <v>43613</v>
      </c>
      <c r="C233" s="1" t="n">
        <v>45827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26744-2019</t>
        </is>
      </c>
      <c r="B234" s="1" t="n">
        <v>43613</v>
      </c>
      <c r="C234" s="1" t="n">
        <v>45827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28901-2019</t>
        </is>
      </c>
      <c r="B235" s="1" t="n">
        <v>43616</v>
      </c>
      <c r="C235" s="1" t="n">
        <v>45827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27664-2019</t>
        </is>
      </c>
      <c r="B236" s="1" t="n">
        <v>43619</v>
      </c>
      <c r="C236" s="1" t="n">
        <v>45827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27675-2019</t>
        </is>
      </c>
      <c r="B237" s="1" t="n">
        <v>43619</v>
      </c>
      <c r="C237" s="1" t="n">
        <v>45827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27633-2019</t>
        </is>
      </c>
      <c r="B238" s="1" t="n">
        <v>43619</v>
      </c>
      <c r="C238" s="1" t="n">
        <v>45827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27555-2019</t>
        </is>
      </c>
      <c r="B239" s="1" t="n">
        <v>43619</v>
      </c>
      <c r="C239" s="1" t="n">
        <v>45827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27638-2019</t>
        </is>
      </c>
      <c r="B240" s="1" t="n">
        <v>43619</v>
      </c>
      <c r="C240" s="1" t="n">
        <v>45827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28926-2019</t>
        </is>
      </c>
      <c r="B241" s="1" t="n">
        <v>43619</v>
      </c>
      <c r="C241" s="1" t="n">
        <v>45827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27467-2019</t>
        </is>
      </c>
      <c r="B242" s="1" t="n">
        <v>43619</v>
      </c>
      <c r="C242" s="1" t="n">
        <v>45827</v>
      </c>
      <c r="D242" t="inlineStr">
        <is>
          <t>HALLANDS LÄN</t>
        </is>
      </c>
      <c r="E242" t="inlineStr">
        <is>
          <t>KUNGSBACKA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27666-2019</t>
        </is>
      </c>
      <c r="B243" s="1" t="n">
        <v>43619</v>
      </c>
      <c r="C243" s="1" t="n">
        <v>45827</v>
      </c>
      <c r="D243" t="inlineStr">
        <is>
          <t>HALLANDS LÄN</t>
        </is>
      </c>
      <c r="E243" t="inlineStr">
        <is>
          <t>FALKENBERG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27848-2019</t>
        </is>
      </c>
      <c r="B244" s="1" t="n">
        <v>43620</v>
      </c>
      <c r="C244" s="1" t="n">
        <v>45827</v>
      </c>
      <c r="D244" t="inlineStr">
        <is>
          <t>HALLANDS LÄN</t>
        </is>
      </c>
      <c r="E244" t="inlineStr">
        <is>
          <t>HYLTE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27854-2019</t>
        </is>
      </c>
      <c r="B245" s="1" t="n">
        <v>43620</v>
      </c>
      <c r="C245" s="1" t="n">
        <v>45827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27956-2019</t>
        </is>
      </c>
      <c r="B246" s="1" t="n">
        <v>43620</v>
      </c>
      <c r="C246" s="1" t="n">
        <v>45827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27796-2019</t>
        </is>
      </c>
      <c r="B247" s="1" t="n">
        <v>43620</v>
      </c>
      <c r="C247" s="1" t="n">
        <v>45827</v>
      </c>
      <c r="D247" t="inlineStr">
        <is>
          <t>HALLANDS LÄN</t>
        </is>
      </c>
      <c r="E247" t="inlineStr">
        <is>
          <t>HALMSTAD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27853-2019</t>
        </is>
      </c>
      <c r="B248" s="1" t="n">
        <v>43620</v>
      </c>
      <c r="C248" s="1" t="n">
        <v>45827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28032-2019</t>
        </is>
      </c>
      <c r="B249" s="1" t="n">
        <v>43621</v>
      </c>
      <c r="C249" s="1" t="n">
        <v>45827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28305-2019</t>
        </is>
      </c>
      <c r="B250" s="1" t="n">
        <v>43623</v>
      </c>
      <c r="C250" s="1" t="n">
        <v>45827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28459-2019</t>
        </is>
      </c>
      <c r="B251" s="1" t="n">
        <v>43626</v>
      </c>
      <c r="C251" s="1" t="n">
        <v>45827</v>
      </c>
      <c r="D251" t="inlineStr">
        <is>
          <t>HALLANDS LÄN</t>
        </is>
      </c>
      <c r="E251" t="inlineStr">
        <is>
          <t>KUNGSBACKA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28753-2019</t>
        </is>
      </c>
      <c r="B252" s="1" t="n">
        <v>43627</v>
      </c>
      <c r="C252" s="1" t="n">
        <v>45827</v>
      </c>
      <c r="D252" t="inlineStr">
        <is>
          <t>HALLANDS LÄN</t>
        </is>
      </c>
      <c r="E252" t="inlineStr">
        <is>
          <t>LAHOLM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28658-2019</t>
        </is>
      </c>
      <c r="B253" s="1" t="n">
        <v>43627</v>
      </c>
      <c r="C253" s="1" t="n">
        <v>45827</v>
      </c>
      <c r="D253" t="inlineStr">
        <is>
          <t>HALLANDS LÄN</t>
        </is>
      </c>
      <c r="E253" t="inlineStr">
        <is>
          <t>FALKENBERG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29059-2019</t>
        </is>
      </c>
      <c r="B254" s="1" t="n">
        <v>43628</v>
      </c>
      <c r="C254" s="1" t="n">
        <v>45827</v>
      </c>
      <c r="D254" t="inlineStr">
        <is>
          <t>HALLANDS LÄN</t>
        </is>
      </c>
      <c r="E254" t="inlineStr">
        <is>
          <t>VARBERG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28910-2019</t>
        </is>
      </c>
      <c r="B255" s="1" t="n">
        <v>43628</v>
      </c>
      <c r="C255" s="1" t="n">
        <v>45827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29819-2019</t>
        </is>
      </c>
      <c r="B256" s="1" t="n">
        <v>43633</v>
      </c>
      <c r="C256" s="1" t="n">
        <v>45827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29870-2019</t>
        </is>
      </c>
      <c r="B257" s="1" t="n">
        <v>43633</v>
      </c>
      <c r="C257" s="1" t="n">
        <v>45827</v>
      </c>
      <c r="D257" t="inlineStr">
        <is>
          <t>HALLANDS LÄN</t>
        </is>
      </c>
      <c r="E257" t="inlineStr">
        <is>
          <t>HALMSTAD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30422-2019</t>
        </is>
      </c>
      <c r="B258" s="1" t="n">
        <v>43633</v>
      </c>
      <c r="C258" s="1" t="n">
        <v>45827</v>
      </c>
      <c r="D258" t="inlineStr">
        <is>
          <t>HALLANDS LÄN</t>
        </is>
      </c>
      <c r="E258" t="inlineStr">
        <is>
          <t>HALMSTAD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30222-2019</t>
        </is>
      </c>
      <c r="B259" s="1" t="n">
        <v>43634</v>
      </c>
      <c r="C259" s="1" t="n">
        <v>45827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30224-2019</t>
        </is>
      </c>
      <c r="B260" s="1" t="n">
        <v>43634</v>
      </c>
      <c r="C260" s="1" t="n">
        <v>45827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30555-2019</t>
        </is>
      </c>
      <c r="B261" s="1" t="n">
        <v>43635</v>
      </c>
      <c r="C261" s="1" t="n">
        <v>45827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30560-2019</t>
        </is>
      </c>
      <c r="B262" s="1" t="n">
        <v>43635</v>
      </c>
      <c r="C262" s="1" t="n">
        <v>45827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30557-2019</t>
        </is>
      </c>
      <c r="B263" s="1" t="n">
        <v>43635</v>
      </c>
      <c r="C263" s="1" t="n">
        <v>45827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30490-2019</t>
        </is>
      </c>
      <c r="B264" s="1" t="n">
        <v>43635</v>
      </c>
      <c r="C264" s="1" t="n">
        <v>45827</v>
      </c>
      <c r="D264" t="inlineStr">
        <is>
          <t>HALLANDS LÄN</t>
        </is>
      </c>
      <c r="E264" t="inlineStr">
        <is>
          <t>HALMSTAD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30846-2019</t>
        </is>
      </c>
      <c r="B265" s="1" t="n">
        <v>43636</v>
      </c>
      <c r="C265" s="1" t="n">
        <v>45827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31498-2019</t>
        </is>
      </c>
      <c r="B266" s="1" t="n">
        <v>43641</v>
      </c>
      <c r="C266" s="1" t="n">
        <v>45827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31527-2019</t>
        </is>
      </c>
      <c r="B267" s="1" t="n">
        <v>43641</v>
      </c>
      <c r="C267" s="1" t="n">
        <v>45827</v>
      </c>
      <c r="D267" t="inlineStr">
        <is>
          <t>HALLANDS LÄN</t>
        </is>
      </c>
      <c r="E267" t="inlineStr">
        <is>
          <t>HALMSTAD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31367-2019</t>
        </is>
      </c>
      <c r="B268" s="1" t="n">
        <v>43641</v>
      </c>
      <c r="C268" s="1" t="n">
        <v>45827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31800-2019</t>
        </is>
      </c>
      <c r="B269" s="1" t="n">
        <v>43642</v>
      </c>
      <c r="C269" s="1" t="n">
        <v>45827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32059-2019</t>
        </is>
      </c>
      <c r="B270" s="1" t="n">
        <v>43643</v>
      </c>
      <c r="C270" s="1" t="n">
        <v>45827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32437-2019</t>
        </is>
      </c>
      <c r="B271" s="1" t="n">
        <v>43644</v>
      </c>
      <c r="C271" s="1" t="n">
        <v>45827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32265-2019</t>
        </is>
      </c>
      <c r="B272" s="1" t="n">
        <v>43644</v>
      </c>
      <c r="C272" s="1" t="n">
        <v>45827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32713-2019</t>
        </is>
      </c>
      <c r="B273" s="1" t="n">
        <v>43647</v>
      </c>
      <c r="C273" s="1" t="n">
        <v>45827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32803-2019</t>
        </is>
      </c>
      <c r="B274" s="1" t="n">
        <v>43648</v>
      </c>
      <c r="C274" s="1" t="n">
        <v>45827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32755-2019</t>
        </is>
      </c>
      <c r="B275" s="1" t="n">
        <v>43648</v>
      </c>
      <c r="C275" s="1" t="n">
        <v>45827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32802-2019</t>
        </is>
      </c>
      <c r="B276" s="1" t="n">
        <v>43648</v>
      </c>
      <c r="C276" s="1" t="n">
        <v>45827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33205-2019</t>
        </is>
      </c>
      <c r="B277" s="1" t="n">
        <v>43649</v>
      </c>
      <c r="C277" s="1" t="n">
        <v>45827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33945-2019</t>
        </is>
      </c>
      <c r="B278" s="1" t="n">
        <v>43654</v>
      </c>
      <c r="C278" s="1" t="n">
        <v>45827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34029-2019</t>
        </is>
      </c>
      <c r="B279" s="1" t="n">
        <v>43654</v>
      </c>
      <c r="C279" s="1" t="n">
        <v>45827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34403-2019</t>
        </is>
      </c>
      <c r="B280" s="1" t="n">
        <v>43656</v>
      </c>
      <c r="C280" s="1" t="n">
        <v>45827</v>
      </c>
      <c r="D280" t="inlineStr">
        <is>
          <t>HALLANDS LÄN</t>
        </is>
      </c>
      <c r="E280" t="inlineStr">
        <is>
          <t>FALKENBERG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34479-2019</t>
        </is>
      </c>
      <c r="B281" s="1" t="n">
        <v>43656</v>
      </c>
      <c r="C281" s="1" t="n">
        <v>45827</v>
      </c>
      <c r="D281" t="inlineStr">
        <is>
          <t>HALLANDS LÄN</t>
        </is>
      </c>
      <c r="E281" t="inlineStr">
        <is>
          <t>HYLTE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34407-2019</t>
        </is>
      </c>
      <c r="B282" s="1" t="n">
        <v>43656</v>
      </c>
      <c r="C282" s="1" t="n">
        <v>45827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34730-2019</t>
        </is>
      </c>
      <c r="B283" s="1" t="n">
        <v>43657</v>
      </c>
      <c r="C283" s="1" t="n">
        <v>45827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34825-2019</t>
        </is>
      </c>
      <c r="B284" s="1" t="n">
        <v>43658</v>
      </c>
      <c r="C284" s="1" t="n">
        <v>45827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34835-2019</t>
        </is>
      </c>
      <c r="B285" s="1" t="n">
        <v>43658</v>
      </c>
      <c r="C285" s="1" t="n">
        <v>45827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34826-2019</t>
        </is>
      </c>
      <c r="B286" s="1" t="n">
        <v>43658</v>
      </c>
      <c r="C286" s="1" t="n">
        <v>45827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34849-2019</t>
        </is>
      </c>
      <c r="B287" s="1" t="n">
        <v>43658</v>
      </c>
      <c r="C287" s="1" t="n">
        <v>45827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34850-2019</t>
        </is>
      </c>
      <c r="B288" s="1" t="n">
        <v>43658</v>
      </c>
      <c r="C288" s="1" t="n">
        <v>45827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35077-2019</t>
        </is>
      </c>
      <c r="B289" s="1" t="n">
        <v>43661</v>
      </c>
      <c r="C289" s="1" t="n">
        <v>45827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35274-2019</t>
        </is>
      </c>
      <c r="B290" s="1" t="n">
        <v>43662</v>
      </c>
      <c r="C290" s="1" t="n">
        <v>45827</v>
      </c>
      <c r="D290" t="inlineStr">
        <is>
          <t>HALLANDS LÄN</t>
        </is>
      </c>
      <c r="E290" t="inlineStr">
        <is>
          <t>KUNGSBACKA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35263-2019</t>
        </is>
      </c>
      <c r="B291" s="1" t="n">
        <v>43662</v>
      </c>
      <c r="C291" s="1" t="n">
        <v>45827</v>
      </c>
      <c r="D291" t="inlineStr">
        <is>
          <t>HALLANDS LÄN</t>
        </is>
      </c>
      <c r="E291" t="inlineStr">
        <is>
          <t>KUNGSBACKA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35265-2019</t>
        </is>
      </c>
      <c r="B292" s="1" t="n">
        <v>43662</v>
      </c>
      <c r="C292" s="1" t="n">
        <v>45827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35446-2019</t>
        </is>
      </c>
      <c r="B293" s="1" t="n">
        <v>43663</v>
      </c>
      <c r="C293" s="1" t="n">
        <v>45827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35435-2019</t>
        </is>
      </c>
      <c r="B294" s="1" t="n">
        <v>43663</v>
      </c>
      <c r="C294" s="1" t="n">
        <v>45827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35652-2019</t>
        </is>
      </c>
      <c r="B295" s="1" t="n">
        <v>43664</v>
      </c>
      <c r="C295" s="1" t="n">
        <v>45827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35774-2019</t>
        </is>
      </c>
      <c r="B296" s="1" t="n">
        <v>43665</v>
      </c>
      <c r="C296" s="1" t="n">
        <v>45827</v>
      </c>
      <c r="D296" t="inlineStr">
        <is>
          <t>HALLANDS LÄN</t>
        </is>
      </c>
      <c r="E296" t="inlineStr">
        <is>
          <t>HYLTE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35892-2019</t>
        </is>
      </c>
      <c r="B297" s="1" t="n">
        <v>43665</v>
      </c>
      <c r="C297" s="1" t="n">
        <v>45827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35881-2019</t>
        </is>
      </c>
      <c r="B298" s="1" t="n">
        <v>43665</v>
      </c>
      <c r="C298" s="1" t="n">
        <v>45827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35874-2019</t>
        </is>
      </c>
      <c r="B299" s="1" t="n">
        <v>43665</v>
      </c>
      <c r="C299" s="1" t="n">
        <v>45827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35889-2019</t>
        </is>
      </c>
      <c r="B300" s="1" t="n">
        <v>43665</v>
      </c>
      <c r="C300" s="1" t="n">
        <v>45827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35866-2019</t>
        </is>
      </c>
      <c r="B301" s="1" t="n">
        <v>43665</v>
      </c>
      <c r="C301" s="1" t="n">
        <v>45827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36035-2019</t>
        </is>
      </c>
      <c r="B302" s="1" t="n">
        <v>43668</v>
      </c>
      <c r="C302" s="1" t="n">
        <v>45827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36033-2019</t>
        </is>
      </c>
      <c r="B303" s="1" t="n">
        <v>43668</v>
      </c>
      <c r="C303" s="1" t="n">
        <v>45827</v>
      </c>
      <c r="D303" t="inlineStr">
        <is>
          <t>HALLANDS LÄN</t>
        </is>
      </c>
      <c r="E303" t="inlineStr">
        <is>
          <t>HYLTE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36173-2019</t>
        </is>
      </c>
      <c r="B304" s="1" t="n">
        <v>43668</v>
      </c>
      <c r="C304" s="1" t="n">
        <v>45827</v>
      </c>
      <c r="D304" t="inlineStr">
        <is>
          <t>HALLANDS LÄN</t>
        </is>
      </c>
      <c r="E304" t="inlineStr">
        <is>
          <t>FALKENBERG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36036-2019</t>
        </is>
      </c>
      <c r="B305" s="1" t="n">
        <v>43668</v>
      </c>
      <c r="C305" s="1" t="n">
        <v>45827</v>
      </c>
      <c r="D305" t="inlineStr">
        <is>
          <t>HALLANDS LÄN</t>
        </is>
      </c>
      <c r="E305" t="inlineStr">
        <is>
          <t>HYLTE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36030-2019</t>
        </is>
      </c>
      <c r="B306" s="1" t="n">
        <v>43668</v>
      </c>
      <c r="C306" s="1" t="n">
        <v>45827</v>
      </c>
      <c r="D306" t="inlineStr">
        <is>
          <t>HALLANDS LÄN</t>
        </is>
      </c>
      <c r="E306" t="inlineStr">
        <is>
          <t>HYLTE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36172-2019</t>
        </is>
      </c>
      <c r="B307" s="1" t="n">
        <v>43668</v>
      </c>
      <c r="C307" s="1" t="n">
        <v>45827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36216-2019</t>
        </is>
      </c>
      <c r="B308" s="1" t="n">
        <v>43669</v>
      </c>
      <c r="C308" s="1" t="n">
        <v>45827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36757-2019</t>
        </is>
      </c>
      <c r="B309" s="1" t="n">
        <v>43672</v>
      </c>
      <c r="C309" s="1" t="n">
        <v>45827</v>
      </c>
      <c r="D309" t="inlineStr">
        <is>
          <t>HALLANDS LÄN</t>
        </is>
      </c>
      <c r="E309" t="inlineStr">
        <is>
          <t>HALMSTAD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37692-2019</t>
        </is>
      </c>
      <c r="B310" s="1" t="n">
        <v>43682</v>
      </c>
      <c r="C310" s="1" t="n">
        <v>45827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37739-2019</t>
        </is>
      </c>
      <c r="B311" s="1" t="n">
        <v>43682</v>
      </c>
      <c r="C311" s="1" t="n">
        <v>45827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37686-2019</t>
        </is>
      </c>
      <c r="B312" s="1" t="n">
        <v>43682</v>
      </c>
      <c r="C312" s="1" t="n">
        <v>45827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37672-2019</t>
        </is>
      </c>
      <c r="B313" s="1" t="n">
        <v>43682</v>
      </c>
      <c r="C313" s="1" t="n">
        <v>45827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37690-2019</t>
        </is>
      </c>
      <c r="B314" s="1" t="n">
        <v>43682</v>
      </c>
      <c r="C314" s="1" t="n">
        <v>45827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37682-2019</t>
        </is>
      </c>
      <c r="B315" s="1" t="n">
        <v>43682</v>
      </c>
      <c r="C315" s="1" t="n">
        <v>45827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38397-2019</t>
        </is>
      </c>
      <c r="B316" s="1" t="n">
        <v>43685</v>
      </c>
      <c r="C316" s="1" t="n">
        <v>45827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38402-2019</t>
        </is>
      </c>
      <c r="B317" s="1" t="n">
        <v>43685</v>
      </c>
      <c r="C317" s="1" t="n">
        <v>45827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38958-2019</t>
        </is>
      </c>
      <c r="B318" s="1" t="n">
        <v>43685</v>
      </c>
      <c r="C318" s="1" t="n">
        <v>45827</v>
      </c>
      <c r="D318" t="inlineStr">
        <is>
          <t>HALLANDS LÄN</t>
        </is>
      </c>
      <c r="E318" t="inlineStr">
        <is>
          <t>HALMSTAD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38962-2019</t>
        </is>
      </c>
      <c r="B319" s="1" t="n">
        <v>43685</v>
      </c>
      <c r="C319" s="1" t="n">
        <v>45827</v>
      </c>
      <c r="D319" t="inlineStr">
        <is>
          <t>HALLANDS LÄN</t>
        </is>
      </c>
      <c r="E319" t="inlineStr">
        <is>
          <t>HALMSTAD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38933-2019</t>
        </is>
      </c>
      <c r="B320" s="1" t="n">
        <v>43689</v>
      </c>
      <c r="C320" s="1" t="n">
        <v>45827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38968-2019</t>
        </is>
      </c>
      <c r="B321" s="1" t="n">
        <v>43689</v>
      </c>
      <c r="C321" s="1" t="n">
        <v>45827</v>
      </c>
      <c r="D321" t="inlineStr">
        <is>
          <t>HALLANDS LÄN</t>
        </is>
      </c>
      <c r="E321" t="inlineStr">
        <is>
          <t>FALKENBERG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39657-2019</t>
        </is>
      </c>
      <c r="B322" s="1" t="n">
        <v>43691</v>
      </c>
      <c r="C322" s="1" t="n">
        <v>45827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39792-2019</t>
        </is>
      </c>
      <c r="B323" s="1" t="n">
        <v>43692</v>
      </c>
      <c r="C323" s="1" t="n">
        <v>45827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39820-2019</t>
        </is>
      </c>
      <c r="B324" s="1" t="n">
        <v>43692</v>
      </c>
      <c r="C324" s="1" t="n">
        <v>45827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40574-2019</t>
        </is>
      </c>
      <c r="B325" s="1" t="n">
        <v>43696</v>
      </c>
      <c r="C325" s="1" t="n">
        <v>45827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41810-2019</t>
        </is>
      </c>
      <c r="B326" s="1" t="n">
        <v>43697</v>
      </c>
      <c r="C326" s="1" t="n">
        <v>45827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41813-2019</t>
        </is>
      </c>
      <c r="B327" s="1" t="n">
        <v>43697</v>
      </c>
      <c r="C327" s="1" t="n">
        <v>45827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41064-2019</t>
        </is>
      </c>
      <c r="B328" s="1" t="n">
        <v>43698</v>
      </c>
      <c r="C328" s="1" t="n">
        <v>45827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41093-2019</t>
        </is>
      </c>
      <c r="B329" s="1" t="n">
        <v>43698</v>
      </c>
      <c r="C329" s="1" t="n">
        <v>45827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41177-2019</t>
        </is>
      </c>
      <c r="B330" s="1" t="n">
        <v>43698</v>
      </c>
      <c r="C330" s="1" t="n">
        <v>45827</v>
      </c>
      <c r="D330" t="inlineStr">
        <is>
          <t>HALLANDS LÄN</t>
        </is>
      </c>
      <c r="E330" t="inlineStr">
        <is>
          <t>HALMSTAD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41295-2019</t>
        </is>
      </c>
      <c r="B331" s="1" t="n">
        <v>43698</v>
      </c>
      <c r="C331" s="1" t="n">
        <v>45827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41302-2019</t>
        </is>
      </c>
      <c r="B332" s="1" t="n">
        <v>43698</v>
      </c>
      <c r="C332" s="1" t="n">
        <v>45827</v>
      </c>
      <c r="D332" t="inlineStr">
        <is>
          <t>HALLANDS LÄN</t>
        </is>
      </c>
      <c r="E332" t="inlineStr">
        <is>
          <t>HALMSTAD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41301-2019</t>
        </is>
      </c>
      <c r="B333" s="1" t="n">
        <v>43698</v>
      </c>
      <c r="C333" s="1" t="n">
        <v>45827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42194-2019</t>
        </is>
      </c>
      <c r="B334" s="1" t="n">
        <v>43698</v>
      </c>
      <c r="C334" s="1" t="n">
        <v>45827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42233-2019</t>
        </is>
      </c>
      <c r="B335" s="1" t="n">
        <v>43703</v>
      </c>
      <c r="C335" s="1" t="n">
        <v>45827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42189-2019</t>
        </is>
      </c>
      <c r="B336" s="1" t="n">
        <v>43703</v>
      </c>
      <c r="C336" s="1" t="n">
        <v>45827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42465-2019</t>
        </is>
      </c>
      <c r="B337" s="1" t="n">
        <v>43704</v>
      </c>
      <c r="C337" s="1" t="n">
        <v>45827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43453-2019</t>
        </is>
      </c>
      <c r="B338" s="1" t="n">
        <v>43704</v>
      </c>
      <c r="C338" s="1" t="n">
        <v>45827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42738-2019</t>
        </is>
      </c>
      <c r="B339" s="1" t="n">
        <v>43704</v>
      </c>
      <c r="C339" s="1" t="n">
        <v>45827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42876-2019</t>
        </is>
      </c>
      <c r="B340" s="1" t="n">
        <v>43705</v>
      </c>
      <c r="C340" s="1" t="n">
        <v>45827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42934-2019</t>
        </is>
      </c>
      <c r="B341" s="1" t="n">
        <v>43705</v>
      </c>
      <c r="C341" s="1" t="n">
        <v>45827</v>
      </c>
      <c r="D341" t="inlineStr">
        <is>
          <t>HALLANDS LÄN</t>
        </is>
      </c>
      <c r="E341" t="inlineStr">
        <is>
          <t>FALKENBERG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42989-2019</t>
        </is>
      </c>
      <c r="B342" s="1" t="n">
        <v>43705</v>
      </c>
      <c r="C342" s="1" t="n">
        <v>45827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43497-2019</t>
        </is>
      </c>
      <c r="B343" s="1" t="n">
        <v>43706</v>
      </c>
      <c r="C343" s="1" t="n">
        <v>45827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43888-2019</t>
        </is>
      </c>
      <c r="B344" s="1" t="n">
        <v>43707</v>
      </c>
      <c r="C344" s="1" t="n">
        <v>45827</v>
      </c>
      <c r="D344" t="inlineStr">
        <is>
          <t>HALLANDS LÄN</t>
        </is>
      </c>
      <c r="E344" t="inlineStr">
        <is>
          <t>VARBERG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43936-2019</t>
        </is>
      </c>
      <c r="B345" s="1" t="n">
        <v>43707</v>
      </c>
      <c r="C345" s="1" t="n">
        <v>45827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44084-2019</t>
        </is>
      </c>
      <c r="B346" s="1" t="n">
        <v>43710</v>
      </c>
      <c r="C346" s="1" t="n">
        <v>45827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44159-2019</t>
        </is>
      </c>
      <c r="B347" s="1" t="n">
        <v>43710</v>
      </c>
      <c r="C347" s="1" t="n">
        <v>45827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44258-2019</t>
        </is>
      </c>
      <c r="B348" s="1" t="n">
        <v>43710</v>
      </c>
      <c r="C348" s="1" t="n">
        <v>45827</v>
      </c>
      <c r="D348" t="inlineStr">
        <is>
          <t>HALLANDS LÄN</t>
        </is>
      </c>
      <c r="E348" t="inlineStr">
        <is>
          <t>FALKENBERG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44257-2019</t>
        </is>
      </c>
      <c r="B349" s="1" t="n">
        <v>43710</v>
      </c>
      <c r="C349" s="1" t="n">
        <v>45827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44175-2019</t>
        </is>
      </c>
      <c r="B350" s="1" t="n">
        <v>43710</v>
      </c>
      <c r="C350" s="1" t="n">
        <v>45827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44170-2019</t>
        </is>
      </c>
      <c r="B351" s="1" t="n">
        <v>43710</v>
      </c>
      <c r="C351" s="1" t="n">
        <v>45827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45821-2019</t>
        </is>
      </c>
      <c r="B352" s="1" t="n">
        <v>43712</v>
      </c>
      <c r="C352" s="1" t="n">
        <v>45827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46065-2019</t>
        </is>
      </c>
      <c r="B353" s="1" t="n">
        <v>43712</v>
      </c>
      <c r="C353" s="1" t="n">
        <v>45827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46034-2019</t>
        </is>
      </c>
      <c r="B354" s="1" t="n">
        <v>43712</v>
      </c>
      <c r="C354" s="1" t="n">
        <v>45827</v>
      </c>
      <c r="D354" t="inlineStr">
        <is>
          <t>HALLANDS LÄN</t>
        </is>
      </c>
      <c r="E354" t="inlineStr">
        <is>
          <t>HYLTE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44927-2019</t>
        </is>
      </c>
      <c r="B355" s="1" t="n">
        <v>43713</v>
      </c>
      <c r="C355" s="1" t="n">
        <v>45827</v>
      </c>
      <c r="D355" t="inlineStr">
        <is>
          <t>HALLANDS LÄN</t>
        </is>
      </c>
      <c r="E355" t="inlineStr">
        <is>
          <t>VARBERG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46188-2019</t>
        </is>
      </c>
      <c r="B356" s="1" t="n">
        <v>43718</v>
      </c>
      <c r="C356" s="1" t="n">
        <v>45827</v>
      </c>
      <c r="D356" t="inlineStr">
        <is>
          <t>HALLANDS LÄN</t>
        </is>
      </c>
      <c r="E356" t="inlineStr">
        <is>
          <t>VARBERG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46030-2019</t>
        </is>
      </c>
      <c r="B357" s="1" t="n">
        <v>43718</v>
      </c>
      <c r="C357" s="1" t="n">
        <v>45827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46181-2019</t>
        </is>
      </c>
      <c r="B358" s="1" t="n">
        <v>43718</v>
      </c>
      <c r="C358" s="1" t="n">
        <v>45827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46041-2019</t>
        </is>
      </c>
      <c r="B359" s="1" t="n">
        <v>43718</v>
      </c>
      <c r="C359" s="1" t="n">
        <v>45827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46035-2019</t>
        </is>
      </c>
      <c r="B360" s="1" t="n">
        <v>43718</v>
      </c>
      <c r="C360" s="1" t="n">
        <v>45827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46042-2019</t>
        </is>
      </c>
      <c r="B361" s="1" t="n">
        <v>43718</v>
      </c>
      <c r="C361" s="1" t="n">
        <v>45827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46082-2019</t>
        </is>
      </c>
      <c r="B362" s="1" t="n">
        <v>43718</v>
      </c>
      <c r="C362" s="1" t="n">
        <v>45827</v>
      </c>
      <c r="D362" t="inlineStr">
        <is>
          <t>HALLANDS LÄN</t>
        </is>
      </c>
      <c r="E362" t="inlineStr">
        <is>
          <t>LAHOLM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46088-2019</t>
        </is>
      </c>
      <c r="B363" s="1" t="n">
        <v>43718</v>
      </c>
      <c r="C363" s="1" t="n">
        <v>45827</v>
      </c>
      <c r="D363" t="inlineStr">
        <is>
          <t>HALLANDS LÄN</t>
        </is>
      </c>
      <c r="E363" t="inlineStr">
        <is>
          <t>FALKENBERG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46025-2019</t>
        </is>
      </c>
      <c r="B364" s="1" t="n">
        <v>43718</v>
      </c>
      <c r="C364" s="1" t="n">
        <v>45827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46861-2019</t>
        </is>
      </c>
      <c r="B365" s="1" t="n">
        <v>43719</v>
      </c>
      <c r="C365" s="1" t="n">
        <v>45827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46846-2019</t>
        </is>
      </c>
      <c r="B366" s="1" t="n">
        <v>43720</v>
      </c>
      <c r="C366" s="1" t="n">
        <v>45827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47139-2019</t>
        </is>
      </c>
      <c r="B367" s="1" t="n">
        <v>43721</v>
      </c>
      <c r="C367" s="1" t="n">
        <v>45827</v>
      </c>
      <c r="D367" t="inlineStr">
        <is>
          <t>HALLANDS LÄN</t>
        </is>
      </c>
      <c r="E367" t="inlineStr">
        <is>
          <t>HALMSTAD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47480-2019</t>
        </is>
      </c>
      <c r="B368" s="1" t="n">
        <v>43724</v>
      </c>
      <c r="C368" s="1" t="n">
        <v>45827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47597-2019</t>
        </is>
      </c>
      <c r="B369" s="1" t="n">
        <v>43724</v>
      </c>
      <c r="C369" s="1" t="n">
        <v>45827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47711-2019</t>
        </is>
      </c>
      <c r="B370" s="1" t="n">
        <v>43724</v>
      </c>
      <c r="C370" s="1" t="n">
        <v>45827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48619-2019</t>
        </is>
      </c>
      <c r="B371" s="1" t="n">
        <v>43727</v>
      </c>
      <c r="C371" s="1" t="n">
        <v>45827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48694-2019</t>
        </is>
      </c>
      <c r="B372" s="1" t="n">
        <v>43728</v>
      </c>
      <c r="C372" s="1" t="n">
        <v>45827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49072-2019</t>
        </is>
      </c>
      <c r="B373" s="1" t="n">
        <v>43731</v>
      </c>
      <c r="C373" s="1" t="n">
        <v>45827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50041-2019</t>
        </is>
      </c>
      <c r="B374" s="1" t="n">
        <v>43731</v>
      </c>
      <c r="C374" s="1" t="n">
        <v>45827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50043-2019</t>
        </is>
      </c>
      <c r="B375" s="1" t="n">
        <v>43731</v>
      </c>
      <c r="C375" s="1" t="n">
        <v>45827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51527-2019</t>
        </is>
      </c>
      <c r="B376" s="1" t="n">
        <v>43732</v>
      </c>
      <c r="C376" s="1" t="n">
        <v>45827</v>
      </c>
      <c r="D376" t="inlineStr">
        <is>
          <t>HALLANDS LÄN</t>
        </is>
      </c>
      <c r="E376" t="inlineStr">
        <is>
          <t>FALKENBERG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49394-2019</t>
        </is>
      </c>
      <c r="B377" s="1" t="n">
        <v>43732</v>
      </c>
      <c r="C377" s="1" t="n">
        <v>45827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49479-2019</t>
        </is>
      </c>
      <c r="B378" s="1" t="n">
        <v>43732</v>
      </c>
      <c r="C378" s="1" t="n">
        <v>45827</v>
      </c>
      <c r="D378" t="inlineStr">
        <is>
          <t>HALLANDS LÄN</t>
        </is>
      </c>
      <c r="E378" t="inlineStr">
        <is>
          <t>FALKENBERG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49405-2019</t>
        </is>
      </c>
      <c r="B379" s="1" t="n">
        <v>43732</v>
      </c>
      <c r="C379" s="1" t="n">
        <v>45827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49808-2019</t>
        </is>
      </c>
      <c r="B380" s="1" t="n">
        <v>43733</v>
      </c>
      <c r="C380" s="1" t="n">
        <v>45827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52070-2019</t>
        </is>
      </c>
      <c r="B381" s="1" t="n">
        <v>43734</v>
      </c>
      <c r="C381" s="1" t="n">
        <v>45827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52666-2019</t>
        </is>
      </c>
      <c r="B382" s="1" t="n">
        <v>43738</v>
      </c>
      <c r="C382" s="1" t="n">
        <v>45827</v>
      </c>
      <c r="D382" t="inlineStr">
        <is>
          <t>HALLANDS LÄN</t>
        </is>
      </c>
      <c r="E382" t="inlineStr">
        <is>
          <t>HYLTE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51308-2019</t>
        </is>
      </c>
      <c r="B383" s="1" t="n">
        <v>43739</v>
      </c>
      <c r="C383" s="1" t="n">
        <v>45827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51306-2019</t>
        </is>
      </c>
      <c r="B384" s="1" t="n">
        <v>43739</v>
      </c>
      <c r="C384" s="1" t="n">
        <v>45827</v>
      </c>
      <c r="D384" t="inlineStr">
        <is>
          <t>HALLANDS LÄN</t>
        </is>
      </c>
      <c r="E384" t="inlineStr">
        <is>
          <t>HYLTE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51495-2019</t>
        </is>
      </c>
      <c r="B385" s="1" t="n">
        <v>43740</v>
      </c>
      <c r="C385" s="1" t="n">
        <v>45827</v>
      </c>
      <c r="D385" t="inlineStr">
        <is>
          <t>HALLANDS LÄN</t>
        </is>
      </c>
      <c r="E385" t="inlineStr">
        <is>
          <t>KUNGSBACKA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51792-2019</t>
        </is>
      </c>
      <c r="B386" s="1" t="n">
        <v>43741</v>
      </c>
      <c r="C386" s="1" t="n">
        <v>45827</v>
      </c>
      <c r="D386" t="inlineStr">
        <is>
          <t>HALLANDS LÄN</t>
        </is>
      </c>
      <c r="E386" t="inlineStr">
        <is>
          <t>LAHOLM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51807-2019</t>
        </is>
      </c>
      <c r="B387" s="1" t="n">
        <v>43741</v>
      </c>
      <c r="C387" s="1" t="n">
        <v>45827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51965-2019</t>
        </is>
      </c>
      <c r="B388" s="1" t="n">
        <v>43742</v>
      </c>
      <c r="C388" s="1" t="n">
        <v>45827</v>
      </c>
      <c r="D388" t="inlineStr">
        <is>
          <t>HALLANDS LÄN</t>
        </is>
      </c>
      <c r="E388" t="inlineStr">
        <is>
          <t>VARBERG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52007-2019</t>
        </is>
      </c>
      <c r="B389" s="1" t="n">
        <v>43742</v>
      </c>
      <c r="C389" s="1" t="n">
        <v>45827</v>
      </c>
      <c r="D389" t="inlineStr">
        <is>
          <t>HALLANDS LÄN</t>
        </is>
      </c>
      <c r="E389" t="inlineStr">
        <is>
          <t>KUNGSBACKA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52003-2019</t>
        </is>
      </c>
      <c r="B390" s="1" t="n">
        <v>43742</v>
      </c>
      <c r="C390" s="1" t="n">
        <v>45827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51977-2019</t>
        </is>
      </c>
      <c r="B391" s="1" t="n">
        <v>43742</v>
      </c>
      <c r="C391" s="1" t="n">
        <v>45827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52002-2019</t>
        </is>
      </c>
      <c r="B392" s="1" t="n">
        <v>43742</v>
      </c>
      <c r="C392" s="1" t="n">
        <v>45827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52133-2019</t>
        </is>
      </c>
      <c r="B393" s="1" t="n">
        <v>43742</v>
      </c>
      <c r="C393" s="1" t="n">
        <v>45827</v>
      </c>
      <c r="D393" t="inlineStr">
        <is>
          <t>HALLANDS LÄN</t>
        </is>
      </c>
      <c r="E393" t="inlineStr">
        <is>
          <t>VARBERG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52108-2019</t>
        </is>
      </c>
      <c r="B394" s="1" t="n">
        <v>43742</v>
      </c>
      <c r="C394" s="1" t="n">
        <v>45827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53861-2019</t>
        </is>
      </c>
      <c r="B395" s="1" t="n">
        <v>43742</v>
      </c>
      <c r="C395" s="1" t="n">
        <v>45827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52106-2019</t>
        </is>
      </c>
      <c r="B396" s="1" t="n">
        <v>43742</v>
      </c>
      <c r="C396" s="1" t="n">
        <v>45827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52118-2019</t>
        </is>
      </c>
      <c r="B397" s="1" t="n">
        <v>43742</v>
      </c>
      <c r="C397" s="1" t="n">
        <v>45827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51964-2019</t>
        </is>
      </c>
      <c r="B398" s="1" t="n">
        <v>43742</v>
      </c>
      <c r="C398" s="1" t="n">
        <v>45827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52749-2019</t>
        </is>
      </c>
      <c r="B399" s="1" t="n">
        <v>43746</v>
      </c>
      <c r="C399" s="1" t="n">
        <v>45827</v>
      </c>
      <c r="D399" t="inlineStr">
        <is>
          <t>HALLANDS LÄN</t>
        </is>
      </c>
      <c r="E399" t="inlineStr">
        <is>
          <t>LAHOLM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53053-2019</t>
        </is>
      </c>
      <c r="B400" s="1" t="n">
        <v>43747</v>
      </c>
      <c r="C400" s="1" t="n">
        <v>45827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54444-2019</t>
        </is>
      </c>
      <c r="B401" s="1" t="n">
        <v>43747</v>
      </c>
      <c r="C401" s="1" t="n">
        <v>45827</v>
      </c>
      <c r="D401" t="inlineStr">
        <is>
          <t>HALLANDS LÄN</t>
        </is>
      </c>
      <c r="E401" t="inlineStr">
        <is>
          <t>VARBERG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54439-2019</t>
        </is>
      </c>
      <c r="B402" s="1" t="n">
        <v>43747</v>
      </c>
      <c r="C402" s="1" t="n">
        <v>45827</v>
      </c>
      <c r="D402" t="inlineStr">
        <is>
          <t>HALLANDS LÄN</t>
        </is>
      </c>
      <c r="E402" t="inlineStr">
        <is>
          <t>VARBERG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53283-2019</t>
        </is>
      </c>
      <c r="B403" s="1" t="n">
        <v>43748</v>
      </c>
      <c r="C403" s="1" t="n">
        <v>45827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54623-2019</t>
        </is>
      </c>
      <c r="B404" s="1" t="n">
        <v>43748</v>
      </c>
      <c r="C404" s="1" t="n">
        <v>45827</v>
      </c>
      <c r="D404" t="inlineStr">
        <is>
          <t>HALLANDS LÄN</t>
        </is>
      </c>
      <c r="E404" t="inlineStr">
        <is>
          <t>FALKENBERG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54646-2019</t>
        </is>
      </c>
      <c r="B405" s="1" t="n">
        <v>43748</v>
      </c>
      <c r="C405" s="1" t="n">
        <v>45827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53288-2019</t>
        </is>
      </c>
      <c r="B406" s="1" t="n">
        <v>43748</v>
      </c>
      <c r="C406" s="1" t="n">
        <v>45827</v>
      </c>
      <c r="D406" t="inlineStr">
        <is>
          <t>HALLANDS LÄN</t>
        </is>
      </c>
      <c r="E406" t="inlineStr">
        <is>
          <t>KUNGSBACKA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53587-2019</t>
        </is>
      </c>
      <c r="B407" s="1" t="n">
        <v>43749</v>
      </c>
      <c r="C407" s="1" t="n">
        <v>45827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53880-2019</t>
        </is>
      </c>
      <c r="B408" s="1" t="n">
        <v>43752</v>
      </c>
      <c r="C408" s="1" t="n">
        <v>45827</v>
      </c>
      <c r="D408" t="inlineStr">
        <is>
          <t>HALLANDS LÄN</t>
        </is>
      </c>
      <c r="E408" t="inlineStr">
        <is>
          <t>FALKENBERG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54016-2019</t>
        </is>
      </c>
      <c r="B409" s="1" t="n">
        <v>43752</v>
      </c>
      <c r="C409" s="1" t="n">
        <v>45827</v>
      </c>
      <c r="D409" t="inlineStr">
        <is>
          <t>HALLANDS LÄN</t>
        </is>
      </c>
      <c r="E409" t="inlineStr">
        <is>
          <t>LAHOLM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53882-2019</t>
        </is>
      </c>
      <c r="B410" s="1" t="n">
        <v>43752</v>
      </c>
      <c r="C410" s="1" t="n">
        <v>45827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53966-2019</t>
        </is>
      </c>
      <c r="B411" s="1" t="n">
        <v>43752</v>
      </c>
      <c r="C411" s="1" t="n">
        <v>45827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54537-2019</t>
        </is>
      </c>
      <c r="B412" s="1" t="n">
        <v>43754</v>
      </c>
      <c r="C412" s="1" t="n">
        <v>45827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54535-2019</t>
        </is>
      </c>
      <c r="B413" s="1" t="n">
        <v>43754</v>
      </c>
      <c r="C413" s="1" t="n">
        <v>45827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54626-2019</t>
        </is>
      </c>
      <c r="B414" s="1" t="n">
        <v>43754</v>
      </c>
      <c r="C414" s="1" t="n">
        <v>45827</v>
      </c>
      <c r="D414" t="inlineStr">
        <is>
          <t>HALLANDS LÄN</t>
        </is>
      </c>
      <c r="E414" t="inlineStr">
        <is>
          <t>FALKENBERG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54461-2019</t>
        </is>
      </c>
      <c r="B415" s="1" t="n">
        <v>43754</v>
      </c>
      <c r="C415" s="1" t="n">
        <v>45827</v>
      </c>
      <c r="D415" t="inlineStr">
        <is>
          <t>HALLANDS LÄN</t>
        </is>
      </c>
      <c r="E415" t="inlineStr">
        <is>
          <t>HALMSTAD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54432-2019</t>
        </is>
      </c>
      <c r="B416" s="1" t="n">
        <v>43754</v>
      </c>
      <c r="C416" s="1" t="n">
        <v>45827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54530-2019</t>
        </is>
      </c>
      <c r="B417" s="1" t="n">
        <v>43754</v>
      </c>
      <c r="C417" s="1" t="n">
        <v>45827</v>
      </c>
      <c r="D417" t="inlineStr">
        <is>
          <t>HALLANDS LÄN</t>
        </is>
      </c>
      <c r="E417" t="inlineStr">
        <is>
          <t>KUNGSBACKA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54543-2019</t>
        </is>
      </c>
      <c r="B418" s="1" t="n">
        <v>43754</v>
      </c>
      <c r="C418" s="1" t="n">
        <v>45827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54533-2019</t>
        </is>
      </c>
      <c r="B419" s="1" t="n">
        <v>43754</v>
      </c>
      <c r="C419" s="1" t="n">
        <v>45827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55036-2019</t>
        </is>
      </c>
      <c r="B420" s="1" t="n">
        <v>43755</v>
      </c>
      <c r="C420" s="1" t="n">
        <v>45827</v>
      </c>
      <c r="D420" t="inlineStr">
        <is>
          <t>HALLANDS LÄN</t>
        </is>
      </c>
      <c r="E420" t="inlineStr">
        <is>
          <t>FALKENBERG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55035-2019</t>
        </is>
      </c>
      <c r="B421" s="1" t="n">
        <v>43755</v>
      </c>
      <c r="C421" s="1" t="n">
        <v>45827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55037-2019</t>
        </is>
      </c>
      <c r="B422" s="1" t="n">
        <v>43755</v>
      </c>
      <c r="C422" s="1" t="n">
        <v>45827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55584-2019</t>
        </is>
      </c>
      <c r="B423" s="1" t="n">
        <v>43760</v>
      </c>
      <c r="C423" s="1" t="n">
        <v>45827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56020-2019</t>
        </is>
      </c>
      <c r="B424" s="1" t="n">
        <v>43761</v>
      </c>
      <c r="C424" s="1" t="n">
        <v>45827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56226-2019</t>
        </is>
      </c>
      <c r="B425" s="1" t="n">
        <v>43762</v>
      </c>
      <c r="C425" s="1" t="n">
        <v>45827</v>
      </c>
      <c r="D425" t="inlineStr">
        <is>
          <t>HALLANDS LÄN</t>
        </is>
      </c>
      <c r="E425" t="inlineStr">
        <is>
          <t>FALKENBERG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56247-2019</t>
        </is>
      </c>
      <c r="B426" s="1" t="n">
        <v>43762</v>
      </c>
      <c r="C426" s="1" t="n">
        <v>45827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56390-2019</t>
        </is>
      </c>
      <c r="B427" s="1" t="n">
        <v>43762</v>
      </c>
      <c r="C427" s="1" t="n">
        <v>45827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57817-2019</t>
        </is>
      </c>
      <c r="B428" s="1" t="n">
        <v>43762</v>
      </c>
      <c r="C428" s="1" t="n">
        <v>45827</v>
      </c>
      <c r="D428" t="inlineStr">
        <is>
          <t>HALLANDS LÄN</t>
        </is>
      </c>
      <c r="E428" t="inlineStr">
        <is>
          <t>LAHOLM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56782-2019</t>
        </is>
      </c>
      <c r="B429" s="1" t="n">
        <v>43763</v>
      </c>
      <c r="C429" s="1" t="n">
        <v>45827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57076-2019</t>
        </is>
      </c>
      <c r="B430" s="1" t="n">
        <v>43766</v>
      </c>
      <c r="C430" s="1" t="n">
        <v>45827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57709-2019</t>
        </is>
      </c>
      <c r="B431" s="1" t="n">
        <v>43768</v>
      </c>
      <c r="C431" s="1" t="n">
        <v>45827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57707-2019</t>
        </is>
      </c>
      <c r="B432" s="1" t="n">
        <v>43768</v>
      </c>
      <c r="C432" s="1" t="n">
        <v>45827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57699-2019</t>
        </is>
      </c>
      <c r="B433" s="1" t="n">
        <v>43768</v>
      </c>
      <c r="C433" s="1" t="n">
        <v>45827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58297-2019</t>
        </is>
      </c>
      <c r="B434" s="1" t="n">
        <v>43770</v>
      </c>
      <c r="C434" s="1" t="n">
        <v>45827</v>
      </c>
      <c r="D434" t="inlineStr">
        <is>
          <t>HALLANDS LÄN</t>
        </is>
      </c>
      <c r="E434" t="inlineStr">
        <is>
          <t>HYLTE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58277-2019</t>
        </is>
      </c>
      <c r="B435" s="1" t="n">
        <v>43770</v>
      </c>
      <c r="C435" s="1" t="n">
        <v>45827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58578-2019</t>
        </is>
      </c>
      <c r="B436" s="1" t="n">
        <v>43773</v>
      </c>
      <c r="C436" s="1" t="n">
        <v>45827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58728-2019</t>
        </is>
      </c>
      <c r="B437" s="1" t="n">
        <v>43773</v>
      </c>
      <c r="C437" s="1" t="n">
        <v>45827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58690-2019</t>
        </is>
      </c>
      <c r="B438" s="1" t="n">
        <v>43773</v>
      </c>
      <c r="C438" s="1" t="n">
        <v>45827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58782-2019</t>
        </is>
      </c>
      <c r="B439" s="1" t="n">
        <v>43773</v>
      </c>
      <c r="C439" s="1" t="n">
        <v>45827</v>
      </c>
      <c r="D439" t="inlineStr">
        <is>
          <t>HALLANDS LÄN</t>
        </is>
      </c>
      <c r="E439" t="inlineStr">
        <is>
          <t>LAHOLM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58737-2019</t>
        </is>
      </c>
      <c r="B440" s="1" t="n">
        <v>43773</v>
      </c>
      <c r="C440" s="1" t="n">
        <v>45827</v>
      </c>
      <c r="D440" t="inlineStr">
        <is>
          <t>HALLANDS LÄN</t>
        </is>
      </c>
      <c r="E440" t="inlineStr">
        <is>
          <t>FALKENBERG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58884-2019</t>
        </is>
      </c>
      <c r="B441" s="1" t="n">
        <v>43774</v>
      </c>
      <c r="C441" s="1" t="n">
        <v>45827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59161-2019</t>
        </is>
      </c>
      <c r="B442" s="1" t="n">
        <v>43775</v>
      </c>
      <c r="C442" s="1" t="n">
        <v>45827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59162-2019</t>
        </is>
      </c>
      <c r="B443" s="1" t="n">
        <v>43775</v>
      </c>
      <c r="C443" s="1" t="n">
        <v>45827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59403-2019</t>
        </is>
      </c>
      <c r="B444" s="1" t="n">
        <v>43775</v>
      </c>
      <c r="C444" s="1" t="n">
        <v>45827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59406-2019</t>
        </is>
      </c>
      <c r="B445" s="1" t="n">
        <v>43775</v>
      </c>
      <c r="C445" s="1" t="n">
        <v>45827</v>
      </c>
      <c r="D445" t="inlineStr">
        <is>
          <t>HALLANDS LÄN</t>
        </is>
      </c>
      <c r="E445" t="inlineStr">
        <is>
          <t>HALMSTAD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59398-2019</t>
        </is>
      </c>
      <c r="B446" s="1" t="n">
        <v>43775</v>
      </c>
      <c r="C446" s="1" t="n">
        <v>45827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59410-2019</t>
        </is>
      </c>
      <c r="B447" s="1" t="n">
        <v>43775</v>
      </c>
      <c r="C447" s="1" t="n">
        <v>45827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59205-2019</t>
        </is>
      </c>
      <c r="B448" s="1" t="n">
        <v>43775</v>
      </c>
      <c r="C448" s="1" t="n">
        <v>45827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59407-2019</t>
        </is>
      </c>
      <c r="B449" s="1" t="n">
        <v>43775</v>
      </c>
      <c r="C449" s="1" t="n">
        <v>45827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59348-2019</t>
        </is>
      </c>
      <c r="B450" s="1" t="n">
        <v>43775</v>
      </c>
      <c r="C450" s="1" t="n">
        <v>45827</v>
      </c>
      <c r="D450" t="inlineStr">
        <is>
          <t>HALLANDS LÄN</t>
        </is>
      </c>
      <c r="E450" t="inlineStr">
        <is>
          <t>HALMSTAD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59798-2019</t>
        </is>
      </c>
      <c r="B451" s="1" t="n">
        <v>43777</v>
      </c>
      <c r="C451" s="1" t="n">
        <v>45827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60076-2019</t>
        </is>
      </c>
      <c r="B452" s="1" t="n">
        <v>43777</v>
      </c>
      <c r="C452" s="1" t="n">
        <v>45827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60712-2019</t>
        </is>
      </c>
      <c r="B453" s="1" t="n">
        <v>43781</v>
      </c>
      <c r="C453" s="1" t="n">
        <v>45827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60734-2019</t>
        </is>
      </c>
      <c r="B454" s="1" t="n">
        <v>43781</v>
      </c>
      <c r="C454" s="1" t="n">
        <v>45827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60823-2019</t>
        </is>
      </c>
      <c r="B455" s="1" t="n">
        <v>43781</v>
      </c>
      <c r="C455" s="1" t="n">
        <v>45827</v>
      </c>
      <c r="D455" t="inlineStr">
        <is>
          <t>HALLANDS LÄN</t>
        </is>
      </c>
      <c r="E455" t="inlineStr">
        <is>
          <t>LAHOLM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61426-2019</t>
        </is>
      </c>
      <c r="B456" s="1" t="n">
        <v>43783</v>
      </c>
      <c r="C456" s="1" t="n">
        <v>45827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61434-2019</t>
        </is>
      </c>
      <c r="B457" s="1" t="n">
        <v>43783</v>
      </c>
      <c r="C457" s="1" t="n">
        <v>45827</v>
      </c>
      <c r="D457" t="inlineStr">
        <is>
          <t>HALLANDS LÄN</t>
        </is>
      </c>
      <c r="E457" t="inlineStr">
        <is>
          <t>LAHOLM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61225-2019</t>
        </is>
      </c>
      <c r="B458" s="1" t="n">
        <v>43783</v>
      </c>
      <c r="C458" s="1" t="n">
        <v>45827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61429-2019</t>
        </is>
      </c>
      <c r="B459" s="1" t="n">
        <v>43783</v>
      </c>
      <c r="C459" s="1" t="n">
        <v>45827</v>
      </c>
      <c r="D459" t="inlineStr">
        <is>
          <t>HALLANDS LÄN</t>
        </is>
      </c>
      <c r="E459" t="inlineStr">
        <is>
          <t>LAHOLM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61590-2019</t>
        </is>
      </c>
      <c r="B460" s="1" t="n">
        <v>43784</v>
      </c>
      <c r="C460" s="1" t="n">
        <v>45827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62365-2019</t>
        </is>
      </c>
      <c r="B461" s="1" t="n">
        <v>43788</v>
      </c>
      <c r="C461" s="1" t="n">
        <v>45827</v>
      </c>
      <c r="D461" t="inlineStr">
        <is>
          <t>HALLANDS LÄN</t>
        </is>
      </c>
      <c r="E461" t="inlineStr">
        <is>
          <t>HALMSTAD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62408-2019</t>
        </is>
      </c>
      <c r="B462" s="1" t="n">
        <v>43788</v>
      </c>
      <c r="C462" s="1" t="n">
        <v>45827</v>
      </c>
      <c r="D462" t="inlineStr">
        <is>
          <t>HALLANDS LÄN</t>
        </is>
      </c>
      <c r="E462" t="inlineStr">
        <is>
          <t>HALMSTAD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62601-2019</t>
        </is>
      </c>
      <c r="B463" s="1" t="n">
        <v>43789</v>
      </c>
      <c r="C463" s="1" t="n">
        <v>45827</v>
      </c>
      <c r="D463" t="inlineStr">
        <is>
          <t>HALLANDS LÄN</t>
        </is>
      </c>
      <c r="E463" t="inlineStr">
        <is>
          <t>HALMSTAD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62533-2019</t>
        </is>
      </c>
      <c r="B464" s="1" t="n">
        <v>43789</v>
      </c>
      <c r="C464" s="1" t="n">
        <v>45827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63797-2019</t>
        </is>
      </c>
      <c r="B465" s="1" t="n">
        <v>43790</v>
      </c>
      <c r="C465" s="1" t="n">
        <v>45827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64877-2019</t>
        </is>
      </c>
      <c r="B466" s="1" t="n">
        <v>43795</v>
      </c>
      <c r="C466" s="1" t="n">
        <v>45827</v>
      </c>
      <c r="D466" t="inlineStr">
        <is>
          <t>HALLANDS LÄN</t>
        </is>
      </c>
      <c r="E466" t="inlineStr">
        <is>
          <t>HALMSTAD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64033-2019</t>
        </is>
      </c>
      <c r="B467" s="1" t="n">
        <v>43795</v>
      </c>
      <c r="C467" s="1" t="n">
        <v>45827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63858-2019</t>
        </is>
      </c>
      <c r="B468" s="1" t="n">
        <v>43796</v>
      </c>
      <c r="C468" s="1" t="n">
        <v>45827</v>
      </c>
      <c r="D468" t="inlineStr">
        <is>
          <t>HALLANDS LÄN</t>
        </is>
      </c>
      <c r="E468" t="inlineStr">
        <is>
          <t>HALMSTAD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63907-2019</t>
        </is>
      </c>
      <c r="B469" s="1" t="n">
        <v>43796</v>
      </c>
      <c r="C469" s="1" t="n">
        <v>45827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63975-2019</t>
        </is>
      </c>
      <c r="B470" s="1" t="n">
        <v>43796</v>
      </c>
      <c r="C470" s="1" t="n">
        <v>45827</v>
      </c>
      <c r="D470" t="inlineStr">
        <is>
          <t>HALLANDS LÄN</t>
        </is>
      </c>
      <c r="E470" t="inlineStr">
        <is>
          <t>HALMSTAD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64065-2019</t>
        </is>
      </c>
      <c r="B471" s="1" t="n">
        <v>43796</v>
      </c>
      <c r="C471" s="1" t="n">
        <v>45827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65339-2019</t>
        </is>
      </c>
      <c r="B472" s="1" t="n">
        <v>43803</v>
      </c>
      <c r="C472" s="1" t="n">
        <v>45827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65478-2019</t>
        </is>
      </c>
      <c r="B473" s="1" t="n">
        <v>43803</v>
      </c>
      <c r="C473" s="1" t="n">
        <v>45827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66247-2019</t>
        </is>
      </c>
      <c r="B474" s="1" t="n">
        <v>43805</v>
      </c>
      <c r="C474" s="1" t="n">
        <v>45827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66249-2019</t>
        </is>
      </c>
      <c r="B475" s="1" t="n">
        <v>43805</v>
      </c>
      <c r="C475" s="1" t="n">
        <v>45827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66210-2019</t>
        </is>
      </c>
      <c r="B476" s="1" t="n">
        <v>43808</v>
      </c>
      <c r="C476" s="1" t="n">
        <v>45827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66726-2019</t>
        </is>
      </c>
      <c r="B477" s="1" t="n">
        <v>43810</v>
      </c>
      <c r="C477" s="1" t="n">
        <v>45827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66779-2019</t>
        </is>
      </c>
      <c r="B478" s="1" t="n">
        <v>43810</v>
      </c>
      <c r="C478" s="1" t="n">
        <v>45827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66778-2019</t>
        </is>
      </c>
      <c r="B479" s="1" t="n">
        <v>43810</v>
      </c>
      <c r="C479" s="1" t="n">
        <v>45827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67180-2019</t>
        </is>
      </c>
      <c r="B480" s="1" t="n">
        <v>43811</v>
      </c>
      <c r="C480" s="1" t="n">
        <v>45827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67209-2019</t>
        </is>
      </c>
      <c r="B481" s="1" t="n">
        <v>43811</v>
      </c>
      <c r="C481" s="1" t="n">
        <v>45827</v>
      </c>
      <c r="D481" t="inlineStr">
        <is>
          <t>HALLANDS LÄN</t>
        </is>
      </c>
      <c r="E481" t="inlineStr">
        <is>
          <t>HALMSTAD</t>
        </is>
      </c>
      <c r="F481" t="inlineStr">
        <is>
          <t>Övriga statliga verk och myndigheter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67210-2019</t>
        </is>
      </c>
      <c r="B482" s="1" t="n">
        <v>43811</v>
      </c>
      <c r="C482" s="1" t="n">
        <v>45827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statliga verk och myndigheter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67552-2019</t>
        </is>
      </c>
      <c r="B483" s="1" t="n">
        <v>43815</v>
      </c>
      <c r="C483" s="1" t="n">
        <v>45827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67551-2019</t>
        </is>
      </c>
      <c r="B484" s="1" t="n">
        <v>43815</v>
      </c>
      <c r="C484" s="1" t="n">
        <v>45827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575-2020</t>
        </is>
      </c>
      <c r="B485" s="1" t="n">
        <v>43817</v>
      </c>
      <c r="C485" s="1" t="n">
        <v>45827</v>
      </c>
      <c r="D485" t="inlineStr">
        <is>
          <t>HALLANDS LÄN</t>
        </is>
      </c>
      <c r="E485" t="inlineStr">
        <is>
          <t>LAHOLM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583-2020</t>
        </is>
      </c>
      <c r="B486" s="1" t="n">
        <v>43817</v>
      </c>
      <c r="C486" s="1" t="n">
        <v>45827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581-2020</t>
        </is>
      </c>
      <c r="B487" s="1" t="n">
        <v>43817</v>
      </c>
      <c r="C487" s="1" t="n">
        <v>45827</v>
      </c>
      <c r="D487" t="inlineStr">
        <is>
          <t>HALLANDS LÄN</t>
        </is>
      </c>
      <c r="E487" t="inlineStr">
        <is>
          <t>LAHOLM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68385-2019</t>
        </is>
      </c>
      <c r="B488" s="1" t="n">
        <v>43818</v>
      </c>
      <c r="C488" s="1" t="n">
        <v>45827</v>
      </c>
      <c r="D488" t="inlineStr">
        <is>
          <t>HALLANDS LÄN</t>
        </is>
      </c>
      <c r="E488" t="inlineStr">
        <is>
          <t>VARBERG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68378-2019</t>
        </is>
      </c>
      <c r="B489" s="1" t="n">
        <v>43818</v>
      </c>
      <c r="C489" s="1" t="n">
        <v>45827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1117-2020</t>
        </is>
      </c>
      <c r="B490" s="1" t="n">
        <v>43819</v>
      </c>
      <c r="C490" s="1" t="n">
        <v>45827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68970-2019</t>
        </is>
      </c>
      <c r="B491" s="1" t="n">
        <v>43822</v>
      </c>
      <c r="C491" s="1" t="n">
        <v>45827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69110-2019</t>
        </is>
      </c>
      <c r="B492" s="1" t="n">
        <v>43829</v>
      </c>
      <c r="C492" s="1" t="n">
        <v>45827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1620-2020</t>
        </is>
      </c>
      <c r="B493" s="1" t="n">
        <v>43829</v>
      </c>
      <c r="C493" s="1" t="n">
        <v>45827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69108-2019</t>
        </is>
      </c>
      <c r="B494" s="1" t="n">
        <v>43829</v>
      </c>
      <c r="C494" s="1" t="n">
        <v>45827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69161-2019</t>
        </is>
      </c>
      <c r="B495" s="1" t="n">
        <v>43829</v>
      </c>
      <c r="C495" s="1" t="n">
        <v>45827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368-2020</t>
        </is>
      </c>
      <c r="B496" s="1" t="n">
        <v>43837</v>
      </c>
      <c r="C496" s="1" t="n">
        <v>45827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394-2020</t>
        </is>
      </c>
      <c r="B497" s="1" t="n">
        <v>43837</v>
      </c>
      <c r="C497" s="1" t="n">
        <v>45827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353-2020</t>
        </is>
      </c>
      <c r="B498" s="1" t="n">
        <v>43837</v>
      </c>
      <c r="C498" s="1" t="n">
        <v>45827</v>
      </c>
      <c r="D498" t="inlineStr">
        <is>
          <t>HALLANDS LÄN</t>
        </is>
      </c>
      <c r="E498" t="inlineStr">
        <is>
          <t>HYLTE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1242-2020</t>
        </is>
      </c>
      <c r="B499" s="1" t="n">
        <v>43838</v>
      </c>
      <c r="C499" s="1" t="n">
        <v>45827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987-2020</t>
        </is>
      </c>
      <c r="B500" s="1" t="n">
        <v>43839</v>
      </c>
      <c r="C500" s="1" t="n">
        <v>45827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984-2020</t>
        </is>
      </c>
      <c r="B501" s="1" t="n">
        <v>43839</v>
      </c>
      <c r="C501" s="1" t="n">
        <v>45827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1160-2020</t>
        </is>
      </c>
      <c r="B502" s="1" t="n">
        <v>43840</v>
      </c>
      <c r="C502" s="1" t="n">
        <v>45827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1135-2020</t>
        </is>
      </c>
      <c r="B503" s="1" t="n">
        <v>43840</v>
      </c>
      <c r="C503" s="1" t="n">
        <v>45827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2800-2020</t>
        </is>
      </c>
      <c r="B504" s="1" t="n">
        <v>43843</v>
      </c>
      <c r="C504" s="1" t="n">
        <v>45827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1696-2020</t>
        </is>
      </c>
      <c r="B505" s="1" t="n">
        <v>43844</v>
      </c>
      <c r="C505" s="1" t="n">
        <v>45827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1714-2020</t>
        </is>
      </c>
      <c r="B506" s="1" t="n">
        <v>43844</v>
      </c>
      <c r="C506" s="1" t="n">
        <v>45827</v>
      </c>
      <c r="D506" t="inlineStr">
        <is>
          <t>HALLANDS LÄN</t>
        </is>
      </c>
      <c r="E506" t="inlineStr">
        <is>
          <t>LAHOLM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1763-2020</t>
        </is>
      </c>
      <c r="B507" s="1" t="n">
        <v>43844</v>
      </c>
      <c r="C507" s="1" t="n">
        <v>45827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1959-2020</t>
        </is>
      </c>
      <c r="B508" s="1" t="n">
        <v>43845</v>
      </c>
      <c r="C508" s="1" t="n">
        <v>45827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1922-2020</t>
        </is>
      </c>
      <c r="B509" s="1" t="n">
        <v>43845</v>
      </c>
      <c r="C509" s="1" t="n">
        <v>45827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2022-2020</t>
        </is>
      </c>
      <c r="B510" s="1" t="n">
        <v>43845</v>
      </c>
      <c r="C510" s="1" t="n">
        <v>45827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2084-2020</t>
        </is>
      </c>
      <c r="B511" s="1" t="n">
        <v>43845</v>
      </c>
      <c r="C511" s="1" t="n">
        <v>45827</v>
      </c>
      <c r="D511" t="inlineStr">
        <is>
          <t>HALLANDS LÄN</t>
        </is>
      </c>
      <c r="E511" t="inlineStr">
        <is>
          <t>FALKENBERG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2142-2020</t>
        </is>
      </c>
      <c r="B512" s="1" t="n">
        <v>43846</v>
      </c>
      <c r="C512" s="1" t="n">
        <v>45827</v>
      </c>
      <c r="D512" t="inlineStr">
        <is>
          <t>HALLANDS LÄN</t>
        </is>
      </c>
      <c r="E512" t="inlineStr">
        <is>
          <t>VARBERG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2208-2020</t>
        </is>
      </c>
      <c r="B513" s="1" t="n">
        <v>43846</v>
      </c>
      <c r="C513" s="1" t="n">
        <v>45827</v>
      </c>
      <c r="D513" t="inlineStr">
        <is>
          <t>HALLANDS LÄN</t>
        </is>
      </c>
      <c r="E513" t="inlineStr">
        <is>
          <t>HYLTE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2759-2020</t>
        </is>
      </c>
      <c r="B514" s="1" t="n">
        <v>43850</v>
      </c>
      <c r="C514" s="1" t="n">
        <v>45827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3296-2020</t>
        </is>
      </c>
      <c r="B515" s="1" t="n">
        <v>43852</v>
      </c>
      <c r="C515" s="1" t="n">
        <v>45827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3461-2020</t>
        </is>
      </c>
      <c r="B516" s="1" t="n">
        <v>43852</v>
      </c>
      <c r="C516" s="1" t="n">
        <v>45827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3305-2020</t>
        </is>
      </c>
      <c r="B517" s="1" t="n">
        <v>43852</v>
      </c>
      <c r="C517" s="1" t="n">
        <v>45827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3755-2020</t>
        </is>
      </c>
      <c r="B518" s="1" t="n">
        <v>43854</v>
      </c>
      <c r="C518" s="1" t="n">
        <v>45827</v>
      </c>
      <c r="D518" t="inlineStr">
        <is>
          <t>HALLANDS LÄN</t>
        </is>
      </c>
      <c r="E518" t="inlineStr">
        <is>
          <t>VARBERG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3777-2020</t>
        </is>
      </c>
      <c r="B519" s="1" t="n">
        <v>43854</v>
      </c>
      <c r="C519" s="1" t="n">
        <v>45827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3759-2020</t>
        </is>
      </c>
      <c r="B520" s="1" t="n">
        <v>43854</v>
      </c>
      <c r="C520" s="1" t="n">
        <v>45827</v>
      </c>
      <c r="D520" t="inlineStr">
        <is>
          <t>HALLANDS LÄN</t>
        </is>
      </c>
      <c r="E520" t="inlineStr">
        <is>
          <t>VARBERG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3898-2020</t>
        </is>
      </c>
      <c r="B521" s="1" t="n">
        <v>43854</v>
      </c>
      <c r="C521" s="1" t="n">
        <v>45827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4155-2020</t>
        </is>
      </c>
      <c r="B522" s="1" t="n">
        <v>43857</v>
      </c>
      <c r="C522" s="1" t="n">
        <v>45827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4384-2020</t>
        </is>
      </c>
      <c r="B523" s="1" t="n">
        <v>43858</v>
      </c>
      <c r="C523" s="1" t="n">
        <v>45827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4413-2020</t>
        </is>
      </c>
      <c r="B524" s="1" t="n">
        <v>43858</v>
      </c>
      <c r="C524" s="1" t="n">
        <v>45827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4787-2020</t>
        </is>
      </c>
      <c r="B525" s="1" t="n">
        <v>43859</v>
      </c>
      <c r="C525" s="1" t="n">
        <v>45827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4885-2020</t>
        </is>
      </c>
      <c r="B526" s="1" t="n">
        <v>43859</v>
      </c>
      <c r="C526" s="1" t="n">
        <v>45827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4903-2020</t>
        </is>
      </c>
      <c r="B527" s="1" t="n">
        <v>43859</v>
      </c>
      <c r="C527" s="1" t="n">
        <v>45827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4789-2020</t>
        </is>
      </c>
      <c r="B528" s="1" t="n">
        <v>43859</v>
      </c>
      <c r="C528" s="1" t="n">
        <v>45827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5066-2020</t>
        </is>
      </c>
      <c r="B529" s="1" t="n">
        <v>43859</v>
      </c>
      <c r="C529" s="1" t="n">
        <v>45827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5019-2020</t>
        </is>
      </c>
      <c r="B530" s="1" t="n">
        <v>43859</v>
      </c>
      <c r="C530" s="1" t="n">
        <v>45827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5519-2020</t>
        </is>
      </c>
      <c r="B531" s="1" t="n">
        <v>43859</v>
      </c>
      <c r="C531" s="1" t="n">
        <v>45827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5204-2020</t>
        </is>
      </c>
      <c r="B532" s="1" t="n">
        <v>43860</v>
      </c>
      <c r="C532" s="1" t="n">
        <v>45827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5143-2020</t>
        </is>
      </c>
      <c r="B533" s="1" t="n">
        <v>43860</v>
      </c>
      <c r="C533" s="1" t="n">
        <v>45827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5199-2020</t>
        </is>
      </c>
      <c r="B534" s="1" t="n">
        <v>43860</v>
      </c>
      <c r="C534" s="1" t="n">
        <v>45827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5414-2020</t>
        </is>
      </c>
      <c r="B535" s="1" t="n">
        <v>43860</v>
      </c>
      <c r="C535" s="1" t="n">
        <v>45827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5266-2020</t>
        </is>
      </c>
      <c r="B536" s="1" t="n">
        <v>43860</v>
      </c>
      <c r="C536" s="1" t="n">
        <v>45827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5703-2020</t>
        </is>
      </c>
      <c r="B537" s="1" t="n">
        <v>43861</v>
      </c>
      <c r="C537" s="1" t="n">
        <v>45827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5582-2020</t>
        </is>
      </c>
      <c r="B538" s="1" t="n">
        <v>43861</v>
      </c>
      <c r="C538" s="1" t="n">
        <v>45827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5837-2020</t>
        </is>
      </c>
      <c r="B539" s="1" t="n">
        <v>43864</v>
      </c>
      <c r="C539" s="1" t="n">
        <v>45827</v>
      </c>
      <c r="D539" t="inlineStr">
        <is>
          <t>HALLANDS LÄN</t>
        </is>
      </c>
      <c r="E539" t="inlineStr">
        <is>
          <t>VARBERG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5771-2020</t>
        </is>
      </c>
      <c r="B540" s="1" t="n">
        <v>43864</v>
      </c>
      <c r="C540" s="1" t="n">
        <v>45827</v>
      </c>
      <c r="D540" t="inlineStr">
        <is>
          <t>HALLANDS LÄN</t>
        </is>
      </c>
      <c r="E540" t="inlineStr">
        <is>
          <t>HALMSTAD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6050-2020</t>
        </is>
      </c>
      <c r="B541" s="1" t="n">
        <v>43865</v>
      </c>
      <c r="C541" s="1" t="n">
        <v>45827</v>
      </c>
      <c r="D541" t="inlineStr">
        <is>
          <t>HALLANDS LÄN</t>
        </is>
      </c>
      <c r="E541" t="inlineStr">
        <is>
          <t>VARBERG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6980-2020</t>
        </is>
      </c>
      <c r="B542" s="1" t="n">
        <v>43868</v>
      </c>
      <c r="C542" s="1" t="n">
        <v>45827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7074-2020</t>
        </is>
      </c>
      <c r="B543" s="1" t="n">
        <v>43868</v>
      </c>
      <c r="C543" s="1" t="n">
        <v>45827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7207-2020</t>
        </is>
      </c>
      <c r="B544" s="1" t="n">
        <v>43871</v>
      </c>
      <c r="C544" s="1" t="n">
        <v>45827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7408-2020</t>
        </is>
      </c>
      <c r="B545" s="1" t="n">
        <v>43871</v>
      </c>
      <c r="C545" s="1" t="n">
        <v>45827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7593-2020</t>
        </is>
      </c>
      <c r="B546" s="1" t="n">
        <v>43872</v>
      </c>
      <c r="C546" s="1" t="n">
        <v>45827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7848-2020</t>
        </is>
      </c>
      <c r="B547" s="1" t="n">
        <v>43873</v>
      </c>
      <c r="C547" s="1" t="n">
        <v>45827</v>
      </c>
      <c r="D547" t="inlineStr">
        <is>
          <t>HALLANDS LÄN</t>
        </is>
      </c>
      <c r="E547" t="inlineStr">
        <is>
          <t>VARBERG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7755-2020</t>
        </is>
      </c>
      <c r="B548" s="1" t="n">
        <v>43873</v>
      </c>
      <c r="C548" s="1" t="n">
        <v>45827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7938-2020</t>
        </is>
      </c>
      <c r="B549" s="1" t="n">
        <v>43873</v>
      </c>
      <c r="C549" s="1" t="n">
        <v>45827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8337-2020</t>
        </is>
      </c>
      <c r="B550" s="1" t="n">
        <v>43875</v>
      </c>
      <c r="C550" s="1" t="n">
        <v>45827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8720-2020</t>
        </is>
      </c>
      <c r="B551" s="1" t="n">
        <v>43878</v>
      </c>
      <c r="C551" s="1" t="n">
        <v>45827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8855-2020</t>
        </is>
      </c>
      <c r="B552" s="1" t="n">
        <v>43878</v>
      </c>
      <c r="C552" s="1" t="n">
        <v>45827</v>
      </c>
      <c r="D552" t="inlineStr">
        <is>
          <t>HALLANDS LÄN</t>
        </is>
      </c>
      <c r="E552" t="inlineStr">
        <is>
          <t>LAHOLM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8954-2020</t>
        </is>
      </c>
      <c r="B553" s="1" t="n">
        <v>43879</v>
      </c>
      <c r="C553" s="1" t="n">
        <v>45827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9221-2020</t>
        </is>
      </c>
      <c r="B554" s="1" t="n">
        <v>43879</v>
      </c>
      <c r="C554" s="1" t="n">
        <v>45827</v>
      </c>
      <c r="D554" t="inlineStr">
        <is>
          <t>HALLANDS LÄN</t>
        </is>
      </c>
      <c r="E554" t="inlineStr">
        <is>
          <t>HALMSTAD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9219-2020</t>
        </is>
      </c>
      <c r="B555" s="1" t="n">
        <v>43879</v>
      </c>
      <c r="C555" s="1" t="n">
        <v>45827</v>
      </c>
      <c r="D555" t="inlineStr">
        <is>
          <t>HALLANDS LÄN</t>
        </is>
      </c>
      <c r="E555" t="inlineStr">
        <is>
          <t>HALMSTAD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9243-2020</t>
        </is>
      </c>
      <c r="B556" s="1" t="n">
        <v>43879</v>
      </c>
      <c r="C556" s="1" t="n">
        <v>45827</v>
      </c>
      <c r="D556" t="inlineStr">
        <is>
          <t>HALLANDS LÄN</t>
        </is>
      </c>
      <c r="E556" t="inlineStr">
        <is>
          <t>LAHOLM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9477-2020</t>
        </is>
      </c>
      <c r="B557" s="1" t="n">
        <v>43880</v>
      </c>
      <c r="C557" s="1" t="n">
        <v>45827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9417-2020</t>
        </is>
      </c>
      <c r="B558" s="1" t="n">
        <v>43880</v>
      </c>
      <c r="C558" s="1" t="n">
        <v>45827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9489-2020</t>
        </is>
      </c>
      <c r="B559" s="1" t="n">
        <v>43880</v>
      </c>
      <c r="C559" s="1" t="n">
        <v>45827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9452-2020</t>
        </is>
      </c>
      <c r="B560" s="1" t="n">
        <v>43880</v>
      </c>
      <c r="C560" s="1" t="n">
        <v>45827</v>
      </c>
      <c r="D560" t="inlineStr">
        <is>
          <t>HALLANDS LÄN</t>
        </is>
      </c>
      <c r="E560" t="inlineStr">
        <is>
          <t>HALMSTAD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9440-2020</t>
        </is>
      </c>
      <c r="B561" s="1" t="n">
        <v>43880</v>
      </c>
      <c r="C561" s="1" t="n">
        <v>45827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9459-2020</t>
        </is>
      </c>
      <c r="B562" s="1" t="n">
        <v>43880</v>
      </c>
      <c r="C562" s="1" t="n">
        <v>45827</v>
      </c>
      <c r="D562" t="inlineStr">
        <is>
          <t>HALLANDS LÄN</t>
        </is>
      </c>
      <c r="E562" t="inlineStr">
        <is>
          <t>HALMSTAD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9640-2020</t>
        </is>
      </c>
      <c r="B563" s="1" t="n">
        <v>43881</v>
      </c>
      <c r="C563" s="1" t="n">
        <v>45827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10026-2020</t>
        </is>
      </c>
      <c r="B564" s="1" t="n">
        <v>43882</v>
      </c>
      <c r="C564" s="1" t="n">
        <v>45827</v>
      </c>
      <c r="D564" t="inlineStr">
        <is>
          <t>HALLANDS LÄN</t>
        </is>
      </c>
      <c r="E564" t="inlineStr">
        <is>
          <t>LAHOLM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10195-2020</t>
        </is>
      </c>
      <c r="B565" s="1" t="n">
        <v>43885</v>
      </c>
      <c r="C565" s="1" t="n">
        <v>45827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10370-2020</t>
        </is>
      </c>
      <c r="B566" s="1" t="n">
        <v>43885</v>
      </c>
      <c r="C566" s="1" t="n">
        <v>45827</v>
      </c>
      <c r="D566" t="inlineStr">
        <is>
          <t>HALLANDS LÄN</t>
        </is>
      </c>
      <c r="E566" t="inlineStr">
        <is>
          <t>KUNGSBACKA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11349-2020</t>
        </is>
      </c>
      <c r="B567" s="1" t="n">
        <v>43886</v>
      </c>
      <c r="C567" s="1" t="n">
        <v>45827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10232-2020</t>
        </is>
      </c>
      <c r="B568" s="1" t="n">
        <v>43887</v>
      </c>
      <c r="C568" s="1" t="n">
        <v>45827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10592-2020</t>
        </is>
      </c>
      <c r="B569" s="1" t="n">
        <v>43887</v>
      </c>
      <c r="C569" s="1" t="n">
        <v>45827</v>
      </c>
      <c r="D569" t="inlineStr">
        <is>
          <t>HALLANDS LÄN</t>
        </is>
      </c>
      <c r="E569" t="inlineStr">
        <is>
          <t>VARBERG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10617-2020</t>
        </is>
      </c>
      <c r="B570" s="1" t="n">
        <v>43887</v>
      </c>
      <c r="C570" s="1" t="n">
        <v>45827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10611-2020</t>
        </is>
      </c>
      <c r="B571" s="1" t="n">
        <v>43887</v>
      </c>
      <c r="C571" s="1" t="n">
        <v>45827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11459-2020</t>
        </is>
      </c>
      <c r="B572" s="1" t="n">
        <v>43893</v>
      </c>
      <c r="C572" s="1" t="n">
        <v>45827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11734-2020</t>
        </is>
      </c>
      <c r="B573" s="1" t="n">
        <v>43894</v>
      </c>
      <c r="C573" s="1" t="n">
        <v>45827</v>
      </c>
      <c r="D573" t="inlineStr">
        <is>
          <t>HALLANDS LÄN</t>
        </is>
      </c>
      <c r="E573" t="inlineStr">
        <is>
          <t>VARBERG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11918-2020</t>
        </is>
      </c>
      <c r="B574" s="1" t="n">
        <v>43894</v>
      </c>
      <c r="C574" s="1" t="n">
        <v>45827</v>
      </c>
      <c r="D574" t="inlineStr">
        <is>
          <t>HALLANDS LÄN</t>
        </is>
      </c>
      <c r="E574" t="inlineStr">
        <is>
          <t>LAHOLM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12019-2020</t>
        </is>
      </c>
      <c r="B575" s="1" t="n">
        <v>43894</v>
      </c>
      <c r="C575" s="1" t="n">
        <v>45827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12017-2020</t>
        </is>
      </c>
      <c r="B576" s="1" t="n">
        <v>43894</v>
      </c>
      <c r="C576" s="1" t="n">
        <v>45827</v>
      </c>
      <c r="D576" t="inlineStr">
        <is>
          <t>HALLANDS LÄN</t>
        </is>
      </c>
      <c r="E576" t="inlineStr">
        <is>
          <t>VARBERG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12015-2020</t>
        </is>
      </c>
      <c r="B577" s="1" t="n">
        <v>43894</v>
      </c>
      <c r="C577" s="1" t="n">
        <v>45827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12071-2020</t>
        </is>
      </c>
      <c r="B578" s="1" t="n">
        <v>43895</v>
      </c>
      <c r="C578" s="1" t="n">
        <v>45827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12189-2020</t>
        </is>
      </c>
      <c r="B579" s="1" t="n">
        <v>43895</v>
      </c>
      <c r="C579" s="1" t="n">
        <v>45827</v>
      </c>
      <c r="D579" t="inlineStr">
        <is>
          <t>HALLANDS LÄN</t>
        </is>
      </c>
      <c r="E579" t="inlineStr">
        <is>
          <t>HALMSTAD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13646-2020</t>
        </is>
      </c>
      <c r="B580" s="1" t="n">
        <v>43895</v>
      </c>
      <c r="C580" s="1" t="n">
        <v>45827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12367-2020</t>
        </is>
      </c>
      <c r="B581" s="1" t="n">
        <v>43896</v>
      </c>
      <c r="C581" s="1" t="n">
        <v>45827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12448-2020</t>
        </is>
      </c>
      <c r="B582" s="1" t="n">
        <v>43896</v>
      </c>
      <c r="C582" s="1" t="n">
        <v>45827</v>
      </c>
      <c r="D582" t="inlineStr">
        <is>
          <t>HALLANDS LÄN</t>
        </is>
      </c>
      <c r="E582" t="inlineStr">
        <is>
          <t>VARBERG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12947-2020</t>
        </is>
      </c>
      <c r="B583" s="1" t="n">
        <v>43900</v>
      </c>
      <c r="C583" s="1" t="n">
        <v>45827</v>
      </c>
      <c r="D583" t="inlineStr">
        <is>
          <t>HALLANDS LÄN</t>
        </is>
      </c>
      <c r="E583" t="inlineStr">
        <is>
          <t>VARBERG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13152-2020</t>
        </is>
      </c>
      <c r="B584" s="1" t="n">
        <v>43901</v>
      </c>
      <c r="C584" s="1" t="n">
        <v>45827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13114-2020</t>
        </is>
      </c>
      <c r="B585" s="1" t="n">
        <v>43901</v>
      </c>
      <c r="C585" s="1" t="n">
        <v>45827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13150-2020</t>
        </is>
      </c>
      <c r="B586" s="1" t="n">
        <v>43901</v>
      </c>
      <c r="C586" s="1" t="n">
        <v>45827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13405-2020</t>
        </is>
      </c>
      <c r="B587" s="1" t="n">
        <v>43902</v>
      </c>
      <c r="C587" s="1" t="n">
        <v>45827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13398-2020</t>
        </is>
      </c>
      <c r="B588" s="1" t="n">
        <v>43902</v>
      </c>
      <c r="C588" s="1" t="n">
        <v>45827</v>
      </c>
      <c r="D588" t="inlineStr">
        <is>
          <t>HALLANDS LÄN</t>
        </is>
      </c>
      <c r="E588" t="inlineStr">
        <is>
          <t>HALMSTAD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13341-2020</t>
        </is>
      </c>
      <c r="B589" s="1" t="n">
        <v>43902</v>
      </c>
      <c r="C589" s="1" t="n">
        <v>45827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13631-2020</t>
        </is>
      </c>
      <c r="B590" s="1" t="n">
        <v>43903</v>
      </c>
      <c r="C590" s="1" t="n">
        <v>45827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13642-2020</t>
        </is>
      </c>
      <c r="B591" s="1" t="n">
        <v>43903</v>
      </c>
      <c r="C591" s="1" t="n">
        <v>45827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13842-2020</t>
        </is>
      </c>
      <c r="B592" s="1" t="n">
        <v>43906</v>
      </c>
      <c r="C592" s="1" t="n">
        <v>45827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14299-2020</t>
        </is>
      </c>
      <c r="B593" s="1" t="n">
        <v>43907</v>
      </c>
      <c r="C593" s="1" t="n">
        <v>45827</v>
      </c>
      <c r="D593" t="inlineStr">
        <is>
          <t>HALLANDS LÄN</t>
        </is>
      </c>
      <c r="E593" t="inlineStr">
        <is>
          <t>KUNGSBACKA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14296-2020</t>
        </is>
      </c>
      <c r="B594" s="1" t="n">
        <v>43907</v>
      </c>
      <c r="C594" s="1" t="n">
        <v>45827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14520-2020</t>
        </is>
      </c>
      <c r="B595" s="1" t="n">
        <v>43908</v>
      </c>
      <c r="C595" s="1" t="n">
        <v>45827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14550-2020</t>
        </is>
      </c>
      <c r="B596" s="1" t="n">
        <v>43908</v>
      </c>
      <c r="C596" s="1" t="n">
        <v>45827</v>
      </c>
      <c r="D596" t="inlineStr">
        <is>
          <t>HALLANDS LÄN</t>
        </is>
      </c>
      <c r="E596" t="inlineStr">
        <is>
          <t>FALKENBERG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14474-2020</t>
        </is>
      </c>
      <c r="B597" s="1" t="n">
        <v>43908</v>
      </c>
      <c r="C597" s="1" t="n">
        <v>45827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14523-2020</t>
        </is>
      </c>
      <c r="B598" s="1" t="n">
        <v>43908</v>
      </c>
      <c r="C598" s="1" t="n">
        <v>45827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16582-2020</t>
        </is>
      </c>
      <c r="B599" s="1" t="n">
        <v>43909</v>
      </c>
      <c r="C599" s="1" t="n">
        <v>45827</v>
      </c>
      <c r="D599" t="inlineStr">
        <is>
          <t>HALLANDS LÄN</t>
        </is>
      </c>
      <c r="E599" t="inlineStr">
        <is>
          <t>HALMSTAD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15160-2020</t>
        </is>
      </c>
      <c r="B600" s="1" t="n">
        <v>43912</v>
      </c>
      <c r="C600" s="1" t="n">
        <v>45827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15299-2020</t>
        </is>
      </c>
      <c r="B601" s="1" t="n">
        <v>43913</v>
      </c>
      <c r="C601" s="1" t="n">
        <v>45827</v>
      </c>
      <c r="D601" t="inlineStr">
        <is>
          <t>HALLANDS LÄN</t>
        </is>
      </c>
      <c r="E601" t="inlineStr">
        <is>
          <t>LAHOLM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15227-2020</t>
        </is>
      </c>
      <c r="B602" s="1" t="n">
        <v>43913</v>
      </c>
      <c r="C602" s="1" t="n">
        <v>45827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15418-2020</t>
        </is>
      </c>
      <c r="B603" s="1" t="n">
        <v>43914</v>
      </c>
      <c r="C603" s="1" t="n">
        <v>45827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15417-2020</t>
        </is>
      </c>
      <c r="B604" s="1" t="n">
        <v>43914</v>
      </c>
      <c r="C604" s="1" t="n">
        <v>45827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17557-2020</t>
        </is>
      </c>
      <c r="B605" s="1" t="n">
        <v>43914</v>
      </c>
      <c r="C605" s="1" t="n">
        <v>45827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15707-2020</t>
        </is>
      </c>
      <c r="B606" s="1" t="n">
        <v>43915</v>
      </c>
      <c r="C606" s="1" t="n">
        <v>45827</v>
      </c>
      <c r="D606" t="inlineStr">
        <is>
          <t>HALLANDS LÄN</t>
        </is>
      </c>
      <c r="E606" t="inlineStr">
        <is>
          <t>FALKENBERG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15902-2020</t>
        </is>
      </c>
      <c r="B607" s="1" t="n">
        <v>43916</v>
      </c>
      <c r="C607" s="1" t="n">
        <v>45827</v>
      </c>
      <c r="D607" t="inlineStr">
        <is>
          <t>HALLANDS LÄN</t>
        </is>
      </c>
      <c r="E607" t="inlineStr">
        <is>
          <t>FALKENBERG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16103-2020</t>
        </is>
      </c>
      <c r="B608" s="1" t="n">
        <v>43916</v>
      </c>
      <c r="C608" s="1" t="n">
        <v>45827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15905-2020</t>
        </is>
      </c>
      <c r="B609" s="1" t="n">
        <v>43916</v>
      </c>
      <c r="C609" s="1" t="n">
        <v>45827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17367-2020</t>
        </is>
      </c>
      <c r="B610" s="1" t="n">
        <v>43916</v>
      </c>
      <c r="C610" s="1" t="n">
        <v>45827</v>
      </c>
      <c r="D610" t="inlineStr">
        <is>
          <t>HALLANDS LÄN</t>
        </is>
      </c>
      <c r="E610" t="inlineStr">
        <is>
          <t>HYLTE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16029-2020</t>
        </is>
      </c>
      <c r="B611" s="1" t="n">
        <v>43916</v>
      </c>
      <c r="C611" s="1" t="n">
        <v>45827</v>
      </c>
      <c r="D611" t="inlineStr">
        <is>
          <t>HALLANDS LÄN</t>
        </is>
      </c>
      <c r="E611" t="inlineStr">
        <is>
          <t>HALMSTAD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17364-2020</t>
        </is>
      </c>
      <c r="B612" s="1" t="n">
        <v>43916</v>
      </c>
      <c r="C612" s="1" t="n">
        <v>45827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16250-2020</t>
        </is>
      </c>
      <c r="B613" s="1" t="n">
        <v>43917</v>
      </c>
      <c r="C613" s="1" t="n">
        <v>45827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17808-2020</t>
        </is>
      </c>
      <c r="B614" s="1" t="n">
        <v>43917</v>
      </c>
      <c r="C614" s="1" t="n">
        <v>45827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16405-2020</t>
        </is>
      </c>
      <c r="B615" s="1" t="n">
        <v>43918</v>
      </c>
      <c r="C615" s="1" t="n">
        <v>45827</v>
      </c>
      <c r="D615" t="inlineStr">
        <is>
          <t>HALLANDS LÄN</t>
        </is>
      </c>
      <c r="E615" t="inlineStr">
        <is>
          <t>LAHOLM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16406-2020</t>
        </is>
      </c>
      <c r="B616" s="1" t="n">
        <v>43918</v>
      </c>
      <c r="C616" s="1" t="n">
        <v>45827</v>
      </c>
      <c r="D616" t="inlineStr">
        <is>
          <t>HALLANDS LÄN</t>
        </is>
      </c>
      <c r="E616" t="inlineStr">
        <is>
          <t>LAHOLM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16612-2020</t>
        </is>
      </c>
      <c r="B617" s="1" t="n">
        <v>43920</v>
      </c>
      <c r="C617" s="1" t="n">
        <v>45827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16632-2020</t>
        </is>
      </c>
      <c r="B618" s="1" t="n">
        <v>43920</v>
      </c>
      <c r="C618" s="1" t="n">
        <v>45827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17819-2020</t>
        </is>
      </c>
      <c r="B619" s="1" t="n">
        <v>43920</v>
      </c>
      <c r="C619" s="1" t="n">
        <v>45827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16959-2020</t>
        </is>
      </c>
      <c r="B620" s="1" t="n">
        <v>43921</v>
      </c>
      <c r="C620" s="1" t="n">
        <v>45827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17057-2020</t>
        </is>
      </c>
      <c r="B621" s="1" t="n">
        <v>43921</v>
      </c>
      <c r="C621" s="1" t="n">
        <v>45827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16902-2020</t>
        </is>
      </c>
      <c r="B622" s="1" t="n">
        <v>43921</v>
      </c>
      <c r="C622" s="1" t="n">
        <v>45827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17323-2020</t>
        </is>
      </c>
      <c r="B623" s="1" t="n">
        <v>43922</v>
      </c>
      <c r="C623" s="1" t="n">
        <v>45827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17283-2020</t>
        </is>
      </c>
      <c r="B624" s="1" t="n">
        <v>43922</v>
      </c>
      <c r="C624" s="1" t="n">
        <v>45827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17280-2020</t>
        </is>
      </c>
      <c r="B625" s="1" t="n">
        <v>43922</v>
      </c>
      <c r="C625" s="1" t="n">
        <v>45827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17324-2020</t>
        </is>
      </c>
      <c r="B626" s="1" t="n">
        <v>43922</v>
      </c>
      <c r="C626" s="1" t="n">
        <v>45827</v>
      </c>
      <c r="D626" t="inlineStr">
        <is>
          <t>HALLANDS LÄN</t>
        </is>
      </c>
      <c r="E626" t="inlineStr">
        <is>
          <t>VARBERG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17258-2020</t>
        </is>
      </c>
      <c r="B627" s="1" t="n">
        <v>43922</v>
      </c>
      <c r="C627" s="1" t="n">
        <v>45827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17724-2020</t>
        </is>
      </c>
      <c r="B628" s="1" t="n">
        <v>43924</v>
      </c>
      <c r="C628" s="1" t="n">
        <v>45827</v>
      </c>
      <c r="D628" t="inlineStr">
        <is>
          <t>HALLANDS LÄN</t>
        </is>
      </c>
      <c r="E628" t="inlineStr">
        <is>
          <t>HALMSTAD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17725-2020</t>
        </is>
      </c>
      <c r="B629" s="1" t="n">
        <v>43924</v>
      </c>
      <c r="C629" s="1" t="n">
        <v>45827</v>
      </c>
      <c r="D629" t="inlineStr">
        <is>
          <t>HALLANDS LÄN</t>
        </is>
      </c>
      <c r="E629" t="inlineStr">
        <is>
          <t>HALMSTAD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18125-2020</t>
        </is>
      </c>
      <c r="B630" s="1" t="n">
        <v>43927</v>
      </c>
      <c r="C630" s="1" t="n">
        <v>45827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18100-2020</t>
        </is>
      </c>
      <c r="B631" s="1" t="n">
        <v>43927</v>
      </c>
      <c r="C631" s="1" t="n">
        <v>45827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18328-2020</t>
        </is>
      </c>
      <c r="B632" s="1" t="n">
        <v>43928</v>
      </c>
      <c r="C632" s="1" t="n">
        <v>45827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18321-2020</t>
        </is>
      </c>
      <c r="B633" s="1" t="n">
        <v>43928</v>
      </c>
      <c r="C633" s="1" t="n">
        <v>45827</v>
      </c>
      <c r="D633" t="inlineStr">
        <is>
          <t>HALLANDS LÄN</t>
        </is>
      </c>
      <c r="E633" t="inlineStr">
        <is>
          <t>KUNGSBACKA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18400-2020</t>
        </is>
      </c>
      <c r="B634" s="1" t="n">
        <v>43928</v>
      </c>
      <c r="C634" s="1" t="n">
        <v>45827</v>
      </c>
      <c r="D634" t="inlineStr">
        <is>
          <t>HALLANDS LÄN</t>
        </is>
      </c>
      <c r="E634" t="inlineStr">
        <is>
          <t>LAHOLM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18599-2020</t>
        </is>
      </c>
      <c r="B635" s="1" t="n">
        <v>43929</v>
      </c>
      <c r="C635" s="1" t="n">
        <v>45827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18454-2020</t>
        </is>
      </c>
      <c r="B636" s="1" t="n">
        <v>43929</v>
      </c>
      <c r="C636" s="1" t="n">
        <v>45827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18621-2020</t>
        </is>
      </c>
      <c r="B637" s="1" t="n">
        <v>43930</v>
      </c>
      <c r="C637" s="1" t="n">
        <v>45827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19060-2020</t>
        </is>
      </c>
      <c r="B638" s="1" t="n">
        <v>43936</v>
      </c>
      <c r="C638" s="1" t="n">
        <v>45827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19082-2020</t>
        </is>
      </c>
      <c r="B639" s="1" t="n">
        <v>43936</v>
      </c>
      <c r="C639" s="1" t="n">
        <v>45827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19237-2020</t>
        </is>
      </c>
      <c r="B640" s="1" t="n">
        <v>43937</v>
      </c>
      <c r="C640" s="1" t="n">
        <v>45827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19209-2020</t>
        </is>
      </c>
      <c r="B641" s="1" t="n">
        <v>43937</v>
      </c>
      <c r="C641" s="1" t="n">
        <v>45827</v>
      </c>
      <c r="D641" t="inlineStr">
        <is>
          <t>HALLANDS LÄN</t>
        </is>
      </c>
      <c r="E641" t="inlineStr">
        <is>
          <t>HALMSTAD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19235-2020</t>
        </is>
      </c>
      <c r="B642" s="1" t="n">
        <v>43937</v>
      </c>
      <c r="C642" s="1" t="n">
        <v>45827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19331-2020</t>
        </is>
      </c>
      <c r="B643" s="1" t="n">
        <v>43937</v>
      </c>
      <c r="C643" s="1" t="n">
        <v>45827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19879-2020</t>
        </is>
      </c>
      <c r="B644" s="1" t="n">
        <v>43941</v>
      </c>
      <c r="C644" s="1" t="n">
        <v>45827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19756-2020</t>
        </is>
      </c>
      <c r="B645" s="1" t="n">
        <v>43942</v>
      </c>
      <c r="C645" s="1" t="n">
        <v>45827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19737-2020</t>
        </is>
      </c>
      <c r="B646" s="1" t="n">
        <v>43942</v>
      </c>
      <c r="C646" s="1" t="n">
        <v>45827</v>
      </c>
      <c r="D646" t="inlineStr">
        <is>
          <t>HALLANDS LÄN</t>
        </is>
      </c>
      <c r="E646" t="inlineStr">
        <is>
          <t>HALMSTAD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19739-2020</t>
        </is>
      </c>
      <c r="B647" s="1" t="n">
        <v>43942</v>
      </c>
      <c r="C647" s="1" t="n">
        <v>45827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19762-2020</t>
        </is>
      </c>
      <c r="B648" s="1" t="n">
        <v>43942</v>
      </c>
      <c r="C648" s="1" t="n">
        <v>45827</v>
      </c>
      <c r="D648" t="inlineStr">
        <is>
          <t>HALLANDS LÄN</t>
        </is>
      </c>
      <c r="E648" t="inlineStr">
        <is>
          <t>FALKENBERG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20053-2020</t>
        </is>
      </c>
      <c r="B649" s="1" t="n">
        <v>43943</v>
      </c>
      <c r="C649" s="1" t="n">
        <v>45827</v>
      </c>
      <c r="D649" t="inlineStr">
        <is>
          <t>HALLANDS LÄN</t>
        </is>
      </c>
      <c r="E649" t="inlineStr">
        <is>
          <t>HYLTE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20049-2020</t>
        </is>
      </c>
      <c r="B650" s="1" t="n">
        <v>43943</v>
      </c>
      <c r="C650" s="1" t="n">
        <v>45827</v>
      </c>
      <c r="D650" t="inlineStr">
        <is>
          <t>HALLANDS LÄN</t>
        </is>
      </c>
      <c r="E650" t="inlineStr">
        <is>
          <t>HYLTE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20188-2020</t>
        </is>
      </c>
      <c r="B651" s="1" t="n">
        <v>43944</v>
      </c>
      <c r="C651" s="1" t="n">
        <v>45827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20186-2020</t>
        </is>
      </c>
      <c r="B652" s="1" t="n">
        <v>43944</v>
      </c>
      <c r="C652" s="1" t="n">
        <v>45827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20180-2020</t>
        </is>
      </c>
      <c r="B653" s="1" t="n">
        <v>43944</v>
      </c>
      <c r="C653" s="1" t="n">
        <v>45827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20183-2020</t>
        </is>
      </c>
      <c r="B654" s="1" t="n">
        <v>43944</v>
      </c>
      <c r="C654" s="1" t="n">
        <v>45827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20208-2020</t>
        </is>
      </c>
      <c r="B655" s="1" t="n">
        <v>43944</v>
      </c>
      <c r="C655" s="1" t="n">
        <v>45827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20297-2020</t>
        </is>
      </c>
      <c r="B656" s="1" t="n">
        <v>43944</v>
      </c>
      <c r="C656" s="1" t="n">
        <v>45827</v>
      </c>
      <c r="D656" t="inlineStr">
        <is>
          <t>HALLANDS LÄN</t>
        </is>
      </c>
      <c r="E656" t="inlineStr">
        <is>
          <t>HALMSTAD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20281-2020</t>
        </is>
      </c>
      <c r="B657" s="1" t="n">
        <v>43945</v>
      </c>
      <c r="C657" s="1" t="n">
        <v>45827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20457-2020</t>
        </is>
      </c>
      <c r="B658" s="1" t="n">
        <v>43948</v>
      </c>
      <c r="C658" s="1" t="n">
        <v>45827</v>
      </c>
      <c r="D658" t="inlineStr">
        <is>
          <t>HALLANDS LÄN</t>
        </is>
      </c>
      <c r="E658" t="inlineStr">
        <is>
          <t>HALMSTAD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20589-2020</t>
        </is>
      </c>
      <c r="B659" s="1" t="n">
        <v>43948</v>
      </c>
      <c r="C659" s="1" t="n">
        <v>45827</v>
      </c>
      <c r="D659" t="inlineStr">
        <is>
          <t>HALLANDS LÄN</t>
        </is>
      </c>
      <c r="E659" t="inlineStr">
        <is>
          <t>VARBERG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20588-2020</t>
        </is>
      </c>
      <c r="B660" s="1" t="n">
        <v>43948</v>
      </c>
      <c r="C660" s="1" t="n">
        <v>45827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20717-2020</t>
        </is>
      </c>
      <c r="B661" s="1" t="n">
        <v>43949</v>
      </c>
      <c r="C661" s="1" t="n">
        <v>45827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20637-2020</t>
        </is>
      </c>
      <c r="B662" s="1" t="n">
        <v>43949</v>
      </c>
      <c r="C662" s="1" t="n">
        <v>45827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20777-2020</t>
        </is>
      </c>
      <c r="B663" s="1" t="n">
        <v>43949</v>
      </c>
      <c r="C663" s="1" t="n">
        <v>45827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20828-2020</t>
        </is>
      </c>
      <c r="B664" s="1" t="n">
        <v>43949</v>
      </c>
      <c r="C664" s="1" t="n">
        <v>45827</v>
      </c>
      <c r="D664" t="inlineStr">
        <is>
          <t>HALLANDS LÄN</t>
        </is>
      </c>
      <c r="E664" t="inlineStr">
        <is>
          <t>HALMSTAD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20896-2020</t>
        </is>
      </c>
      <c r="B665" s="1" t="n">
        <v>43950</v>
      </c>
      <c r="C665" s="1" t="n">
        <v>45827</v>
      </c>
      <c r="D665" t="inlineStr">
        <is>
          <t>HALLANDS LÄN</t>
        </is>
      </c>
      <c r="E665" t="inlineStr">
        <is>
          <t>HALMSTAD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21365-2020</t>
        </is>
      </c>
      <c r="B666" s="1" t="n">
        <v>43950</v>
      </c>
      <c r="C666" s="1" t="n">
        <v>45827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21190-2020</t>
        </is>
      </c>
      <c r="B667" s="1" t="n">
        <v>43951</v>
      </c>
      <c r="C667" s="1" t="n">
        <v>45827</v>
      </c>
      <c r="D667" t="inlineStr">
        <is>
          <t>HALLANDS LÄN</t>
        </is>
      </c>
      <c r="E667" t="inlineStr">
        <is>
          <t>LAHOLM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21831-2020</t>
        </is>
      </c>
      <c r="B668" s="1" t="n">
        <v>43955</v>
      </c>
      <c r="C668" s="1" t="n">
        <v>45827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21813-2020</t>
        </is>
      </c>
      <c r="B669" s="1" t="n">
        <v>43955</v>
      </c>
      <c r="C669" s="1" t="n">
        <v>45827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21441-2020</t>
        </is>
      </c>
      <c r="B670" s="1" t="n">
        <v>43956</v>
      </c>
      <c r="C670" s="1" t="n">
        <v>45827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21668-2020</t>
        </is>
      </c>
      <c r="B671" s="1" t="n">
        <v>43957</v>
      </c>
      <c r="C671" s="1" t="n">
        <v>45827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21665-2020</t>
        </is>
      </c>
      <c r="B672" s="1" t="n">
        <v>43957</v>
      </c>
      <c r="C672" s="1" t="n">
        <v>45827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21678-2020</t>
        </is>
      </c>
      <c r="B673" s="1" t="n">
        <v>43957</v>
      </c>
      <c r="C673" s="1" t="n">
        <v>45827</v>
      </c>
      <c r="D673" t="inlineStr">
        <is>
          <t>HALLANDS LÄN</t>
        </is>
      </c>
      <c r="E673" t="inlineStr">
        <is>
          <t>KUNGSBACKA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22073-2020</t>
        </is>
      </c>
      <c r="B674" s="1" t="n">
        <v>43959</v>
      </c>
      <c r="C674" s="1" t="n">
        <v>45827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22014-2020</t>
        </is>
      </c>
      <c r="B675" s="1" t="n">
        <v>43959</v>
      </c>
      <c r="C675" s="1" t="n">
        <v>45827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22813-2020</t>
        </is>
      </c>
      <c r="B676" s="1" t="n">
        <v>43963</v>
      </c>
      <c r="C676" s="1" t="n">
        <v>45827</v>
      </c>
      <c r="D676" t="inlineStr">
        <is>
          <t>HALLANDS LÄN</t>
        </is>
      </c>
      <c r="E676" t="inlineStr">
        <is>
          <t>LAHOLM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22639-2020</t>
        </is>
      </c>
      <c r="B677" s="1" t="n">
        <v>43963</v>
      </c>
      <c r="C677" s="1" t="n">
        <v>45827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22801-2020</t>
        </is>
      </c>
      <c r="B678" s="1" t="n">
        <v>43964</v>
      </c>
      <c r="C678" s="1" t="n">
        <v>45827</v>
      </c>
      <c r="D678" t="inlineStr">
        <is>
          <t>HALLANDS LÄN</t>
        </is>
      </c>
      <c r="E678" t="inlineStr">
        <is>
          <t>VARBERG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22764-2020</t>
        </is>
      </c>
      <c r="B679" s="1" t="n">
        <v>43964</v>
      </c>
      <c r="C679" s="1" t="n">
        <v>45827</v>
      </c>
      <c r="D679" t="inlineStr">
        <is>
          <t>HALLANDS LÄN</t>
        </is>
      </c>
      <c r="E679" t="inlineStr">
        <is>
          <t>VARBERG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23003-2020</t>
        </is>
      </c>
      <c r="B680" s="1" t="n">
        <v>43965</v>
      </c>
      <c r="C680" s="1" t="n">
        <v>45827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23091-2020</t>
        </is>
      </c>
      <c r="B681" s="1" t="n">
        <v>43965</v>
      </c>
      <c r="C681" s="1" t="n">
        <v>45827</v>
      </c>
      <c r="D681" t="inlineStr">
        <is>
          <t>HALLANDS LÄN</t>
        </is>
      </c>
      <c r="E681" t="inlineStr">
        <is>
          <t>LAHOLM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23017-2020</t>
        </is>
      </c>
      <c r="B682" s="1" t="n">
        <v>43965</v>
      </c>
      <c r="C682" s="1" t="n">
        <v>45827</v>
      </c>
      <c r="D682" t="inlineStr">
        <is>
          <t>HALLANDS LÄN</t>
        </is>
      </c>
      <c r="E682" t="inlineStr">
        <is>
          <t>LAHOLM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23189-2020</t>
        </is>
      </c>
      <c r="B683" s="1" t="n">
        <v>43966</v>
      </c>
      <c r="C683" s="1" t="n">
        <v>45827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23226-2020</t>
        </is>
      </c>
      <c r="B684" s="1" t="n">
        <v>43966</v>
      </c>
      <c r="C684" s="1" t="n">
        <v>45827</v>
      </c>
      <c r="D684" t="inlineStr">
        <is>
          <t>HALLANDS LÄN</t>
        </is>
      </c>
      <c r="E684" t="inlineStr">
        <is>
          <t>KUNGSBACKA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23488-2020</t>
        </is>
      </c>
      <c r="B685" s="1" t="n">
        <v>43969</v>
      </c>
      <c r="C685" s="1" t="n">
        <v>45827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23846-2020</t>
        </is>
      </c>
      <c r="B686" s="1" t="n">
        <v>43971</v>
      </c>
      <c r="C686" s="1" t="n">
        <v>45827</v>
      </c>
      <c r="D686" t="inlineStr">
        <is>
          <t>HALLANDS LÄN</t>
        </is>
      </c>
      <c r="E686" t="inlineStr">
        <is>
          <t>LAHOLM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23852-2020</t>
        </is>
      </c>
      <c r="B687" s="1" t="n">
        <v>43971</v>
      </c>
      <c r="C687" s="1" t="n">
        <v>45827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24545-2020</t>
        </is>
      </c>
      <c r="B688" s="1" t="n">
        <v>43977</v>
      </c>
      <c r="C688" s="1" t="n">
        <v>45827</v>
      </c>
      <c r="D688" t="inlineStr">
        <is>
          <t>HALLANDS LÄN</t>
        </is>
      </c>
      <c r="E688" t="inlineStr">
        <is>
          <t>HALMSTAD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24544-2020</t>
        </is>
      </c>
      <c r="B689" s="1" t="n">
        <v>43977</v>
      </c>
      <c r="C689" s="1" t="n">
        <v>45827</v>
      </c>
      <c r="D689" t="inlineStr">
        <is>
          <t>HALLANDS LÄN</t>
        </is>
      </c>
      <c r="E689" t="inlineStr">
        <is>
          <t>HALMSTAD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24631-2020</t>
        </is>
      </c>
      <c r="B690" s="1" t="n">
        <v>43977</v>
      </c>
      <c r="C690" s="1" t="n">
        <v>45827</v>
      </c>
      <c r="D690" t="inlineStr">
        <is>
          <t>HALLANDS LÄN</t>
        </is>
      </c>
      <c r="E690" t="inlineStr">
        <is>
          <t>KUNGSBACKA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24634-2020</t>
        </is>
      </c>
      <c r="B691" s="1" t="n">
        <v>43977</v>
      </c>
      <c r="C691" s="1" t="n">
        <v>45827</v>
      </c>
      <c r="D691" t="inlineStr">
        <is>
          <t>HALLANDS LÄN</t>
        </is>
      </c>
      <c r="E691" t="inlineStr">
        <is>
          <t>KUNGSBACKA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24745-2020</t>
        </is>
      </c>
      <c r="B692" s="1" t="n">
        <v>43978</v>
      </c>
      <c r="C692" s="1" t="n">
        <v>45827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24848-2020</t>
        </is>
      </c>
      <c r="B693" s="1" t="n">
        <v>43978</v>
      </c>
      <c r="C693" s="1" t="n">
        <v>45827</v>
      </c>
      <c r="D693" t="inlineStr">
        <is>
          <t>HALLANDS LÄN</t>
        </is>
      </c>
      <c r="E693" t="inlineStr">
        <is>
          <t>HALMSTAD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25077-2020</t>
        </is>
      </c>
      <c r="B694" s="1" t="n">
        <v>43978</v>
      </c>
      <c r="C694" s="1" t="n">
        <v>45827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24686-2020</t>
        </is>
      </c>
      <c r="B695" s="1" t="n">
        <v>43978</v>
      </c>
      <c r="C695" s="1" t="n">
        <v>45827</v>
      </c>
      <c r="D695" t="inlineStr">
        <is>
          <t>HALLANDS LÄN</t>
        </is>
      </c>
      <c r="E695" t="inlineStr">
        <is>
          <t>HALMSTAD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24717-2020</t>
        </is>
      </c>
      <c r="B696" s="1" t="n">
        <v>43978</v>
      </c>
      <c r="C696" s="1" t="n">
        <v>45827</v>
      </c>
      <c r="D696" t="inlineStr">
        <is>
          <t>HALLANDS LÄN</t>
        </is>
      </c>
      <c r="E696" t="inlineStr">
        <is>
          <t>FALKENBERG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45827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45827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45827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45827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45827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45827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45827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45827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45827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45827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45827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45827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45827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45827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45827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45827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45827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45827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45827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45827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45827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45827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45827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45827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45827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45827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45827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45827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45827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45827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45827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45827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45827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45827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45827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45827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45827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45827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45827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45827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45827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45827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45827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45827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45827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45827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45827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45827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45827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45827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45827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45827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45827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45827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45827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45827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45827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45827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45827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45827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45827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45827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45827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45827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45827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45827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45827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45827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45827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45827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45827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45827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45827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45827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45827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45827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45827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45827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45827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45827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45827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45827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45827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45827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45827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45827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45827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45827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45827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45827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45827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45827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45827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45827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45827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45827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45827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45827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45827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45827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45827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45827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45827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45827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45827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45827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45827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45827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45827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45827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45827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45827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45827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45827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45827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45827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45827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45827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45827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45827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45827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45827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45827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45827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45827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45827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45827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45827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45827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45827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45827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45827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45827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45827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45827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45827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45827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45827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45827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45827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45827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45827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45827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45827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45827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45827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45827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45827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45827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45827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45827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45827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45827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45827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45827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45827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45827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45827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45827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45827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45827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45827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45827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45827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45827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45827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45827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45827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45827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45827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45827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45827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45827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45827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45827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45827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45827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45827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45827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45827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45827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45827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45827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45827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45827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45827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45827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45827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45827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45827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45827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45827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45827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45827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45827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45827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45827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45827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45827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45827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45827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45827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45827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45827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45827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45827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45827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45827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45827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45827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45827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45827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45827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45827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45827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45827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45827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45827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45827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45827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45827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45827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45827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45827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45827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45827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45827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45827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45827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45827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45827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45827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45827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45827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45827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45827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45827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45827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45827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45827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45827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45827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45827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45827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45827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45827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45827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45827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45827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45827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45827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45827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45827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45827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45827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45827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45827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45827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45827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45827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45827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45827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45827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45827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45827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45827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45827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45827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45827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45827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45827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45827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45827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45827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45827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45827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45827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45827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45827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45827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45827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45827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45827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45827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45827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45827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45827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45827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45827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45827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45827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45827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45827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45827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45827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45827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45827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45827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45827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45827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45827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45827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45827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45827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45827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45827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45827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45827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45827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45827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45827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45827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45827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45827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45827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45827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45827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45827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45827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45827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45827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45827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45827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45827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45827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45827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45827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45827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45827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45827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45827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45827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45827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45827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45827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45827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45827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45827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45827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45827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45827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45827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45827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45827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45827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45827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45827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45827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45827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45827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45827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45827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45827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45827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45827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45827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45827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45827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45827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45827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45827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45827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45827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45827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45827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45827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45827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45827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45827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45827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45827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45827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45827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45827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45827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45827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45827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45827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45827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45827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45827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45827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45827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45827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45827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45827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45827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45827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45827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45827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45827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45827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45827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45827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45827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45827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45827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45827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45827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45827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45827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45827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45827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45827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45827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45827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45827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45827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45827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45827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45827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45827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45827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45827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45827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45827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45827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45827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45827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45827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45827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45827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45827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45827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45827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45827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45827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45827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45827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45827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45827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45827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45827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45827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45827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45827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45827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45827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45827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45827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45827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45827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45827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45827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45827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45827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45827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45827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45827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45827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45827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45827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45827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45827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45827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45827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45827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45827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45827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45827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45827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45827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45827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45827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45827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45827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45827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45827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45827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45827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45827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45827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45827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45827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45827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45827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45827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45827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45827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45827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45827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45827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45827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45827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45827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45827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45827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45827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45827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45827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45827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45827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45827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45827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45827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45827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45827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45827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45827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45827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45827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45827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45827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45827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45827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45827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45827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45827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45827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45827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45827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45827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45827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45827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45827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45827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45827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45827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45827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45827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45827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45827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45827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45827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45827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45827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45827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45827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45827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45827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45827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45827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45827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45827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45827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45827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45827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45827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45827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45827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45827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45827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45827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45827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45827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45827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45827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45827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45827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45827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45827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45827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45827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45827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45827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45827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45827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45827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45827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45827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45827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45827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45827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45827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45827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45827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45827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45827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45827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45827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45827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45827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45827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45827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45827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45827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45827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45827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45827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45827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45827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45827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45827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45827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45827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45827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45827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45827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45827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45827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45827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45827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45827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45827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45827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45827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45827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45827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45827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45827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45827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45827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45827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45827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45827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45827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45827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45827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45827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45827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45827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45827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45827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45827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45827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45827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45827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45827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45827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45827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45827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45827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45827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45827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45827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45827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45827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45827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45827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45827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45827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45827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45827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45827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45827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45827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45827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45827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45827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45827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45827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45827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45827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45827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45827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45827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45827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45827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45827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45827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45827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45827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45827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45827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45827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45827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45827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45827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45827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45827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45827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45827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45827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45827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45827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45827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45827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45827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45827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45827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45827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45827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45827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45827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45827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45827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45827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45827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45827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45827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45827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45827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45827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45827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45827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45827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45827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45827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45827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45827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45827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45827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45827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45827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45827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45827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45827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45827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45827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45827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45827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45827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45827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45827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45827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45827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45827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45827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45827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45827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45827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45827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45827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45827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45827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45827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45827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45827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45827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45827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45827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45827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45827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45827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45827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45827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45827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45827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45827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45827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45827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45827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45827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45827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45827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45827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45827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45827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45827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45827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45827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45827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45827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45827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45827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45827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45827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45827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45827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45827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45827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45827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45827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45827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45827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45827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45827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45827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45827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45827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45827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45827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45827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45827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45827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45827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45827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45827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45827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45827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45827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45827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45827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45827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45827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45827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45827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45827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45827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45827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45827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45827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45827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45827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45827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45827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45827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45827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45827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45827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45827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45827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45827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45827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45827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45827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45827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45827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45827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45827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45827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45827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45827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45827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45827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45827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45827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45827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45827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45827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45827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45827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45827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45827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45827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45827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45827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45827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45827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45827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45827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45827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45827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45827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45827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45827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45827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45827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45827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45827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45827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45827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45827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45827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45827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45827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45827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45827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45827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45827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45827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45827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45827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45827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45827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45827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45827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45827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45827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45827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45827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45827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45827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45827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45827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45827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45827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45827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45827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45827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45827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45827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45827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45827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45827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45827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45827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45827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45827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45827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45827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45827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45827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45827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45827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45827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45827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45827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45827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45827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45827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45827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45827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45827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45827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45827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45827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45827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45827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45827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45827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45827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45827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45827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45827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45827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45827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45827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45827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45827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45827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45827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45827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45827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45827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45827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45827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45827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45827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45827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45827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45827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45827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45827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45827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45827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45827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45827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45827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45827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45827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45827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45827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45827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45827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45827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45827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45827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45827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45827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45827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45827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45827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45827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45827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45827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45827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45827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45827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45827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45827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45827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45827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45827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45827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45827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45827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45827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45827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45827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45827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45827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45827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45827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45827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45827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45827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45827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45827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45827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45827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45827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45827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45827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45827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45827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45827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45827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45827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45827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45827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45827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45827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45827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45827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45827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45827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45827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45827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45827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45827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45827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45827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45827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45827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45827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45827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45827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45827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45827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45827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45827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45827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45827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45827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45827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45827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45827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45827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45827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45827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45827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45827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45827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45827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45827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45827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45827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45827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45827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45827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45827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45827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45827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45827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45827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45827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45827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45827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45827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45827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45827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45827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45827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45827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45827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45827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45827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45827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45827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45827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45827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45827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45827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45827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45827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45827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45827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45827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45827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45827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45827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45827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45827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45827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45827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45827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45827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45827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45827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45827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45827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45827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45827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45827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45827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45827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45827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45827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45827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45827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45827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45827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45827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45827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45827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45827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45827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45827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45827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45827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45827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45827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45827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45827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45827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45827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45827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45827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45827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45827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45827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45827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45827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45827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45827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45827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45827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45827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45827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45827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45827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45827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45827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45827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45827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45827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45827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45827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45827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45827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45827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45827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45827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45827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45827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45827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45827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45827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45827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45827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45827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45827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45827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45827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45827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45827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45827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45827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45827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45827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45827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45827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45827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45827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45827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45827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45827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45827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45827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45827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45827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45827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45827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45827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45827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45827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45827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45827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45827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45827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45827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45827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45827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45827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45827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45827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45827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45827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45827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45827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45827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45827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45827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45827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45827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45827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45827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45827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45827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45827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45827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45827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45827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45827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45827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45827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45827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45827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45827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45827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45827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45827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45827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45827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45827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45827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45827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45827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45827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45827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45827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45827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45827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45827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45827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45827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45827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45827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45827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45827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45827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45827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45827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45827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45827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45827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45827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45827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45827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45827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45827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45827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45827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45827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45827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45827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45827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45827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45827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45827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45827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45827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45827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45827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45827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45827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45827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45827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45827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45827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45827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45827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45827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45827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45827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45827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45827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45827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45827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45827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45827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45827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45827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45827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45827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45827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45827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45827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45827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45827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45827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45827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45827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45827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45827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45827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45827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45827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45827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45827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45827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45827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45827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45827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45827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45827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45827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45827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45827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45827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45827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45827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45827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45827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45827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45827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45827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45827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45827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45827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45827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45827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45827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45827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45827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45827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45827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45827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45827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45827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45827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45827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45827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45827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45827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45827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45827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45827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45827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45827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45827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45827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45827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45827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45827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45827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45827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45827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45827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45827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45827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45827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45827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45827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45827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45827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45827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45827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45827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45827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45827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45827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45827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45827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45827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45827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45827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45827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45827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45827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45827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45827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45827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45827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45827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45827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45827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45827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45827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45827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45827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45827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45827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45827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45827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45827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45827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45827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45827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45827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45827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45827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45827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45827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45827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45827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45827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45827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45827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45827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45827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45827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45827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45827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45827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45827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45827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45827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45827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45827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45827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45827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45827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45827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45827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45827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45827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45827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45827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45827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45827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45827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45827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45827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45827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45827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45827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45827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45827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45827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45827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45827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45827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45827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45827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45827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45827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45827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45827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45827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45827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45827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45827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45827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45827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45827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45827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45827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45827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45827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45827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45827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45827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45827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45827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45827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45827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45827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45827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45827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45827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45827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45827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45827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45827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45827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45827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45827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45827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45827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45827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45827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45827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45827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45827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45827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45827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45827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45827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45827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45827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45827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45827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45827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45827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45827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45827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45827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45827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45827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45827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45827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45827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45827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45827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45827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45827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45827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45827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45827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45827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45827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45827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45827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45827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45827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45827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45827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45827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45827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45827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45827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45827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45827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45827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45827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45827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45827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45827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45827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45827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45827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45827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45827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45827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45827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45827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45827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45827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45827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45827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45827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45827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45827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45827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45827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45827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45827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45827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45827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45827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45827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45827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45827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45827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45827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45827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45827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45827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45827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45827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45827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45827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45827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45827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45827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45827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45827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45827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45827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45827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45827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45827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45827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45827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45827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45827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45827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45827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45827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45827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45827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45827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45827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45827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45827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45827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45827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45827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45827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45827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45827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45827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45827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45827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45827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45827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45827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45827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45827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45827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45827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45827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45827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45827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45827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45827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45827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45827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45827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45827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45827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45827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45827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45827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45827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45827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45827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45827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45827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45827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45827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45827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45827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45827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45827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45827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45827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45827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45827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45827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45827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45827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45827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45827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45827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45827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45827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45827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45827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45827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45827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45827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45827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45827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45827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45827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45827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45827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45827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45827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45827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45827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45827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45827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45827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45827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45827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45827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45827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45827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45827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45827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45827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45827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45827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45827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45827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45827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45827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45827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45827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45827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45827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45827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45827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45827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45827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45827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45827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45827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45827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45827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45827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45827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45827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45827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45827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45827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45827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45827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45827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45827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45827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45827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45827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45827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45827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45827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45827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45827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45827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45827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45827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45827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45827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45827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45827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45827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45827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45827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45827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45827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45827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45827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45827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45827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45827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45827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45827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45827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45827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45827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45827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45827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45827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45827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45827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45827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45827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45827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45827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45827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45827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45827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45827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45827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45827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45827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45827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45827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45827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45827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45827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45827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45827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45827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45827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45827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45827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45827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45827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45827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45827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45827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45827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45827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45827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45827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45827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45827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45827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45827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45827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45827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45827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45827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45827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45827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45827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45827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45827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45827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45827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45827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45827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45827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45827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45827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45827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45827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45827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45827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45827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45827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45827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45827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45827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45827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45827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45827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45827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45827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45827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45827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45827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45827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45827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45827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45827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45827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45827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45827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45827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45827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45827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45827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45827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45827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45827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45827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45827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45827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45827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45827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45827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45827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45827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45827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45827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45827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45827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45827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45827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45827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45827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45827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45827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45827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45827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45827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45827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45827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45827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45827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45827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45827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45827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45827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45827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45827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45827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45827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45827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45827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45827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45827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45827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45827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45827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45827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45827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45827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45827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45827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45827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45827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45827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45827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45827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45827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45827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45827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45827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45827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45827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45827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45827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45827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45827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45827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45827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45827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45827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45827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45827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45827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45827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45827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45827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45827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45827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45827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45827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45827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45827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45827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45827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45827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45827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45827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45827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45827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45827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45827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45827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45827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45827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45827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45827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45827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45827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45827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45827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45827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45827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45827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45827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45827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45827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45827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45827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45827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45827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45827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45827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45827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45827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45827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45827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45827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45827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45827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45827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45827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45827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45827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45827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45827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45827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45827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45827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45827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45827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45827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45827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45827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45827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45827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45827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45827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45827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45827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45827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45827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45827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45827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45827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45827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45827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45827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45827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45827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45827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45827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45827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45827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45827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45827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45827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45827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45827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45827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45827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45827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45827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45827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45827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45827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45827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45827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45827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45827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45827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45827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45827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45827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45827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45827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45827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45827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45827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45827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45827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45827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45827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45827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45827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45827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45827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45827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45827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45827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45827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45827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45827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45827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45827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45827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45827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45827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45827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45827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45827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45827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45827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45827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45827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45827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45827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45827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45827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45827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45827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45827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45827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45827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45827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45827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45827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45827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45827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45827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45827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45827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45827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45827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45827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45827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45827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45827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45827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45827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45827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45827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45827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45827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45827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45827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45827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45827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45827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45827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45827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45827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45827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45827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45827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45827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45827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45827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45827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45827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45827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45827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45827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45827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45827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45827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45827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45827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45827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45827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45827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45827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45827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45827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45827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45827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45827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45827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45827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45827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45827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45827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45827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45827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45827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45827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45827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45827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45827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45827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45827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45827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45827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45827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45827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45827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45827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45827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45827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45827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45827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45827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45827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45827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45827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45827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45827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45827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45827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45827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45827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45827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45827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45827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45827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45827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45827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45827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45827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45827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45827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45827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45827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45827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45827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45827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45827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45827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45827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45827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45827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45827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45827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45827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45827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45827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45827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45827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45827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45827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45827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45827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45827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45827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45827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45827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45827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45827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45827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45827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45827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45827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45827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45827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45827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45827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45827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45827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45827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45827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45827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45827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45827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45827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45827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45827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45827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45827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45827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45827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45827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45827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45827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45827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45827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45827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45827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45827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45827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45827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45827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45827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45827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45827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45827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45827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45827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45827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45827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45827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45827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45827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45827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45827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45827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45827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45827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45827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45827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45827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45827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45827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45827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45827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45827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45827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45827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45827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45827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45827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45827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45827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45827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45827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45827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45827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45827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45827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45827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45827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45827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45827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45827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45827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45827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45827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45827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45827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45827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45827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45827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45827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45827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45827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45827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45827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45827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45827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45827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45827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45827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45827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45827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45827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45827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45827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45827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45827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45827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45827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45827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45827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45827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45827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45827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45827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45827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45827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45827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45827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45827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45827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45827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45827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45827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45827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45827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45827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45827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45827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45827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45827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45827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45827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45827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45827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45827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45827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45827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45827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45827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45827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45827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45827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45827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45827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45827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45827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45827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45827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45827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45827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45827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45827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45827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45827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45827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45827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45827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45827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45827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45827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45827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45827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45827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45827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45827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45827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45827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45827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45827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45827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45827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45827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45827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45827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45827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45827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45827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45827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45827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45827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45827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45827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45827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45827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45827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45827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45827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45827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45827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45827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45827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45827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45827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45827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45827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45827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45827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45827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45827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45827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45827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45827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45827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45827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45827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45827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45827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45827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45827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45827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45827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45827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45827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45827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45827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45827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45827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45827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45827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45827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45827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45827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45827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45827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45827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45827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45827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45827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45827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45827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45827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45827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45827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45827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45827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45827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45827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45827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45827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45827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45827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45827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45827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45827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45827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45827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45827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45827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45827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45827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45827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45827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45827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45827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45827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45827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45827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45827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45827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45827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45827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45827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45827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45827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45827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45827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45827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45827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45827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45827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45827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45827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45827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45827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45827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45827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45827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45827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45827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45827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45827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45827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45827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45827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45827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45827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45827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45827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45827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45827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45827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45827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45827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45827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45827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45827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45827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45827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45827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45827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45827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45827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45827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45827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45827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45827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45827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45827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45827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45827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45827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45827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45827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45827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45827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45827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45827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45827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45827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45827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45827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45827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45827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45827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45827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45827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45827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45827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45827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45827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45827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45827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45827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45827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45827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45827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45827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45827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45827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45827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45827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45827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45827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45827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45827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45827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45827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45827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45827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45827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45827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45827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45827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45827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45827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45827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45827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45827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45827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45827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45827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45827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45827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45827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45827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45827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45827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45827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45827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45827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45827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45827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45827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45827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45827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45827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45827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45827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45827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45827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45827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45827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45827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45827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45827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45827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45827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45827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45827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45827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45827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45827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45827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45827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45827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45827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45827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45827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45827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45827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45827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45827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45827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45827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45827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45827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45827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45827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45827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45827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45827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45827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45827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45827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45827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45827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45827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45827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45827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45827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45827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45827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45827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45827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45827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45827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45827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45827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45827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45827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45827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45827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45827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45827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45827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45827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45827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45827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45827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45827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45827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45827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45827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45827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45827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45827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45827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45827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45827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45827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45827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45827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45827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45827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45827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45827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45827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45827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45827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45827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45827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45827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45827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45827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45827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45827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45827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45827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45827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45827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45827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45827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45827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45827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45827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45827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45827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45827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45827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45827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45827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45827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45827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45827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45827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45827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45827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45827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45827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45827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45827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45827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45827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45827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45827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45827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45827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45827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45827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45827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45827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45827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45827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45827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45827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45827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45827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45827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45827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45827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45827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45827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45827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45827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45827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45827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45827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45827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45827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45827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45827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45827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45827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45827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45827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45827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45827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45827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45827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45827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45827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45827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45827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45827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45827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45827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45827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45827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45827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45827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45827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45827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45827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45827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45827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45827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45827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45827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45827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45827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45827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45827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45827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45827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45827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45827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45827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45827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45827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45827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45827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45827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45827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45827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45827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45827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45827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45827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45827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45827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45827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45827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45827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45827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45827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45827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45827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45827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45827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45827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45827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45827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45827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45827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45827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45827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45827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45827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45827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45827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45827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45827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45827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45827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45827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45827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45827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45827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45827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45827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45827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45827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45827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45827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45827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45827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45827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45827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45827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45827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45827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45827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45827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45827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45827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45827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45827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45827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45827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45827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45827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45827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45827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45827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45827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45827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45827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45827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45827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45827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45827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45827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45827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45827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45827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45827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45827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45827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45827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45827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45827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45827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45827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45827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45827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45827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45827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45827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45827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45827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45827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45827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45827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45827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45827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45827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45827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45827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45827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45827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45827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45827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45827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45827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45827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45827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45827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45827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45827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45827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45827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45827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45827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45827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45827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45827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45827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45827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45827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45827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45827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45827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45827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45827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45827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45827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45827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45827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45827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45827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45827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45827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45827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45827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45827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45827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45827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45827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45827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45827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45827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45827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45827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45827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45827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45827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45827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45827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45827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45827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45827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45827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45827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45827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45827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45827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45827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45827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45827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45827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45827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45827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45827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45827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45827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45827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45827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45827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45827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45827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45827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45827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45827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45827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45827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45827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45827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45827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45827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45827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45827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45827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45827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45827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45827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45827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45827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45827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45827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45827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45827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45827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45827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45827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45827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45827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45827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45827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45827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45827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45827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45827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45827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45827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45827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45827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45827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45827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45827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45827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45827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45827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45827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45827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45827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45827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45827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45827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45827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45827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45827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45827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45827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45827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45827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45827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45827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45827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45827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45827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45827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45827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45827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45827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45827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45827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45827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45827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45827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45827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45827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45827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45827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45827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45827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45827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45827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45827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45827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45827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45827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45827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45827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45827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45827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45827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45827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45827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45827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45827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45827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45827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45827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45827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45827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45827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45827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45827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45827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45827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45827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45827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45827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45827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45827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45827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45827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45827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45827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45827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45827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45827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45827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45827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45827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45827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45827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45827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45827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45827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45827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45827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45827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45827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45827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45827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45827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45827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45827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45827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45827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45827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45827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45827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45827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45827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45827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45827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45827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45827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45827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45827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45827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45827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45827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45827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45827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45827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45827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45827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45827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45827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45827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45827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45827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45827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45827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45827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45827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45827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45827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45827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45827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45827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45827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45827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45827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45827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45827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45827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45827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45827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45827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45827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45827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45827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45827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45827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45827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45827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45827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45827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45827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45827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45827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45827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45827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45827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45827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45827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45827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45827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45827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45827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45827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45827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45827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45827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45827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45827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45827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45827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45827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45827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45827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45827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45827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45827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45827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45827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45827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45827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45827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45827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45827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45827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45827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45827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45827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45827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45827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45827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45827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45827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45827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45827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45827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45827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45827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45827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45827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45827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45827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45827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45827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45827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45827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45827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45827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45827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45827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45827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45827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45827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45827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45827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45827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45827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45827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45827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45827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45827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45827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45827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45827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45827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45827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45827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45827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45827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45827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45827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45827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45827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45827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45827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45827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45827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45827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45827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45827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45827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45827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45827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45827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45827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45827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45827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45827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45827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45827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45827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45827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45827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45827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45827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45827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45827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45827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45827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45827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45827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45827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45827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45827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45827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45827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45827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45827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45827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45827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45827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45827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45827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45827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45827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45827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45827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45827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45827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45827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45827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45827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45827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45827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45827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45827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45827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45827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45827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45827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45827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45827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45827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45827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45827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45827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45827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45827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45827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45827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45827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45827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45827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45827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45827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45827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45827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45827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45827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45827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45827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45827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45827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45827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45827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45827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45827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45827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45827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45827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45827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45827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45827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45827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45827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45827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45827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45827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45827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45827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45827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45827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45827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45827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45827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45827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45827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45827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45827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45827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45827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45827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45827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45827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45827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45827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45827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45827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45827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45827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45827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45827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45827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45827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45827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45827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45827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45827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45827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45827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45827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45827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45827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45827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45827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45827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45827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45827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45827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45827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45827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45827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45827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45827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45827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45827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45827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45827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45827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45827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45827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45827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45827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45827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45827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45827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45827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45827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45827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45827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45827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45827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45827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45827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45827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45827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45827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45827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45827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45827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45827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45827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45827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45827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45827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45827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45827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45827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45827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45827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45827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45827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45827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45827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45827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45827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45827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45827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45827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45827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45827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45827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45827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45827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45827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45827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45827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45827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45827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45827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45827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45827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45827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45827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45827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45827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45827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45827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45827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45827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45827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45827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45827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45827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45827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45827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45827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45827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45827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45827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45827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45827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45827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45827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45827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45827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45827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45827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45827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45827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45827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45827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45827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45827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45827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45827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45827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45827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45827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45827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45827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45827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45827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45827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45827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45827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45827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45827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45827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45827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45827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45827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45827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45827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45827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45827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45827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45827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45827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45827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45827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45827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45827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45827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45827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45827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45827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45827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45827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45827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45827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45827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45827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45827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45827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45827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45827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45827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45827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45827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45827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45827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45827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45827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45827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45827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45827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45827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45827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45827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45827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45827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45827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45827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45827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45827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45827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45827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45827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45827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45827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45827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45827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45827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45827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45827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45827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45827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45827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45827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45827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45827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45827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45827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45827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45827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45827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45827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45827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45827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45827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45827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45827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45827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45827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45827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45827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45827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45827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45827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45827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45827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45827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45827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45827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45827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45827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45827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45827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45827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45827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45827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45827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45827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45827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45827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45827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45827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45827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45827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45827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45827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45827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45827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45827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45827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45827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45827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45827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45827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45827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45827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45827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45827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45827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45827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45827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45827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45827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45827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45827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45827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45827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45827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45827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45827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45827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45827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45827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45827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45827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45827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45827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45827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45827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45827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45827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45827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45827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45827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45827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45827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45827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45827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45827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45827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45827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45827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45827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45827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45827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45827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45827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45827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45827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45827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45827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45827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45827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45827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45827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45827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45827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45827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45827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45827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45827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45827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45827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45827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45827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45827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45827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45827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45827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45827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45827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45827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45827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45827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45827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45827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45827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45827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45827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45827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45827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45827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45827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45827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45827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45827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45827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45827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45827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45827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45827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45827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45827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45827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45827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45827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45827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45827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45827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45827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45827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45827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45827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45827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45827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45827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45827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45827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45827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45827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45827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45827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45827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45827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45827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45827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45827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45827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45827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45827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45827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45827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45827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45827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45827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45827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45827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45827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45827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45827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45827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45827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45827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45827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45827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45827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45827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45827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45827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45827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45827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45827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45827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45827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45827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45827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45827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45827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45827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45827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45827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45827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45827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45827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45827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45827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45827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45827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45827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45827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45827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45827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45827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45827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45827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45827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45827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45827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45827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45827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45827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45827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45827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45827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45827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45827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45827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45827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45827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45827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45827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45827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45827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45827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45827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45827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45827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45827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45827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45827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45827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45827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45827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45827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45827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45827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45827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45827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45827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45827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45827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45827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45827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45827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45827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45827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45827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45827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45827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45827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45827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45827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45827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45827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45827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45827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45827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45827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45827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45827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45827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45827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45827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45827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45827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45827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45827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45827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45827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45827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45827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45827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45827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45827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45827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45827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45827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45827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45827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45827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45827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45827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45827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45827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45827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45827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45827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45827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45827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45827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45827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45827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45827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45827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45827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45827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45827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45827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45827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45827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45827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45827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45827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45827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45827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45827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45827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45827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45827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45827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45827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45827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45827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45827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45827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45827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45827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45827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45827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45827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45827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45827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45827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45827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45827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45827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45827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45827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45827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45827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45827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45827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45827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45827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45827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45827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45827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45827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45827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45827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45827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45827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45827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45827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45827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45827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45827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45827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45827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45827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45827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45827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45827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45827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45827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45827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45827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45827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45827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45827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45827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45827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45827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45827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45827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45827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45827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45827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45827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45827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45827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45827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45827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45827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45827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45827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45827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45827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45827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45827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45827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45827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45827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45827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45827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45827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45827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45827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45827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45827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45827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45827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45827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45827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45827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45827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45827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45827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45827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45827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45827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45827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45827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45827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45827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45827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45827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45827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45827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45827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45827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45827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45827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45827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45827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45827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45827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45827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45827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45827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45827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45827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45827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45827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45827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45827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45827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45827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45827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45827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45827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45827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45827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45827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45827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45827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45827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45827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45827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45827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45827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45827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45827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45827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45827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45827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45827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45827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45827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45827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45827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45827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45827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45827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45827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45827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45827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45827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45827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45827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45827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45827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45827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45827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45827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45827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45827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45827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45827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45827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45827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45827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45827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45827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45827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45827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45827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45827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45827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45827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45827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45827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45827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45827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45827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45827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45827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45827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45827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45827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45827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45827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45827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45827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45827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45827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45827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45827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45827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45827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45827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45827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45827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45827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45827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45827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45827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45827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45827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45827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45827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45827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45827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45827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45827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45827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45827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45827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45827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45827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45827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45827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45827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45827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45827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45827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45827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45827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45827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45827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45827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45827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45827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45827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45827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45827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45827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45827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45827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45827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45827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45827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45827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45827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45827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45827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45827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45827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45827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45827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45827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45827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45827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45827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45827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45827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45827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45827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45827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45827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45827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45827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45827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45827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45827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45827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45827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45827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45827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45827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45827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45827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45827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45827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45827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45827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45827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45827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45827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45827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45827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45827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45827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45827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45827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45827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45827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45827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45827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45827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45827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45827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45827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45827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45827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45827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45827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45827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45827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45827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45827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45827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45827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45827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45827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45827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45827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45827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45827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45827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45827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45827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45827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45827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45827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45827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45827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45827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45827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45827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45827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45827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45827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45827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45827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45827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45827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45827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45827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45827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45827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45827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45827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45827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45827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45827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45827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45827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45827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45827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45827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45827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45827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45827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45827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45827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45827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45827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45827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45827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45827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45827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45827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45827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45827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45827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45827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45827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45827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45827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45827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45827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45827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45827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45827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45827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45827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45827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45827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45827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45827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45827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45827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45827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45827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45827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45827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45827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45827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45827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45827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45827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45827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45827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45827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45827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45827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45827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45827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45827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45827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45827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45827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45827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45827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45827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45827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45827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45827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45827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45827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45827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45827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45827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45827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45827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45827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45827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45827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45827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45827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45827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45827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45827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45827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45827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45827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45827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45827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45827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45827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45827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45827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45827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45827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45827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45827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45827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45827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45827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45827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45827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45827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45827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45827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45827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45827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45827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45827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45827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45827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45827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45827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45827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45827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45827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45827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45827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45827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45827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45827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45827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45827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45827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45827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45827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45827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45827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45827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45827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45827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45827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45827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45827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45827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45827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45827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45827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45827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45827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45827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45827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45827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45827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45827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45827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45827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45827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45827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45827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45827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45827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45827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45827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45827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45827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45827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45827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45827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45827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45827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45827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45827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45827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45827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45827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45827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45827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45827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45827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45827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45827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45827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45827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45827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45827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45827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45827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45827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45827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45827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45827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45827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45827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45827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45827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45827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45827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45827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45827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45827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45827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45827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45827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45827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45827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45827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45827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45827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45827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45827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45827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45827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45827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45827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45827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45827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45827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45827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45827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45827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45827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45827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45827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45827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45827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45827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45827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45827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45827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45827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45827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45827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45827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45827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45827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45827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45827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45827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45827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45827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45827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45827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45827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45827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45827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45827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45827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45827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45827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45827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45827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45827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45827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45827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45827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45827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45827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45827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45827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45827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45827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45827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45827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45827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45827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45827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45827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45827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45827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45827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45827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45827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45827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45827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45827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45827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45827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45827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45827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45827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45827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45827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45827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45827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45827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45827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45827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45827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45827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45827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45827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45827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45827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45827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45827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45827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45827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45827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45827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45827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45827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45827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45827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45827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45827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45827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45827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45827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45827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45827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45827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45827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45827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45827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45827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45827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45827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45827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45827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45827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45827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45827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45827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45827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45827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45827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45827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45827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45827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45827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45827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45827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45827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45827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45827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45827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45827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45827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45827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45827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45827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45827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45827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45827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45827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45827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45827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45827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45827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45827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45827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45827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45827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45827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45827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45827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45827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45827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45827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45827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45827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45827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45827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45827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45827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45827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45827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45827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45827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45827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45827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45827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45827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45827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45827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45827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45827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45827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45827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45827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45827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45827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45827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45827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45827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45827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45827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45827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45827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45827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45827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45827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45827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45827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45827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45827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45827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45827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45827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45827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45827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45827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45827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45827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45827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45827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45827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45827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45827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45827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45827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45827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45827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45827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45827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45827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45827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45827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45827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45827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45827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45827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45827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45827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45827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45827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45827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45827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45827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45827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45827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45827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45827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45827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45827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45827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45827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45827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45827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45827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45827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45827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45827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45827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45827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45827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45827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45827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45827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45827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45827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45827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45827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45827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45827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45827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45827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45827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45827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45827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45827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45827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45827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45827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45827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45827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45827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45827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45827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45827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45827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45827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45827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45827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45827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45827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45827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45827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45827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45827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45827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45827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45827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45827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45827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45827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45827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45827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45827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45827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45827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45827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45827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45827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45827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45827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45827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45827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45827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45827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45827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45827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45827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45827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45827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45827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45827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45827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45827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45827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45827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45827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45827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45827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45827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45827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45827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45827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45827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45827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45827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45827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45827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45827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45827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45827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45827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45827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45827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45827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45827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45827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45827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45827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45827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45827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45827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45827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45827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45827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45827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45827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45827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45827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45827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45827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45827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45827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45827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45827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45827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45827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45827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45827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45827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45827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45827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45827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45827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45827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45827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45827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45827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45827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45827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45827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45827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45827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45827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45827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45827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45827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45827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45827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45827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45827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45827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45827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45827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45827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45827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45827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45827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45827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45827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45827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45827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45827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45827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45827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45827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45827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45827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45827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45827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45827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45827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45827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45827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45827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45827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45827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45827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45827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45827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45827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45827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45827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45827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45827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45827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45827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45827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45827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45827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45827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45827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45827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45827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45827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45827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45827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45827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45827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45827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45827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45827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45827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45827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45827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45827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45827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45827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45827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45827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45827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45827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45827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45827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45827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45827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45827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45827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45827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45827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45827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45827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45827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45827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45827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45827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45827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45827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45827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45827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45827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45827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45827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45827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45827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45827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45827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45827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45827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45827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45827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45827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45827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45827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45827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45827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45827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45827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45827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45827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45827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45827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45827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45827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45827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45827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45827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45827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45827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23471-2025</t>
        </is>
      </c>
      <c r="B5385" s="1" t="n">
        <v>45792</v>
      </c>
      <c r="C5385" s="1" t="n">
        <v>45827</v>
      </c>
      <c r="D5385" t="inlineStr">
        <is>
          <t>HALLANDS LÄN</t>
        </is>
      </c>
      <c r="E5385" t="inlineStr">
        <is>
          <t>VARBERG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45827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23582-2025</t>
        </is>
      </c>
      <c r="B5387" s="1" t="n">
        <v>45792</v>
      </c>
      <c r="C5387" s="1" t="n">
        <v>45827</v>
      </c>
      <c r="D5387" t="inlineStr">
        <is>
          <t>HALLANDS LÄN</t>
        </is>
      </c>
      <c r="E5387" t="inlineStr">
        <is>
          <t>LAHOLM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45827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23785-2025</t>
        </is>
      </c>
      <c r="B5389" s="1" t="n">
        <v>45793</v>
      </c>
      <c r="C5389" s="1" t="n">
        <v>45827</v>
      </c>
      <c r="D5389" t="inlineStr">
        <is>
          <t>HALLANDS LÄN</t>
        </is>
      </c>
      <c r="E5389" t="inlineStr">
        <is>
          <t>HALMSTAD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23787-2025</t>
        </is>
      </c>
      <c r="B5390" s="1" t="n">
        <v>45793</v>
      </c>
      <c r="C5390" s="1" t="n">
        <v>45827</v>
      </c>
      <c r="D5390" t="inlineStr">
        <is>
          <t>HALLANDS LÄN</t>
        </is>
      </c>
      <c r="E5390" t="inlineStr">
        <is>
          <t>KUNGSBACKA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45827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45827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23927-2025</t>
        </is>
      </c>
      <c r="B5393" s="1" t="n">
        <v>45795</v>
      </c>
      <c r="C5393" s="1" t="n">
        <v>45827</v>
      </c>
      <c r="D5393" t="inlineStr">
        <is>
          <t>HALLANDS LÄN</t>
        </is>
      </c>
      <c r="E5393" t="inlineStr">
        <is>
          <t>FALKENBERG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24214-2025</t>
        </is>
      </c>
      <c r="B5394" s="1" t="n">
        <v>45797</v>
      </c>
      <c r="C5394" s="1" t="n">
        <v>45827</v>
      </c>
      <c r="D5394" t="inlineStr">
        <is>
          <t>HALLANDS LÄN</t>
        </is>
      </c>
      <c r="E5394" t="inlineStr">
        <is>
          <t>VARBERG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45827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24265-2025</t>
        </is>
      </c>
      <c r="B5396" s="1" t="n">
        <v>45797</v>
      </c>
      <c r="C5396" s="1" t="n">
        <v>45827</v>
      </c>
      <c r="D5396" t="inlineStr">
        <is>
          <t>HALLANDS LÄN</t>
        </is>
      </c>
      <c r="E5396" t="inlineStr">
        <is>
          <t>HALMSTAD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24919-2025</t>
        </is>
      </c>
      <c r="B5397" s="1" t="n">
        <v>45799</v>
      </c>
      <c r="C5397" s="1" t="n">
        <v>45827</v>
      </c>
      <c r="D5397" t="inlineStr">
        <is>
          <t>HALLANDS LÄN</t>
        </is>
      </c>
      <c r="E5397" t="inlineStr">
        <is>
          <t>HYLTE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25073-2025</t>
        </is>
      </c>
      <c r="B5398" s="1" t="n">
        <v>45799</v>
      </c>
      <c r="C5398" s="1" t="n">
        <v>45827</v>
      </c>
      <c r="D5398" t="inlineStr">
        <is>
          <t>HALLANDS LÄN</t>
        </is>
      </c>
      <c r="E5398" t="inlineStr">
        <is>
          <t>FALKENBERG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24990-2025</t>
        </is>
      </c>
      <c r="B5399" s="1" t="n">
        <v>45799</v>
      </c>
      <c r="C5399" s="1" t="n">
        <v>45827</v>
      </c>
      <c r="D5399" t="inlineStr">
        <is>
          <t>HALLANDS LÄN</t>
        </is>
      </c>
      <c r="E5399" t="inlineStr">
        <is>
          <t>LAHOLM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24887-2025</t>
        </is>
      </c>
      <c r="B5400" s="1" t="n">
        <v>45799</v>
      </c>
      <c r="C5400" s="1" t="n">
        <v>45827</v>
      </c>
      <c r="D5400" t="inlineStr">
        <is>
          <t>HALLANDS LÄN</t>
        </is>
      </c>
      <c r="E5400" t="inlineStr">
        <is>
          <t>FALKENBERG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25071-2025</t>
        </is>
      </c>
      <c r="B5401" s="1" t="n">
        <v>45799</v>
      </c>
      <c r="C5401" s="1" t="n">
        <v>45827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25072-2025</t>
        </is>
      </c>
      <c r="B5402" s="1" t="n">
        <v>45799</v>
      </c>
      <c r="C5402" s="1" t="n">
        <v>45827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25032-2025</t>
        </is>
      </c>
      <c r="B5403" s="1" t="n">
        <v>45799</v>
      </c>
      <c r="C5403" s="1" t="n">
        <v>45827</v>
      </c>
      <c r="D5403" t="inlineStr">
        <is>
          <t>HALLANDS LÄN</t>
        </is>
      </c>
      <c r="E5403" t="inlineStr">
        <is>
          <t>LAHOLM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24876-2025</t>
        </is>
      </c>
      <c r="B5404" s="1" t="n">
        <v>45799</v>
      </c>
      <c r="C5404" s="1" t="n">
        <v>45827</v>
      </c>
      <c r="D5404" t="inlineStr">
        <is>
          <t>HALLANDS LÄN</t>
        </is>
      </c>
      <c r="E5404" t="inlineStr">
        <is>
          <t>LAHOLM</t>
        </is>
      </c>
      <c r="F5404" t="inlineStr">
        <is>
          <t>Kyrkan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25269-2025</t>
        </is>
      </c>
      <c r="B5405" s="1" t="n">
        <v>45800</v>
      </c>
      <c r="C5405" s="1" t="n">
        <v>45827</v>
      </c>
      <c r="D5405" t="inlineStr">
        <is>
          <t>HALLANDS LÄN</t>
        </is>
      </c>
      <c r="E5405" t="inlineStr">
        <is>
          <t>KUNGSBACKA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25164-2025</t>
        </is>
      </c>
      <c r="B5406" s="1" t="n">
        <v>45800</v>
      </c>
      <c r="C5406" s="1" t="n">
        <v>45827</v>
      </c>
      <c r="D5406" t="inlineStr">
        <is>
          <t>HALLANDS LÄN</t>
        </is>
      </c>
      <c r="E5406" t="inlineStr">
        <is>
          <t>FALKENBERG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25129-2025</t>
        </is>
      </c>
      <c r="B5407" s="1" t="n">
        <v>45800</v>
      </c>
      <c r="C5407" s="1" t="n">
        <v>45827</v>
      </c>
      <c r="D5407" t="inlineStr">
        <is>
          <t>HALLANDS LÄN</t>
        </is>
      </c>
      <c r="E5407" t="inlineStr">
        <is>
          <t>FALKENBERG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25366-2025</t>
        </is>
      </c>
      <c r="B5408" s="1" t="n">
        <v>45800</v>
      </c>
      <c r="C5408" s="1" t="n">
        <v>45827</v>
      </c>
      <c r="D5408" t="inlineStr">
        <is>
          <t>HALLANDS LÄN</t>
        </is>
      </c>
      <c r="E5408" t="inlineStr">
        <is>
          <t>FALKENBERG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25349-2025</t>
        </is>
      </c>
      <c r="B5409" s="1" t="n">
        <v>45800</v>
      </c>
      <c r="C5409" s="1" t="n">
        <v>45827</v>
      </c>
      <c r="D5409" t="inlineStr">
        <is>
          <t>HALLANDS LÄN</t>
        </is>
      </c>
      <c r="E5409" t="inlineStr">
        <is>
          <t>HALMSTAD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25167-2025</t>
        </is>
      </c>
      <c r="B5410" s="1" t="n">
        <v>45800</v>
      </c>
      <c r="C5410" s="1" t="n">
        <v>45827</v>
      </c>
      <c r="D5410" t="inlineStr">
        <is>
          <t>HALLANDS LÄN</t>
        </is>
      </c>
      <c r="E5410" t="inlineStr">
        <is>
          <t>HYLTE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25106-2025</t>
        </is>
      </c>
      <c r="B5411" s="1" t="n">
        <v>45800</v>
      </c>
      <c r="C5411" s="1" t="n">
        <v>45827</v>
      </c>
      <c r="D5411" t="inlineStr">
        <is>
          <t>HALLANDS LÄN</t>
        </is>
      </c>
      <c r="E5411" t="inlineStr">
        <is>
          <t>HALMSTAD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25438-2025</t>
        </is>
      </c>
      <c r="B5412" s="1" t="n">
        <v>45801</v>
      </c>
      <c r="C5412" s="1" t="n">
        <v>45827</v>
      </c>
      <c r="D5412" t="inlineStr">
        <is>
          <t>HALLANDS LÄN</t>
        </is>
      </c>
      <c r="E5412" t="inlineStr">
        <is>
          <t>LAHOLM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45827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45827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45827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25805-2025</t>
        </is>
      </c>
      <c r="B5416" s="1" t="n">
        <v>45804</v>
      </c>
      <c r="C5416" s="1" t="n">
        <v>45827</v>
      </c>
      <c r="D5416" t="inlineStr">
        <is>
          <t>HALLANDS LÄN</t>
        </is>
      </c>
      <c r="E5416" t="inlineStr">
        <is>
          <t>VARBERG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25872-2025</t>
        </is>
      </c>
      <c r="B5417" s="1" t="n">
        <v>45804</v>
      </c>
      <c r="C5417" s="1" t="n">
        <v>45827</v>
      </c>
      <c r="D5417" t="inlineStr">
        <is>
          <t>HALLANDS LÄN</t>
        </is>
      </c>
      <c r="E5417" t="inlineStr">
        <is>
          <t>VARBERG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45827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26097-2025</t>
        </is>
      </c>
      <c r="B5419" s="1" t="n">
        <v>45805</v>
      </c>
      <c r="C5419" s="1" t="n">
        <v>45827</v>
      </c>
      <c r="D5419" t="inlineStr">
        <is>
          <t>HALLANDS LÄN</t>
        </is>
      </c>
      <c r="E5419" t="inlineStr">
        <is>
          <t>HALMSTAD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26102-2025</t>
        </is>
      </c>
      <c r="B5420" s="1" t="n">
        <v>45805</v>
      </c>
      <c r="C5420" s="1" t="n">
        <v>45827</v>
      </c>
      <c r="D5420" t="inlineStr">
        <is>
          <t>HALLANDS LÄN</t>
        </is>
      </c>
      <c r="E5420" t="inlineStr">
        <is>
          <t>HALMSTAD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26152-2025</t>
        </is>
      </c>
      <c r="B5421" s="1" t="n">
        <v>45805</v>
      </c>
      <c r="C5421" s="1" t="n">
        <v>45827</v>
      </c>
      <c r="D5421" t="inlineStr">
        <is>
          <t>HALLANDS LÄN</t>
        </is>
      </c>
      <c r="E5421" t="inlineStr">
        <is>
          <t>LAHOLM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26146-2025</t>
        </is>
      </c>
      <c r="B5422" s="1" t="n">
        <v>45805</v>
      </c>
      <c r="C5422" s="1" t="n">
        <v>45827</v>
      </c>
      <c r="D5422" t="inlineStr">
        <is>
          <t>HALLANDS LÄN</t>
        </is>
      </c>
      <c r="E5422" t="inlineStr">
        <is>
          <t>LAHOLM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26149-2025</t>
        </is>
      </c>
      <c r="B5423" s="1" t="n">
        <v>45805</v>
      </c>
      <c r="C5423" s="1" t="n">
        <v>45827</v>
      </c>
      <c r="D5423" t="inlineStr">
        <is>
          <t>HALLANDS LÄN</t>
        </is>
      </c>
      <c r="E5423" t="inlineStr">
        <is>
          <t>LAHOLM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26117-2025</t>
        </is>
      </c>
      <c r="B5424" s="1" t="n">
        <v>45805</v>
      </c>
      <c r="C5424" s="1" t="n">
        <v>45827</v>
      </c>
      <c r="D5424" t="inlineStr">
        <is>
          <t>HALLANDS LÄN</t>
        </is>
      </c>
      <c r="E5424" t="inlineStr">
        <is>
          <t>VARBERG</t>
        </is>
      </c>
      <c r="F5424" t="inlineStr">
        <is>
          <t>Kommuner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26359-2025</t>
        </is>
      </c>
      <c r="B5425" s="1" t="n">
        <v>45806</v>
      </c>
      <c r="C5425" s="1" t="n">
        <v>45827</v>
      </c>
      <c r="D5425" t="inlineStr">
        <is>
          <t>HALLANDS LÄN</t>
        </is>
      </c>
      <c r="E5425" t="inlineStr">
        <is>
          <t>HYLTE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26360-2025</t>
        </is>
      </c>
      <c r="B5426" s="1" t="n">
        <v>45806</v>
      </c>
      <c r="C5426" s="1" t="n">
        <v>45827</v>
      </c>
      <c r="D5426" t="inlineStr">
        <is>
          <t>HALLANDS LÄN</t>
        </is>
      </c>
      <c r="E5426" t="inlineStr">
        <is>
          <t>HYLTE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26885-2025</t>
        </is>
      </c>
      <c r="B5427" s="1" t="n">
        <v>45811</v>
      </c>
      <c r="C5427" s="1" t="n">
        <v>45827</v>
      </c>
      <c r="D5427" t="inlineStr">
        <is>
          <t>HALLANDS LÄN</t>
        </is>
      </c>
      <c r="E5427" t="inlineStr">
        <is>
          <t>HYLTE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26838-2025</t>
        </is>
      </c>
      <c r="B5428" s="1" t="n">
        <v>45810</v>
      </c>
      <c r="C5428" s="1" t="n">
        <v>45827</v>
      </c>
      <c r="D5428" t="inlineStr">
        <is>
          <t>HALLANDS LÄN</t>
        </is>
      </c>
      <c r="E5428" t="inlineStr">
        <is>
          <t>FALKENBERG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26866-2025</t>
        </is>
      </c>
      <c r="B5429" s="1" t="n">
        <v>45810</v>
      </c>
      <c r="C5429" s="1" t="n">
        <v>45827</v>
      </c>
      <c r="D5429" t="inlineStr">
        <is>
          <t>HALLANDS LÄN</t>
        </is>
      </c>
      <c r="E5429" t="inlineStr">
        <is>
          <t>KUNGSBACKA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26809-2025</t>
        </is>
      </c>
      <c r="B5430" s="1" t="n">
        <v>45810</v>
      </c>
      <c r="C5430" s="1" t="n">
        <v>45827</v>
      </c>
      <c r="D5430" t="inlineStr">
        <is>
          <t>HALLANDS LÄN</t>
        </is>
      </c>
      <c r="E5430" t="inlineStr">
        <is>
          <t>LAHOLM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27117-2025</t>
        </is>
      </c>
      <c r="B5431" s="1" t="n">
        <v>45811</v>
      </c>
      <c r="C5431" s="1" t="n">
        <v>45827</v>
      </c>
      <c r="D5431" t="inlineStr">
        <is>
          <t>HALLANDS LÄN</t>
        </is>
      </c>
      <c r="E5431" t="inlineStr">
        <is>
          <t>VARBERG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27036-2025</t>
        </is>
      </c>
      <c r="B5432" s="1" t="n">
        <v>45811</v>
      </c>
      <c r="C5432" s="1" t="n">
        <v>45827</v>
      </c>
      <c r="D5432" t="inlineStr">
        <is>
          <t>HALLANDS LÄN</t>
        </is>
      </c>
      <c r="E5432" t="inlineStr">
        <is>
          <t>FALKENBERG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26986-2025</t>
        </is>
      </c>
      <c r="B5433" s="1" t="n">
        <v>45811</v>
      </c>
      <c r="C5433" s="1" t="n">
        <v>45827</v>
      </c>
      <c r="D5433" t="inlineStr">
        <is>
          <t>HALLANDS LÄN</t>
        </is>
      </c>
      <c r="E5433" t="inlineStr">
        <is>
          <t>FALKENBERG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27297-2025</t>
        </is>
      </c>
      <c r="B5434" s="1" t="n">
        <v>45812</v>
      </c>
      <c r="C5434" s="1" t="n">
        <v>45827</v>
      </c>
      <c r="D5434" t="inlineStr">
        <is>
          <t>HALLANDS LÄN</t>
        </is>
      </c>
      <c r="E5434" t="inlineStr">
        <is>
          <t>LAHOLM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27179-2025</t>
        </is>
      </c>
      <c r="B5435" s="1" t="n">
        <v>45812</v>
      </c>
      <c r="C5435" s="1" t="n">
        <v>45827</v>
      </c>
      <c r="D5435" t="inlineStr">
        <is>
          <t>HALLANDS LÄN</t>
        </is>
      </c>
      <c r="E5435" t="inlineStr">
        <is>
          <t>LAHOLM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27276-2025</t>
        </is>
      </c>
      <c r="B5436" s="1" t="n">
        <v>45812</v>
      </c>
      <c r="C5436" s="1" t="n">
        <v>45827</v>
      </c>
      <c r="D5436" t="inlineStr">
        <is>
          <t>HALLANDS LÄN</t>
        </is>
      </c>
      <c r="E5436" t="inlineStr">
        <is>
          <t>HYLTE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27303-2025</t>
        </is>
      </c>
      <c r="B5437" s="1" t="n">
        <v>45812</v>
      </c>
      <c r="C5437" s="1" t="n">
        <v>45827</v>
      </c>
      <c r="D5437" t="inlineStr">
        <is>
          <t>HALLANDS LÄN</t>
        </is>
      </c>
      <c r="E5437" t="inlineStr">
        <is>
          <t>LAHOLM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45827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27238-2025</t>
        </is>
      </c>
      <c r="B5439" s="1" t="n">
        <v>45812</v>
      </c>
      <c r="C5439" s="1" t="n">
        <v>45827</v>
      </c>
      <c r="D5439" t="inlineStr">
        <is>
          <t>HALLANDS LÄN</t>
        </is>
      </c>
      <c r="E5439" t="inlineStr">
        <is>
          <t>HYLTE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27282-2025</t>
        </is>
      </c>
      <c r="B5440" s="1" t="n">
        <v>45812</v>
      </c>
      <c r="C5440" s="1" t="n">
        <v>45827</v>
      </c>
      <c r="D5440" t="inlineStr">
        <is>
          <t>HALLANDS LÄN</t>
        </is>
      </c>
      <c r="E5440" t="inlineStr">
        <is>
          <t>FALKENBERG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27405-2025</t>
        </is>
      </c>
      <c r="B5441" s="1" t="n">
        <v>45812</v>
      </c>
      <c r="C5441" s="1" t="n">
        <v>45827</v>
      </c>
      <c r="D5441" t="inlineStr">
        <is>
          <t>HALLANDS LÄN</t>
        </is>
      </c>
      <c r="E5441" t="inlineStr">
        <is>
          <t>HALMSTAD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27386-2025</t>
        </is>
      </c>
      <c r="B5442" s="1" t="n">
        <v>45812</v>
      </c>
      <c r="C5442" s="1" t="n">
        <v>45827</v>
      </c>
      <c r="D5442" t="inlineStr">
        <is>
          <t>HALLANDS LÄN</t>
        </is>
      </c>
      <c r="E5442" t="inlineStr">
        <is>
          <t>HALMSTAD</t>
        </is>
      </c>
      <c r="G5442" t="n">
        <v>8.5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27235-2025</t>
        </is>
      </c>
      <c r="B5443" s="1" t="n">
        <v>45812</v>
      </c>
      <c r="C5443" s="1" t="n">
        <v>45827</v>
      </c>
      <c r="D5443" t="inlineStr">
        <is>
          <t>HALLANDS LÄN</t>
        </is>
      </c>
      <c r="E5443" t="inlineStr">
        <is>
          <t>HYLTE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27244-2025</t>
        </is>
      </c>
      <c r="B5444" s="1" t="n">
        <v>45812</v>
      </c>
      <c r="C5444" s="1" t="n">
        <v>45827</v>
      </c>
      <c r="D5444" t="inlineStr">
        <is>
          <t>HALLANDS LÄN</t>
        </is>
      </c>
      <c r="E5444" t="inlineStr">
        <is>
          <t>HYLTE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27524-2025</t>
        </is>
      </c>
      <c r="B5445" s="1" t="n">
        <v>45813</v>
      </c>
      <c r="C5445" s="1" t="n">
        <v>45827</v>
      </c>
      <c r="D5445" t="inlineStr">
        <is>
          <t>HALLANDS LÄN</t>
        </is>
      </c>
      <c r="E5445" t="inlineStr">
        <is>
          <t>VARBERG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45827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27731-2025</t>
        </is>
      </c>
      <c r="B5447" s="1" t="n">
        <v>45814</v>
      </c>
      <c r="C5447" s="1" t="n">
        <v>45827</v>
      </c>
      <c r="D5447" t="inlineStr">
        <is>
          <t>HALLANDS LÄN</t>
        </is>
      </c>
      <c r="E5447" t="inlineStr">
        <is>
          <t>HALMSTAD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27729-2025</t>
        </is>
      </c>
      <c r="B5448" s="1" t="n">
        <v>45814</v>
      </c>
      <c r="C5448" s="1" t="n">
        <v>45827</v>
      </c>
      <c r="D5448" t="inlineStr">
        <is>
          <t>HALLANDS LÄN</t>
        </is>
      </c>
      <c r="E5448" t="inlineStr">
        <is>
          <t>HALMSTAD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45827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27975-2025</t>
        </is>
      </c>
      <c r="B5450" s="1" t="n">
        <v>45817</v>
      </c>
      <c r="C5450" s="1" t="n">
        <v>45827</v>
      </c>
      <c r="D5450" t="inlineStr">
        <is>
          <t>HALLANDS LÄN</t>
        </is>
      </c>
      <c r="E5450" t="inlineStr">
        <is>
          <t>KUNGSBACKA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27891-2025</t>
        </is>
      </c>
      <c r="B5451" s="1" t="n">
        <v>45817</v>
      </c>
      <c r="C5451" s="1" t="n">
        <v>45827</v>
      </c>
      <c r="D5451" t="inlineStr">
        <is>
          <t>HALLANDS LÄN</t>
        </is>
      </c>
      <c r="E5451" t="inlineStr">
        <is>
          <t>HYLTE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27977-2025</t>
        </is>
      </c>
      <c r="B5452" s="1" t="n">
        <v>45817</v>
      </c>
      <c r="C5452" s="1" t="n">
        <v>45827</v>
      </c>
      <c r="D5452" t="inlineStr">
        <is>
          <t>HALLANDS LÄN</t>
        </is>
      </c>
      <c r="E5452" t="inlineStr">
        <is>
          <t>KUNGSBACKA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28103-2025</t>
        </is>
      </c>
      <c r="B5453" s="1" t="n">
        <v>45817</v>
      </c>
      <c r="C5453" s="1" t="n">
        <v>45827</v>
      </c>
      <c r="D5453" t="inlineStr">
        <is>
          <t>HALLANDS LÄN</t>
        </is>
      </c>
      <c r="E5453" t="inlineStr">
        <is>
          <t>FALKENBERG</t>
        </is>
      </c>
      <c r="G5453" t="n">
        <v>3.9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28060-2025</t>
        </is>
      </c>
      <c r="B5454" s="1" t="n">
        <v>45817</v>
      </c>
      <c r="C5454" s="1" t="n">
        <v>45827</v>
      </c>
      <c r="D5454" t="inlineStr">
        <is>
          <t>HALLANDS LÄN</t>
        </is>
      </c>
      <c r="E5454" t="inlineStr">
        <is>
          <t>HYLTE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28068-2025</t>
        </is>
      </c>
      <c r="B5455" s="1" t="n">
        <v>45817</v>
      </c>
      <c r="C5455" s="1" t="n">
        <v>45827</v>
      </c>
      <c r="D5455" t="inlineStr">
        <is>
          <t>HALLANDS LÄN</t>
        </is>
      </c>
      <c r="E5455" t="inlineStr">
        <is>
          <t>HYLTE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27848-2025</t>
        </is>
      </c>
      <c r="B5456" s="1" t="n">
        <v>45817</v>
      </c>
      <c r="C5456" s="1" t="n">
        <v>45827</v>
      </c>
      <c r="D5456" t="inlineStr">
        <is>
          <t>HALLANDS LÄN</t>
        </is>
      </c>
      <c r="E5456" t="inlineStr">
        <is>
          <t>HALMSTAD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28108-2025</t>
        </is>
      </c>
      <c r="B5457" s="1" t="n">
        <v>45817</v>
      </c>
      <c r="C5457" s="1" t="n">
        <v>45827</v>
      </c>
      <c r="D5457" t="inlineStr">
        <is>
          <t>HALLANDS LÄN</t>
        </is>
      </c>
      <c r="E5457" t="inlineStr">
        <is>
          <t>LAHOLM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27883-2025</t>
        </is>
      </c>
      <c r="B5458" s="1" t="n">
        <v>45817</v>
      </c>
      <c r="C5458" s="1" t="n">
        <v>45827</v>
      </c>
      <c r="D5458" t="inlineStr">
        <is>
          <t>HALLANDS LÄN</t>
        </is>
      </c>
      <c r="E5458" t="inlineStr">
        <is>
          <t>FALKENBERG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28127-2025</t>
        </is>
      </c>
      <c r="B5459" s="1" t="n">
        <v>45818</v>
      </c>
      <c r="C5459" s="1" t="n">
        <v>45827</v>
      </c>
      <c r="D5459" t="inlineStr">
        <is>
          <t>HALLANDS LÄN</t>
        </is>
      </c>
      <c r="E5459" t="inlineStr">
        <is>
          <t>HALMSTAD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28129-2025</t>
        </is>
      </c>
      <c r="B5460" s="1" t="n">
        <v>45818</v>
      </c>
      <c r="C5460" s="1" t="n">
        <v>45827</v>
      </c>
      <c r="D5460" t="inlineStr">
        <is>
          <t>HALLANDS LÄN</t>
        </is>
      </c>
      <c r="E5460" t="inlineStr">
        <is>
          <t>LAHOLM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28243-2025</t>
        </is>
      </c>
      <c r="B5461" s="1" t="n">
        <v>45818</v>
      </c>
      <c r="C5461" s="1" t="n">
        <v>45827</v>
      </c>
      <c r="D5461" t="inlineStr">
        <is>
          <t>HALLANDS LÄN</t>
        </is>
      </c>
      <c r="E5461" t="inlineStr">
        <is>
          <t>HALMSTAD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45827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28331-2025</t>
        </is>
      </c>
      <c r="B5463" s="1" t="n">
        <v>45818</v>
      </c>
      <c r="C5463" s="1" t="n">
        <v>45827</v>
      </c>
      <c r="D5463" t="inlineStr">
        <is>
          <t>HALLANDS LÄN</t>
        </is>
      </c>
      <c r="E5463" t="inlineStr">
        <is>
          <t>KUNGSBACKA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28332-2025</t>
        </is>
      </c>
      <c r="B5464" s="1" t="n">
        <v>45818</v>
      </c>
      <c r="C5464" s="1" t="n">
        <v>45827</v>
      </c>
      <c r="D5464" t="inlineStr">
        <is>
          <t>HALLANDS LÄN</t>
        </is>
      </c>
      <c r="E5464" t="inlineStr">
        <is>
          <t>KUNGSBACKA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28643-2025</t>
        </is>
      </c>
      <c r="B5465" s="1" t="n">
        <v>45819</v>
      </c>
      <c r="C5465" s="1" t="n">
        <v>45827</v>
      </c>
      <c r="D5465" t="inlineStr">
        <is>
          <t>HALLANDS LÄN</t>
        </is>
      </c>
      <c r="E5465" t="inlineStr">
        <is>
          <t>VARBERG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28459-2025</t>
        </is>
      </c>
      <c r="B5466" s="1" t="n">
        <v>45819</v>
      </c>
      <c r="C5466" s="1" t="n">
        <v>45827</v>
      </c>
      <c r="D5466" t="inlineStr">
        <is>
          <t>HALLANDS LÄN</t>
        </is>
      </c>
      <c r="E5466" t="inlineStr">
        <is>
          <t>HALMSTAD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28564-2025</t>
        </is>
      </c>
      <c r="B5467" s="1" t="n">
        <v>45819</v>
      </c>
      <c r="C5467" s="1" t="n">
        <v>45827</v>
      </c>
      <c r="D5467" t="inlineStr">
        <is>
          <t>HALLANDS LÄN</t>
        </is>
      </c>
      <c r="E5467" t="inlineStr">
        <is>
          <t>HYLTE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28383-2025</t>
        </is>
      </c>
      <c r="B5468" s="1" t="n">
        <v>45819</v>
      </c>
      <c r="C5468" s="1" t="n">
        <v>45827</v>
      </c>
      <c r="D5468" t="inlineStr">
        <is>
          <t>HALLANDS LÄN</t>
        </is>
      </c>
      <c r="E5468" t="inlineStr">
        <is>
          <t>KUNGSBACKA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28881-2025</t>
        </is>
      </c>
      <c r="B5469" s="1" t="n">
        <v>45820</v>
      </c>
      <c r="C5469" s="1" t="n">
        <v>45827</v>
      </c>
      <c r="D5469" t="inlineStr">
        <is>
          <t>HALLANDS LÄN</t>
        </is>
      </c>
      <c r="E5469" t="inlineStr">
        <is>
          <t>HYLTE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28879-2025</t>
        </is>
      </c>
      <c r="B5470" s="1" t="n">
        <v>45820</v>
      </c>
      <c r="C5470" s="1" t="n">
        <v>45827</v>
      </c>
      <c r="D5470" t="inlineStr">
        <is>
          <t>HALLANDS LÄN</t>
        </is>
      </c>
      <c r="E5470" t="inlineStr">
        <is>
          <t>KUNGSBACKA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28900-2025</t>
        </is>
      </c>
      <c r="B5471" s="1" t="n">
        <v>45820</v>
      </c>
      <c r="C5471" s="1" t="n">
        <v>45827</v>
      </c>
      <c r="D5471" t="inlineStr">
        <is>
          <t>HALLANDS LÄN</t>
        </is>
      </c>
      <c r="E5471" t="inlineStr">
        <is>
          <t>KUNGSBACKA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29104-2025</t>
        </is>
      </c>
      <c r="B5472" s="1" t="n">
        <v>45821</v>
      </c>
      <c r="C5472" s="1" t="n">
        <v>45827</v>
      </c>
      <c r="D5472" t="inlineStr">
        <is>
          <t>HALLANDS LÄN</t>
        </is>
      </c>
      <c r="E5472" t="inlineStr">
        <is>
          <t>LAHOLM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29129-2025</t>
        </is>
      </c>
      <c r="B5473" s="1" t="n">
        <v>45821</v>
      </c>
      <c r="C5473" s="1" t="n">
        <v>45827</v>
      </c>
      <c r="D5473" t="inlineStr">
        <is>
          <t>HALLANDS LÄN</t>
        </is>
      </c>
      <c r="E5473" t="inlineStr">
        <is>
          <t>FALKENBERG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29316-2025</t>
        </is>
      </c>
      <c r="B5474" s="1" t="n">
        <v>45824</v>
      </c>
      <c r="C5474" s="1" t="n">
        <v>45827</v>
      </c>
      <c r="D5474" t="inlineStr">
        <is>
          <t>HALLANDS LÄN</t>
        </is>
      </c>
      <c r="E5474" t="inlineStr">
        <is>
          <t>HALMSTAD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29318-2025</t>
        </is>
      </c>
      <c r="B5475" s="1" t="n">
        <v>45824</v>
      </c>
      <c r="C5475" s="1" t="n">
        <v>45827</v>
      </c>
      <c r="D5475" t="inlineStr">
        <is>
          <t>HALLANDS LÄN</t>
        </is>
      </c>
      <c r="E5475" t="inlineStr">
        <is>
          <t>VARBERG</t>
        </is>
      </c>
      <c r="G5475" t="n">
        <v>5.1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29297-2025</t>
        </is>
      </c>
      <c r="B5476" s="1" t="n">
        <v>45824</v>
      </c>
      <c r="C5476" s="1" t="n">
        <v>45827</v>
      </c>
      <c r="D5476" t="inlineStr">
        <is>
          <t>HALLANDS LÄN</t>
        </is>
      </c>
      <c r="E5476" t="inlineStr">
        <is>
          <t>VARBERG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29349-2025</t>
        </is>
      </c>
      <c r="B5477" s="1" t="n">
        <v>45824</v>
      </c>
      <c r="C5477" s="1" t="n">
        <v>45827</v>
      </c>
      <c r="D5477" t="inlineStr">
        <is>
          <t>HALLANDS LÄN</t>
        </is>
      </c>
      <c r="E5477" t="inlineStr">
        <is>
          <t>LAHOLM</t>
        </is>
      </c>
      <c r="G5477" t="n">
        <v>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29302-2025</t>
        </is>
      </c>
      <c r="B5478" s="1" t="n">
        <v>45824</v>
      </c>
      <c r="C5478" s="1" t="n">
        <v>45827</v>
      </c>
      <c r="D5478" t="inlineStr">
        <is>
          <t>HALLANDS LÄN</t>
        </is>
      </c>
      <c r="E5478" t="inlineStr">
        <is>
          <t>HALMSTAD</t>
        </is>
      </c>
      <c r="G5478" t="n">
        <v>5.5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29364-2025</t>
        </is>
      </c>
      <c r="B5479" s="1" t="n">
        <v>45824</v>
      </c>
      <c r="C5479" s="1" t="n">
        <v>45827</v>
      </c>
      <c r="D5479" t="inlineStr">
        <is>
          <t>HALLANDS LÄN</t>
        </is>
      </c>
      <c r="E5479" t="inlineStr">
        <is>
          <t>VARBERG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29237-2025</t>
        </is>
      </c>
      <c r="B5480" s="1" t="n">
        <v>45824</v>
      </c>
      <c r="C5480" s="1" t="n">
        <v>45827</v>
      </c>
      <c r="D5480" t="inlineStr">
        <is>
          <t>HALLANDS LÄN</t>
        </is>
      </c>
      <c r="E5480" t="inlineStr">
        <is>
          <t>HYLTE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29710-2025</t>
        </is>
      </c>
      <c r="B5481" s="1" t="n">
        <v>45825</v>
      </c>
      <c r="C5481" s="1" t="n">
        <v>45827</v>
      </c>
      <c r="D5481" t="inlineStr">
        <is>
          <t>HALLANDS LÄN</t>
        </is>
      </c>
      <c r="E5481" t="inlineStr">
        <is>
          <t>HYLTE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29621-2025</t>
        </is>
      </c>
      <c r="B5482" s="1" t="n">
        <v>45825</v>
      </c>
      <c r="C5482" s="1" t="n">
        <v>45827</v>
      </c>
      <c r="D5482" t="inlineStr">
        <is>
          <t>HALLANDS LÄN</t>
        </is>
      </c>
      <c r="E5482" t="inlineStr">
        <is>
          <t>LAHOLM</t>
        </is>
      </c>
      <c r="G5482" t="n">
        <v>20.1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29630-2025</t>
        </is>
      </c>
      <c r="B5483" s="1" t="n">
        <v>45825</v>
      </c>
      <c r="C5483" s="1" t="n">
        <v>45827</v>
      </c>
      <c r="D5483" t="inlineStr">
        <is>
          <t>HALLANDS LÄN</t>
        </is>
      </c>
      <c r="E5483" t="inlineStr">
        <is>
          <t>VARBERG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29708-2025</t>
        </is>
      </c>
      <c r="B5484" s="1" t="n">
        <v>45825</v>
      </c>
      <c r="C5484" s="1" t="n">
        <v>45827</v>
      </c>
      <c r="D5484" t="inlineStr">
        <is>
          <t>HALLANDS LÄN</t>
        </is>
      </c>
      <c r="E5484" t="inlineStr">
        <is>
          <t>HYLTE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29713-2025</t>
        </is>
      </c>
      <c r="B5485" s="1" t="n">
        <v>45825</v>
      </c>
      <c r="C5485" s="1" t="n">
        <v>45827</v>
      </c>
      <c r="D5485" t="inlineStr">
        <is>
          <t>HALLANDS LÄN</t>
        </is>
      </c>
      <c r="E5485" t="inlineStr">
        <is>
          <t>HYLTE</t>
        </is>
      </c>
      <c r="G5485" t="n">
        <v>0.3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29705-2025</t>
        </is>
      </c>
      <c r="B5486" s="1" t="n">
        <v>45825</v>
      </c>
      <c r="C5486" s="1" t="n">
        <v>45827</v>
      </c>
      <c r="D5486" t="inlineStr">
        <is>
          <t>HALLANDS LÄN</t>
        </is>
      </c>
      <c r="E5486" t="inlineStr">
        <is>
          <t>HYLTE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29637-2025</t>
        </is>
      </c>
      <c r="B5487" s="1" t="n">
        <v>45825</v>
      </c>
      <c r="C5487" s="1" t="n">
        <v>45827</v>
      </c>
      <c r="D5487" t="inlineStr">
        <is>
          <t>HALLANDS LÄN</t>
        </is>
      </c>
      <c r="E5487" t="inlineStr">
        <is>
          <t>LAHOLM</t>
        </is>
      </c>
      <c r="G5487" t="n">
        <v>4.8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29634-2025</t>
        </is>
      </c>
      <c r="B5488" s="1" t="n">
        <v>45825</v>
      </c>
      <c r="C5488" s="1" t="n">
        <v>45827</v>
      </c>
      <c r="D5488" t="inlineStr">
        <is>
          <t>HALLANDS LÄN</t>
        </is>
      </c>
      <c r="E5488" t="inlineStr">
        <is>
          <t>VARBERG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29926-2025</t>
        </is>
      </c>
      <c r="B5489" s="1" t="n">
        <v>45826</v>
      </c>
      <c r="C5489" s="1" t="n">
        <v>45827</v>
      </c>
      <c r="D5489" t="inlineStr">
        <is>
          <t>HALLANDS LÄN</t>
        </is>
      </c>
      <c r="E5489" t="inlineStr">
        <is>
          <t>LAHOLM</t>
        </is>
      </c>
      <c r="G5489" t="n">
        <v>11.6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29936-2025</t>
        </is>
      </c>
      <c r="B5490" s="1" t="n">
        <v>45826</v>
      </c>
      <c r="C5490" s="1" t="n">
        <v>45827</v>
      </c>
      <c r="D5490" t="inlineStr">
        <is>
          <t>HALLANDS LÄN</t>
        </is>
      </c>
      <c r="E5490" t="inlineStr">
        <is>
          <t>HYLTE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29868-2025</t>
        </is>
      </c>
      <c r="B5491" s="1" t="n">
        <v>45826</v>
      </c>
      <c r="C5491" s="1" t="n">
        <v>45827</v>
      </c>
      <c r="D5491" t="inlineStr">
        <is>
          <t>HALLANDS LÄN</t>
        </is>
      </c>
      <c r="E5491" t="inlineStr">
        <is>
          <t>LAHOLM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30107-2025</t>
        </is>
      </c>
      <c r="B5492" s="1" t="n">
        <v>45826</v>
      </c>
      <c r="C5492" s="1" t="n">
        <v>45827</v>
      </c>
      <c r="D5492" t="inlineStr">
        <is>
          <t>HALLANDS LÄN</t>
        </is>
      </c>
      <c r="E5492" t="inlineStr">
        <is>
          <t>HALMSTAD</t>
        </is>
      </c>
      <c r="G5492" t="n">
        <v>3.9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29863-2025</t>
        </is>
      </c>
      <c r="B5493" s="1" t="n">
        <v>45826</v>
      </c>
      <c r="C5493" s="1" t="n">
        <v>45827</v>
      </c>
      <c r="D5493" t="inlineStr">
        <is>
          <t>HALLANDS LÄN</t>
        </is>
      </c>
      <c r="E5493" t="inlineStr">
        <is>
          <t>FALKENBERG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>
      <c r="A5494" t="inlineStr">
        <is>
          <t>A 29865-2025</t>
        </is>
      </c>
      <c r="B5494" s="1" t="n">
        <v>45826</v>
      </c>
      <c r="C5494" s="1" t="n">
        <v>45827</v>
      </c>
      <c r="D5494" t="inlineStr">
        <is>
          <t>HALLANDS LÄN</t>
        </is>
      </c>
      <c r="E5494" t="inlineStr">
        <is>
          <t>HALMSTAD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2025-06-19T19:07:48Z</dcterms:created>
  <dcterms:modified xmlns:dcterms="http://purl.org/dc/terms/" xmlns:xsi="http://www.w3.org/2001/XMLSchema-instance" xsi:type="dcterms:W3CDTF">2025-06-19T19:07:53Z</dcterms:modified>
</cp:coreProperties>
</file>