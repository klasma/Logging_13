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46265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A 33477-2026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46247</v>
      </c>
      <c r="E5" s="1" t="n">
        <v>46265</v>
      </c>
      <c r="F5" t="inlineStr">
        <is>
          <t>HALLANDS LÄN</t>
        </is>
      </c>
      <c r="G5" t="inlineStr">
        <is>
          <t>FALKENBERG</t>
        </is>
      </c>
      <c r="I5" t="n">
        <v>1.4</v>
      </c>
      <c r="J5" t="n">
        <v>3</v>
      </c>
      <c r="K5" t="n">
        <v>8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13</v>
      </c>
      <c r="T5" t="n">
        <v>18</v>
      </c>
      <c r="U5" t="n">
        <v>18</v>
      </c>
      <c r="V5" s="2" t="inlineStr">
        <is>
          <t>Ädelkronlav
Bokvårtlav
Entita
Barkkornlav
Bokfjädermossa
Fällmossa
Guldlockmossa
Havstulpanlav
Klippfrullania
Mussellav
Platt fjädermossa
Tofsmes
Äkta lopplummer</t>
        </is>
      </c>
      <c r="W5">
        <f>HYPERLINK("https://klasma.github.io/Logging_1382/artfynd/A 33477-2026 artfynd.xlsx", "A 33477-2026")</f>
        <v/>
      </c>
      <c r="X5">
        <f>HYPERLINK("https://klasma.github.io/Logging_1382/kartor/A 33477-2026 karta.png", "A 33477-2026")</f>
        <v/>
      </c>
      <c r="Y5">
        <f>HYPERLINK("https://klasma.github.io/Logging_1382/kartor_geotiff/A 33477-2026 georefererad karta.tif", "A 33477-2026")</f>
        <v/>
      </c>
      <c r="AA5">
        <f>HYPERLINK("https://klasma.github.io/Logging_1382/klagomål/A 33477-2026 FSC-klagomål.docx", "A 33477-2026")</f>
        <v/>
      </c>
      <c r="AB5">
        <f>HYPERLINK("https://klasma.github.io/Logging_1382/klagomålsmail/A 33477-2026 FSC-klagomål mail.docx", "A 33477-2026")</f>
        <v/>
      </c>
      <c r="AC5">
        <f>HYPERLINK("https://klasma.github.io/Logging_1382/tillsyn/A 33477-2026 tillsynsbegäran.docx", "A 33477-2026")</f>
        <v/>
      </c>
      <c r="AD5">
        <f>HYPERLINK("https://klasma.github.io/Logging_1382/tillsynsmail/A 33477-2026 tillsynsbegäran mail.docx", "A 33477-2026")</f>
        <v/>
      </c>
      <c r="AE5">
        <f>HYPERLINK("https://klasma.github.io/Logging_1382/fåglar/A 33477-2026 prioriterade fågelarter.docx", "A 33477-2026")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46265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46265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S 2202-2026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46255</v>
      </c>
      <c r="E9" s="1" t="n">
        <v>46265</v>
      </c>
      <c r="F9" t="inlineStr">
        <is>
          <t>HALLANDS LÄN</t>
        </is>
      </c>
      <c r="G9" t="inlineStr">
        <is>
          <t>FALKENBERG</t>
        </is>
      </c>
      <c r="I9" t="n">
        <v>1.4</v>
      </c>
      <c r="J9" t="n">
        <v>1</v>
      </c>
      <c r="K9" t="n">
        <v>7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10</v>
      </c>
      <c r="T9" t="n">
        <v>13</v>
      </c>
      <c r="U9" t="n">
        <v>12</v>
      </c>
      <c r="V9" s="2" t="inlineStr">
        <is>
          <t>Bokvårtlav
Koralltaggsvamp
Barkkornlav
Bokfjädermossa
Fällmossa
Guldlockmossa
Gulnål
Havstulpanlav
Platt fjädermossa
Äkta lopplummer</t>
        </is>
      </c>
      <c r="W9">
        <f>HYPERLINK("https://klasma.github.io/Logging_1382/artfynd/S 2202-2026 artfynd.xlsx", "S 2202-2026")</f>
        <v/>
      </c>
      <c r="X9">
        <f>HYPERLINK("https://klasma.github.io/Logging_1382/kartor/S 2202-2026 karta.png", "S 2202-2026")</f>
        <v/>
      </c>
      <c r="Y9">
        <f>HYPERLINK("https://klasma.github.io/Logging_1382/kartor_geotiff/S 2202-2026 georefererad karta.tif", "S 2202-2026")</f>
        <v/>
      </c>
      <c r="AA9">
        <f>HYPERLINK("https://klasma.github.io/Logging_1382/klagomål/S 2202-2026 FSC-klagomål.docx", "S 2202-2026")</f>
        <v/>
      </c>
      <c r="AB9">
        <f>HYPERLINK("https://klasma.github.io/Logging_1382/klagomålsmail/S 2202-2026 FSC-klagomål mail.docx", "S 2202-2026")</f>
        <v/>
      </c>
      <c r="AC9">
        <f>HYPERLINK("https://klasma.github.io/Logging_1382/tillsyn/S 2202-2026 tillsynsbegäran.docx", "S 2202-2026")</f>
        <v/>
      </c>
      <c r="AD9">
        <f>HYPERLINK("https://klasma.github.io/Logging_1382/tillsynsmail/S 2202-2026 tillsynsbegäran mail.docx", "S 2202-2026")</f>
        <v/>
      </c>
    </row>
    <row r="10" ht="15" customHeight="1">
      <c r="A10" t="inlineStr">
        <is>
          <t>A 5005-2022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4.1</v>
      </c>
      <c r="J10" t="n">
        <v>2</v>
      </c>
      <c r="K10" t="n">
        <v>5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18</v>
      </c>
      <c r="U10" t="n">
        <v>18</v>
      </c>
      <c r="V10" s="2" t="inlineStr">
        <is>
          <t>Vedlavklubba
Grynig filtlav
Blåsfliksmossa
Fällmossa
Jättesvampmal
Klippfrullania
Stubbspretmossa
Spillkråka
Gröngöling</t>
        </is>
      </c>
      <c r="W10">
        <f>HYPERLINK("https://klasma.github.io/Logging_1382/artfynd/A 5005-2022 artfynd.xlsx", "A 5005-2022")</f>
        <v/>
      </c>
      <c r="X10">
        <f>HYPERLINK("https://klasma.github.io/Logging_1382/kartor/A 5005-2022 karta.png", "A 5005-2022")</f>
        <v/>
      </c>
      <c r="Y10">
        <f>HYPERLINK("https://klasma.github.io/Logging_1382/kartor_geotiff/A 5005-2022 georefererad karta.tif", "A 5005-2022")</f>
        <v/>
      </c>
      <c r="AA10">
        <f>HYPERLINK("https://klasma.github.io/Logging_1382/klagomål/A 5005-2022 FSC-klagomål.docx", "A 5005-2022")</f>
        <v/>
      </c>
      <c r="AB10">
        <f>HYPERLINK("https://klasma.github.io/Logging_1382/klagomålsmail/A 5005-2022 FSC-klagomål mail.docx", "A 5005-2022")</f>
        <v/>
      </c>
      <c r="AC10">
        <f>HYPERLINK("https://klasma.github.io/Logging_1382/tillsyn/A 5005-2022 tillsynsbegäran.docx", "A 5005-2022")</f>
        <v/>
      </c>
      <c r="AD10">
        <f>HYPERLINK("https://klasma.github.io/Logging_1382/tillsynsmail/A 5005-2022 tillsynsbegäran mail.docx", "A 5005-2022")</f>
        <v/>
      </c>
      <c r="AE10">
        <f>HYPERLINK("https://klasma.github.io/Logging_1382/fåglar/A 5005-2022 prioriterade fågelarter.docx", "A 5005-2022")</f>
        <v/>
      </c>
    </row>
    <row r="11" ht="15" customHeight="1">
      <c r="A11" t="inlineStr">
        <is>
          <t>A 4776-2025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45688</v>
      </c>
      <c r="E11" s="1" t="n">
        <v>46265</v>
      </c>
      <c r="F11" t="inlineStr">
        <is>
          <t>HALLANDS LÄN</t>
        </is>
      </c>
      <c r="G11" t="inlineStr">
        <is>
          <t>VARBERG</t>
        </is>
      </c>
      <c r="I11" t="n">
        <v>18</v>
      </c>
      <c r="J11" t="n">
        <v>2</v>
      </c>
      <c r="K11" t="n">
        <v>0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21</v>
      </c>
      <c r="U11" t="n">
        <v>1</v>
      </c>
      <c r="V11" s="2" t="inlineStr">
        <is>
          <t>Ask
Skogsalm
Dvärglin
Kavelhirs
Mjukdån
Vitfläckig guldvinge
Åkerkulla
Spillkråka
Hasselmus</t>
        </is>
      </c>
      <c r="W11">
        <f>HYPERLINK("https://klasma.github.io/Logging_1383/artfynd/A 4776-2025 artfynd.xlsx", "A 4776-2025")</f>
        <v/>
      </c>
      <c r="X11">
        <f>HYPERLINK("https://klasma.github.io/Logging_1383/kartor/A 4776-2025 karta.png", "A 4776-2025")</f>
        <v/>
      </c>
      <c r="Y11">
        <f>HYPERLINK("https://klasma.github.io/Logging_1383/kartor_geotiff/A 4776-2025 georefererad karta.tif", "A 4776-2025")</f>
        <v/>
      </c>
      <c r="AA11">
        <f>HYPERLINK("https://klasma.github.io/Logging_1383/klagomål/A 4776-2025 FSC-klagomål.docx", "A 4776-2025")</f>
        <v/>
      </c>
      <c r="AB11">
        <f>HYPERLINK("https://klasma.github.io/Logging_1383/klagomålsmail/A 4776-2025 FSC-klagomål mail.docx", "A 4776-2025")</f>
        <v/>
      </c>
      <c r="AC11">
        <f>HYPERLINK("https://klasma.github.io/Logging_1383/tillsyn/A 4776-2025 tillsynsbegäran.docx", "A 4776-2025")</f>
        <v/>
      </c>
      <c r="AD11">
        <f>HYPERLINK("https://klasma.github.io/Logging_1383/tillsynsmail/A 4776-2025 tillsynsbegäran mail.docx", "A 4776-2025")</f>
        <v/>
      </c>
      <c r="AE11">
        <f>HYPERLINK("https://klasma.github.io/Logging_1383/fåglar/A 4776-2025 prioriterade fågelarter.docx", "A 4776-2025")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46265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34225-2026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46265</v>
      </c>
      <c r="F13" t="inlineStr">
        <is>
          <t>HALLANDS LÄN</t>
        </is>
      </c>
      <c r="G13" t="inlineStr">
        <is>
          <t>FALKENBERG</t>
        </is>
      </c>
      <c r="I13" t="n">
        <v>0.8</v>
      </c>
      <c r="J13" t="n">
        <v>2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10</v>
      </c>
      <c r="U13" t="n">
        <v>10</v>
      </c>
      <c r="V13" s="2" t="inlineStr">
        <is>
          <t>Ädelkronlav
Entita
Bokfjädermossa
Fällmossa
Guldlockmossa
Havstulpanlav
Mussellav
Platt fjädermossa
Tofsmes</t>
        </is>
      </c>
      <c r="W13">
        <f>HYPERLINK("https://klasma.github.io/Logging_1382/artfynd/A 34225-2026 artfynd.xlsx", "A 34225-2026")</f>
        <v/>
      </c>
      <c r="X13">
        <f>HYPERLINK("https://klasma.github.io/Logging_1382/kartor/A 34225-2026 karta.png", "A 34225-2026")</f>
        <v/>
      </c>
      <c r="Y13">
        <f>HYPERLINK("https://klasma.github.io/Logging_1382/kartor_geotiff/A 34225-2026 georefererad karta.tif", "A 34225-2026")</f>
        <v/>
      </c>
      <c r="AA13">
        <f>HYPERLINK("https://klasma.github.io/Logging_1382/klagomål/A 34225-2026 FSC-klagomål.docx", "A 34225-2026")</f>
        <v/>
      </c>
      <c r="AB13">
        <f>HYPERLINK("https://klasma.github.io/Logging_1382/klagomålsmail/A 34225-2026 FSC-klagomål mail.docx", "A 34225-2026")</f>
        <v/>
      </c>
      <c r="AC13">
        <f>HYPERLINK("https://klasma.github.io/Logging_1382/tillsyn/A 34225-2026 tillsynsbegäran.docx", "A 34225-2026")</f>
        <v/>
      </c>
      <c r="AD13">
        <f>HYPERLINK("https://klasma.github.io/Logging_1382/tillsynsmail/A 34225-2026 tillsynsbegäran mail.docx", "A 34225-2026")</f>
        <v/>
      </c>
      <c r="AE13">
        <f>HYPERLINK("https://klasma.github.io/Logging_1382/fåglar/A 34225-2026 prioriterade fågelarter.docx", "A 34225-2026")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46265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46265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46265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61675-2023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46265</v>
      </c>
      <c r="F17" t="inlineStr">
        <is>
          <t>HALLANDS LÄN</t>
        </is>
      </c>
      <c r="G17" t="inlineStr">
        <is>
          <t>HYLTE</t>
        </is>
      </c>
      <c r="I17" t="n">
        <v>0.7</v>
      </c>
      <c r="J17" t="n">
        <v>1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8</v>
      </c>
      <c r="T17" t="n">
        <v>10</v>
      </c>
      <c r="U17" t="n">
        <v>10</v>
      </c>
      <c r="V17" s="2" t="inlineStr">
        <is>
          <t>Bokvårtlav
Fällmossa
Guldlockmossa
Havstulpanlav
Klippfrullania
Platt fjädermossa
Trädporella
Spillkråka</t>
        </is>
      </c>
      <c r="W17">
        <f>HYPERLINK("https://klasma.github.io/Logging_1315/artfynd/A 61675-2023 artfynd.xlsx", "A 61675-2023")</f>
        <v/>
      </c>
      <c r="X17">
        <f>HYPERLINK("https://klasma.github.io/Logging_1315/kartor/A 61675-2023 karta.png", "A 61675-2023")</f>
        <v/>
      </c>
      <c r="Y17">
        <f>HYPERLINK("https://klasma.github.io/Logging_1315/kartor_geotiff/A 61675-2023 georefererad karta.tif", "A 61675-2023")</f>
        <v/>
      </c>
      <c r="AA17">
        <f>HYPERLINK("https://klasma.github.io/Logging_1315/klagomål/A 61675-2023 FSC-klagomål.docx", "A 61675-2023")</f>
        <v/>
      </c>
      <c r="AB17">
        <f>HYPERLINK("https://klasma.github.io/Logging_1315/klagomålsmail/A 61675-2023 FSC-klagomål mail.docx", "A 61675-2023")</f>
        <v/>
      </c>
      <c r="AC17">
        <f>HYPERLINK("https://klasma.github.io/Logging_1315/tillsyn/A 61675-2023 tillsynsbegäran.docx", "A 61675-2023")</f>
        <v/>
      </c>
      <c r="AD17">
        <f>HYPERLINK("https://klasma.github.io/Logging_1315/tillsynsmail/A 61675-2023 tillsynsbegäran mail.docx", "A 61675-2023")</f>
        <v/>
      </c>
      <c r="AE17">
        <f>HYPERLINK("https://klasma.github.io/Logging_1315/fåglar/A 61675-2023 prioriterade fågelarter.docx", "A 61675-2023")</f>
        <v/>
      </c>
    </row>
    <row r="18" ht="15" customHeight="1">
      <c r="A18" t="inlineStr">
        <is>
          <t>A 43379-2022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44834</v>
      </c>
      <c r="E18" s="1" t="n">
        <v>46265</v>
      </c>
      <c r="F18" t="inlineStr">
        <is>
          <t>HALLANDS LÄN</t>
        </is>
      </c>
      <c r="G18" t="inlineStr">
        <is>
          <t>VARBERG</t>
        </is>
      </c>
      <c r="I18" t="n">
        <v>0.9</v>
      </c>
      <c r="J18" t="n">
        <v>7</v>
      </c>
      <c r="K18" t="n">
        <v>0</v>
      </c>
      <c r="L18" t="n">
        <v>2</v>
      </c>
      <c r="M18" t="n">
        <v>3</v>
      </c>
      <c r="N18" t="n">
        <v>0</v>
      </c>
      <c r="O18" t="n">
        <v>0</v>
      </c>
      <c r="P18" t="n">
        <v>0</v>
      </c>
      <c r="Q18" t="n">
        <v>5</v>
      </c>
      <c r="R18" t="n">
        <v>3</v>
      </c>
      <c r="S18" t="n">
        <v>8</v>
      </c>
      <c r="T18" t="n">
        <v>11</v>
      </c>
      <c r="U18" t="n">
        <v>11</v>
      </c>
      <c r="V18" s="2" t="inlineStr">
        <is>
          <t>Grönfink
Igelkott
Stare
Duvhök
Gulsparv
Gröngöling
Kopparödla
Vanlig snok</t>
        </is>
      </c>
      <c r="W18">
        <f>HYPERLINK("https://klasma.github.io/Logging_1383/artfynd/A 43379-2022 artfynd.xlsx", "A 43379-2022")</f>
        <v/>
      </c>
      <c r="X18">
        <f>HYPERLINK("https://klasma.github.io/Logging_1383/kartor/A 43379-2022 karta.png", "A 43379-2022")</f>
        <v/>
      </c>
      <c r="Y18">
        <f>HYPERLINK("https://klasma.github.io/Logging_1383/kartor_geotiff/A 43379-2022 georefererad karta.tif", "A 43379-2022")</f>
        <v/>
      </c>
      <c r="AA18">
        <f>HYPERLINK("https://klasma.github.io/Logging_1383/klagomål/A 43379-2022 FSC-klagomål.docx", "A 43379-2022")</f>
        <v/>
      </c>
      <c r="AB18">
        <f>HYPERLINK("https://klasma.github.io/Logging_1383/klagomålsmail/A 43379-2022 FSC-klagomål mail.docx", "A 43379-2022")</f>
        <v/>
      </c>
      <c r="AC18">
        <f>HYPERLINK("https://klasma.github.io/Logging_1383/tillsyn/A 43379-2022 tillsynsbegäran.docx", "A 43379-2022")</f>
        <v/>
      </c>
      <c r="AD18">
        <f>HYPERLINK("https://klasma.github.io/Logging_1383/tillsynsmail/A 43379-2022 tillsynsbegäran mail.docx", "A 43379-2022")</f>
        <v/>
      </c>
      <c r="AE18">
        <f>HYPERLINK("https://klasma.github.io/Logging_1383/fåglar/A 43379-2022 prioriterade fågelarter.docx", "A 43379-2022")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46265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46265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46265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46265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46265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46265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46265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46265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46265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46265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46265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46265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46265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46265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46265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46265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46265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A 17981-2025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46265</v>
      </c>
      <c r="F36" t="inlineStr">
        <is>
          <t>HALLANDS LÄN</t>
        </is>
      </c>
      <c r="G36" t="inlineStr">
        <is>
          <t>KUNGSBACKA</t>
        </is>
      </c>
      <c r="I36" t="n">
        <v>0.8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Grönsångare
Talltita
Spillkråka
Gröngöling
Svartvit flugsnappare</t>
        </is>
      </c>
      <c r="W36">
        <f>HYPERLINK("https://klasma.github.io/Logging_1384/artfynd/A 17981-2025 artfynd.xlsx", "A 17981-2025")</f>
        <v/>
      </c>
      <c r="X36">
        <f>HYPERLINK("https://klasma.github.io/Logging_1384/kartor/A 17981-2025 karta.png", "A 17981-2025")</f>
        <v/>
      </c>
      <c r="Y36">
        <f>HYPERLINK("https://klasma.github.io/Logging_1384/kartor_geotiff/A 17981-2025 georefererad karta.tif", "A 17981-2025")</f>
        <v/>
      </c>
      <c r="AA36">
        <f>HYPERLINK("https://klasma.github.io/Logging_1384/klagomål/A 17981-2025 FSC-klagomål.docx", "A 17981-2025")</f>
        <v/>
      </c>
      <c r="AB36">
        <f>HYPERLINK("https://klasma.github.io/Logging_1384/klagomålsmail/A 17981-2025 FSC-klagomål mail.docx", "A 17981-2025")</f>
        <v/>
      </c>
      <c r="AC36">
        <f>HYPERLINK("https://klasma.github.io/Logging_1384/tillsyn/A 17981-2025 tillsynsbegäran.docx", "A 17981-2025")</f>
        <v/>
      </c>
      <c r="AD36">
        <f>HYPERLINK("https://klasma.github.io/Logging_1384/tillsynsmail/A 17981-2025 tillsynsbegäran mail.docx", "A 17981-2025")</f>
        <v/>
      </c>
      <c r="AE36">
        <f>HYPERLINK("https://klasma.github.io/Logging_1384/fåglar/A 17981-2025 prioriterade fågelarter.docx", "A 17981-2025")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46265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46265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46265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46265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46265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46265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46265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46265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46265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46265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46265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46265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46265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53584-2022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46265</v>
      </c>
      <c r="F51" t="inlineStr">
        <is>
          <t>HALLANDS LÄN</t>
        </is>
      </c>
      <c r="G51" t="inlineStr">
        <is>
          <t>LAHOLM</t>
        </is>
      </c>
      <c r="I51" t="n">
        <v>1.4</v>
      </c>
      <c r="J51" t="n">
        <v>4</v>
      </c>
      <c r="K51" t="n">
        <v>0</v>
      </c>
      <c r="L51" t="n">
        <v>0</v>
      </c>
      <c r="M51" t="n">
        <v>1</v>
      </c>
      <c r="N51" t="n">
        <v>2</v>
      </c>
      <c r="O51" t="n">
        <v>0</v>
      </c>
      <c r="P51" t="n">
        <v>0</v>
      </c>
      <c r="Q51" t="n">
        <v>3</v>
      </c>
      <c r="R51" t="n">
        <v>3</v>
      </c>
      <c r="S51" t="n">
        <v>4</v>
      </c>
      <c r="T51" t="n">
        <v>4</v>
      </c>
      <c r="U51" t="n">
        <v>4</v>
      </c>
      <c r="V51" s="2" t="inlineStr">
        <is>
          <t>Hornuggla
Pärluggla
Berguv
Spillkråka</t>
        </is>
      </c>
      <c r="W51">
        <f>HYPERLINK("https://klasma.github.io/Logging_1381/artfynd/A 53584-2022 artfynd.xlsx", "A 53584-2022")</f>
        <v/>
      </c>
      <c r="X51">
        <f>HYPERLINK("https://klasma.github.io/Logging_1381/kartor/A 53584-2022 karta.png", "A 53584-2022")</f>
        <v/>
      </c>
      <c r="Y51">
        <f>HYPERLINK("https://klasma.github.io/Logging_1381/kartor_geotiff/A 53584-2022 georefererad karta.tif", "A 53584-2022")</f>
        <v/>
      </c>
      <c r="AA51">
        <f>HYPERLINK("https://klasma.github.io/Logging_1381/klagomål/A 53584-2022 FSC-klagomål.docx", "A 53584-2022")</f>
        <v/>
      </c>
      <c r="AB51">
        <f>HYPERLINK("https://klasma.github.io/Logging_1381/klagomålsmail/A 53584-2022 FSC-klagomål mail.docx", "A 53584-2022")</f>
        <v/>
      </c>
      <c r="AC51">
        <f>HYPERLINK("https://klasma.github.io/Logging_1381/tillsyn/A 53584-2022 tillsynsbegäran.docx", "A 53584-2022")</f>
        <v/>
      </c>
      <c r="AD51">
        <f>HYPERLINK("https://klasma.github.io/Logging_1381/tillsynsmail/A 53584-2022 tillsynsbegäran mail.docx", "A 53584-2022")</f>
        <v/>
      </c>
      <c r="AE51">
        <f>HYPERLINK("https://klasma.github.io/Logging_1381/fåglar/A 53584-2022 prioriterade fågelarter.docx", "A 53584-2022")</f>
        <v/>
      </c>
    </row>
    <row r="52" ht="15" customHeight="1">
      <c r="A52" t="inlineStr">
        <is>
          <t>A 43362-2022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46265</v>
      </c>
      <c r="F52" t="inlineStr">
        <is>
          <t>HALLANDS LÄN</t>
        </is>
      </c>
      <c r="G52" t="inlineStr">
        <is>
          <t>VARBERG</t>
        </is>
      </c>
      <c r="I52" t="n">
        <v>2.9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Nordfladdermus
Dvärgpipistrell
Havsörn
Trana</t>
        </is>
      </c>
      <c r="W52">
        <f>HYPERLINK("https://klasma.github.io/Logging_1383/artfynd/A 43362-2022 artfynd.xlsx", "A 43362-2022")</f>
        <v/>
      </c>
      <c r="X52">
        <f>HYPERLINK("https://klasma.github.io/Logging_1383/kartor/A 43362-2022 karta.png", "A 43362-2022")</f>
        <v/>
      </c>
      <c r="Y52">
        <f>HYPERLINK("https://klasma.github.io/Logging_1383/kartor_geotiff/A 43362-2022 georefererad karta.tif", "A 43362-2022")</f>
        <v/>
      </c>
      <c r="AA52">
        <f>HYPERLINK("https://klasma.github.io/Logging_1383/klagomål/A 43362-2022 FSC-klagomål.docx", "A 43362-2022")</f>
        <v/>
      </c>
      <c r="AB52">
        <f>HYPERLINK("https://klasma.github.io/Logging_1383/klagomålsmail/A 43362-2022 FSC-klagomål mail.docx", "A 43362-2022")</f>
        <v/>
      </c>
      <c r="AC52">
        <f>HYPERLINK("https://klasma.github.io/Logging_1383/tillsyn/A 43362-2022 tillsynsbegäran.docx", "A 43362-2022")</f>
        <v/>
      </c>
      <c r="AD52">
        <f>HYPERLINK("https://klasma.github.io/Logging_1383/tillsynsmail/A 43362-2022 tillsynsbegäran mail.docx", "A 43362-2022")</f>
        <v/>
      </c>
      <c r="AE52">
        <f>HYPERLINK("https://klasma.github.io/Logging_1383/fåglar/A 43362-2022 prioriterade fågelarter.docx", "A 43362-2022")</f>
        <v/>
      </c>
    </row>
    <row r="53" ht="15" customHeight="1">
      <c r="A53" t="inlineStr">
        <is>
          <t>A 40686-2023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46265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8.4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Kambräken
Mattlummer
Åkergroda
Vanlig padda</t>
        </is>
      </c>
      <c r="W53">
        <f>HYPERLINK("https://klasma.github.io/Logging_1380/artfynd/A 40686-2023 artfynd.xlsx", "A 40686-2023")</f>
        <v/>
      </c>
      <c r="X53">
        <f>HYPERLINK("https://klasma.github.io/Logging_1380/kartor/A 40686-2023 karta.png", "A 40686-2023")</f>
        <v/>
      </c>
      <c r="Y53">
        <f>HYPERLINK("https://klasma.github.io/Logging_1380/kartor_geotiff/A 40686-2023 georefererad karta.tif", "A 40686-2023")</f>
        <v/>
      </c>
      <c r="AA53">
        <f>HYPERLINK("https://klasma.github.io/Logging_1380/klagomål/A 40686-2023 FSC-klagomål.docx", "A 40686-2023")</f>
        <v/>
      </c>
      <c r="AB53">
        <f>HYPERLINK("https://klasma.github.io/Logging_1380/klagomålsmail/A 40686-2023 FSC-klagomål mail.docx", "A 40686-2023")</f>
        <v/>
      </c>
      <c r="AC53">
        <f>HYPERLINK("https://klasma.github.io/Logging_1380/tillsyn/A 40686-2023 tillsynsbegäran.docx", "A 40686-2023")</f>
        <v/>
      </c>
      <c r="AD53">
        <f>HYPERLINK("https://klasma.github.io/Logging_1380/tillsynsmail/A 40686-2023 tillsynsbegäran mail.docx", "A 40686-2023")</f>
        <v/>
      </c>
    </row>
    <row r="54" ht="15" customHeight="1">
      <c r="A54" t="inlineStr">
        <is>
          <t>A 30890-2022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44767</v>
      </c>
      <c r="E54" s="1" t="n">
        <v>46265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6</v>
      </c>
      <c r="U54" t="n">
        <v>5</v>
      </c>
      <c r="V54" s="2" t="inlineStr">
        <is>
          <t>Hallandsfibbla
Narrklibbfibbla
Svinrot
Nattskärra</t>
        </is>
      </c>
      <c r="W54">
        <f>HYPERLINK("https://klasma.github.io/Logging_1380/artfynd/A 30890-2022 artfynd.xlsx", "A 30890-2022")</f>
        <v/>
      </c>
      <c r="X54">
        <f>HYPERLINK("https://klasma.github.io/Logging_1380/kartor/A 30890-2022 karta.png", "A 30890-2022")</f>
        <v/>
      </c>
      <c r="Y54">
        <f>HYPERLINK("https://klasma.github.io/Logging_1380/kartor_geotiff/A 30890-2022 georefererad karta.tif", "A 30890-2022")</f>
        <v/>
      </c>
      <c r="AA54">
        <f>HYPERLINK("https://klasma.github.io/Logging_1380/klagomål/A 30890-2022 FSC-klagomål.docx", "A 30890-2022")</f>
        <v/>
      </c>
      <c r="AB54">
        <f>HYPERLINK("https://klasma.github.io/Logging_1380/klagomålsmail/A 30890-2022 FSC-klagomål mail.docx", "A 30890-2022")</f>
        <v/>
      </c>
      <c r="AC54">
        <f>HYPERLINK("https://klasma.github.io/Logging_1380/tillsyn/A 30890-2022 tillsynsbegäran.docx", "A 30890-2022")</f>
        <v/>
      </c>
      <c r="AD54">
        <f>HYPERLINK("https://klasma.github.io/Logging_1380/tillsynsmail/A 30890-2022 tillsynsbegäran mail.docx", "A 30890-2022")</f>
        <v/>
      </c>
      <c r="AE54">
        <f>HYPERLINK("https://klasma.github.io/Logging_1380/fåglar/A 30890-2022 prioriterade fågelarter.docx", "A 30890-2022")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46265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46265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46265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46265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46265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46265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46265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13374-2022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44645</v>
      </c>
      <c r="E63" s="1" t="n">
        <v>46265</v>
      </c>
      <c r="F63" t="inlineStr">
        <is>
          <t>HALLANDS LÄN</t>
        </is>
      </c>
      <c r="G63" t="inlineStr">
        <is>
          <t>KUNGSBACKA</t>
        </is>
      </c>
      <c r="I63" t="n">
        <v>10.5</v>
      </c>
      <c r="J63" t="n">
        <v>3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Entita
Grönsångare
Svartvit flugsnappare</t>
        </is>
      </c>
      <c r="W63">
        <f>HYPERLINK("https://klasma.github.io/Logging_1384/artfynd/A 13374-2022 artfynd.xlsx", "A 13374-2022")</f>
        <v/>
      </c>
      <c r="X63">
        <f>HYPERLINK("https://klasma.github.io/Logging_1384/kartor/A 13374-2022 karta.png", "A 13374-2022")</f>
        <v/>
      </c>
      <c r="Y63">
        <f>HYPERLINK("https://klasma.github.io/Logging_1384/kartor_geotiff/A 13374-2022 georefererad karta.tif", "A 13374-2022")</f>
        <v/>
      </c>
      <c r="AA63">
        <f>HYPERLINK("https://klasma.github.io/Logging_1384/klagomål/A 13374-2022 FSC-klagomål.docx", "A 13374-2022")</f>
        <v/>
      </c>
      <c r="AB63">
        <f>HYPERLINK("https://klasma.github.io/Logging_1384/klagomålsmail/A 13374-2022 FSC-klagomål mail.docx", "A 13374-2022")</f>
        <v/>
      </c>
      <c r="AC63">
        <f>HYPERLINK("https://klasma.github.io/Logging_1384/tillsyn/A 13374-2022 tillsynsbegäran.docx", "A 13374-2022")</f>
        <v/>
      </c>
      <c r="AD63">
        <f>HYPERLINK("https://klasma.github.io/Logging_1384/tillsynsmail/A 13374-2022 tillsynsbegäran mail.docx", "A 13374-2022")</f>
        <v/>
      </c>
      <c r="AE63">
        <f>HYPERLINK("https://klasma.github.io/Logging_1384/fåglar/A 13374-2022 prioriterade fågelarter.docx", "A 13374-2022")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46265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46265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46265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46265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46265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46265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46265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8102-2024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46265</v>
      </c>
      <c r="F71" t="inlineStr">
        <is>
          <t>HALLANDS LÄN</t>
        </is>
      </c>
      <c r="G71" t="inlineStr">
        <is>
          <t>HALMSTAD</t>
        </is>
      </c>
      <c r="I71" t="n">
        <v>7.6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Loppstarr
Ängsstarr
Fjällvråk</t>
        </is>
      </c>
      <c r="W71">
        <f>HYPERLINK("https://klasma.github.io/Logging_1380/artfynd/A 8102-2024 artfynd.xlsx", "A 8102-2024")</f>
        <v/>
      </c>
      <c r="X71">
        <f>HYPERLINK("https://klasma.github.io/Logging_1380/kartor/A 8102-2024 karta.png", "A 8102-2024")</f>
        <v/>
      </c>
      <c r="Y71">
        <f>HYPERLINK("https://klasma.github.io/Logging_1380/kartor_geotiff/A 8102-2024 georefererad karta.tif", "A 8102-2024")</f>
        <v/>
      </c>
      <c r="AA71">
        <f>HYPERLINK("https://klasma.github.io/Logging_1380/klagomål/A 8102-2024 FSC-klagomål.docx", "A 8102-2024")</f>
        <v/>
      </c>
      <c r="AB71">
        <f>HYPERLINK("https://klasma.github.io/Logging_1380/klagomålsmail/A 8102-2024 FSC-klagomål mail.docx", "A 8102-2024")</f>
        <v/>
      </c>
      <c r="AC71">
        <f>HYPERLINK("https://klasma.github.io/Logging_1380/tillsyn/A 8102-2024 tillsynsbegäran.docx", "A 8102-2024")</f>
        <v/>
      </c>
      <c r="AD71">
        <f>HYPERLINK("https://klasma.github.io/Logging_1380/tillsynsmail/A 8102-2024 tillsynsbegäran mail.docx", "A 8102-2024")</f>
        <v/>
      </c>
      <c r="AE71">
        <f>HYPERLINK("https://klasma.github.io/Logging_1380/fåglar/A 8102-2024 prioriterade fågelarter.docx", "A 8102-2024")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46265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S 648-2024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45356</v>
      </c>
      <c r="E73" s="1" t="n">
        <v>46265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190</v>
      </c>
      <c r="J73" t="n">
        <v>0</v>
      </c>
      <c r="K73" t="n">
        <v>0</v>
      </c>
      <c r="L73" t="n">
        <v>2</v>
      </c>
      <c r="M73" t="n">
        <v>0</v>
      </c>
      <c r="N73" t="n">
        <v>1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8</v>
      </c>
      <c r="U73" t="n">
        <v>1</v>
      </c>
      <c r="V73" s="2" t="inlineStr">
        <is>
          <t>Ljungögontröst
Hårginst
Svartvit taggsvamp</t>
        </is>
      </c>
      <c r="W73">
        <f>HYPERLINK("https://klasma.github.io/Logging_1381/artfynd/S 648-2024 artfynd.xlsx", "S 648-2024")</f>
        <v/>
      </c>
      <c r="X73">
        <f>HYPERLINK("https://klasma.github.io/Logging_1381/kartor/S 648-2024 karta.png", "S 648-2024")</f>
        <v/>
      </c>
      <c r="Y73">
        <f>HYPERLINK("https://klasma.github.io/Logging_1381/kartor_geotiff/S 648-2024 georefererad karta.tif", "S 648-2024")</f>
        <v/>
      </c>
      <c r="AA73">
        <f>HYPERLINK("https://klasma.github.io/Logging_1381/klagomål/S 648-2024 FSC-klagomål.docx", "S 648-2024")</f>
        <v/>
      </c>
      <c r="AB73">
        <f>HYPERLINK("https://klasma.github.io/Logging_1381/klagomålsmail/S 648-2024 FSC-klagomål mail.docx", "S 648-2024")</f>
        <v/>
      </c>
      <c r="AC73">
        <f>HYPERLINK("https://klasma.github.io/Logging_1381/tillsyn/S 648-2024 tillsynsbegäran.docx", "S 648-2024")</f>
        <v/>
      </c>
      <c r="AD73">
        <f>HYPERLINK("https://klasma.github.io/Logging_1381/tillsynsmail/S 648-2024 tillsynsbegäran mail.docx", "S 648-2024")</f>
        <v/>
      </c>
    </row>
    <row r="74" ht="15" customHeight="1">
      <c r="A74" t="inlineStr">
        <is>
          <t>S 1197-2024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45397</v>
      </c>
      <c r="E74" s="1" t="n">
        <v>46265</v>
      </c>
      <c r="F74" t="inlineStr">
        <is>
          <t>HALLANDS LÄN</t>
        </is>
      </c>
      <c r="G74" t="inlineStr">
        <is>
          <t>HALMSTAD</t>
        </is>
      </c>
      <c r="I74" t="n">
        <v>2.7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Bokkantlav
Guldlockmossa
Platt fjädermossa</t>
        </is>
      </c>
      <c r="W74">
        <f>HYPERLINK("https://klasma.github.io/Logging_1380/artfynd/S 1197-2024 artfynd.xlsx", "S 1197-2024")</f>
        <v/>
      </c>
      <c r="X74">
        <f>HYPERLINK("https://klasma.github.io/Logging_1380/kartor/S 1197-2024 karta.png", "S 1197-2024")</f>
        <v/>
      </c>
      <c r="Y74">
        <f>HYPERLINK("https://klasma.github.io/Logging_1380/kartor_geotiff/S 1197-2024 georefererad karta.tif", "S 1197-2024")</f>
        <v/>
      </c>
      <c r="AA74">
        <f>HYPERLINK("https://klasma.github.io/Logging_1380/klagomål/S 1197-2024 FSC-klagomål.docx", "S 1197-2024")</f>
        <v/>
      </c>
      <c r="AB74">
        <f>HYPERLINK("https://klasma.github.io/Logging_1380/klagomålsmail/S 1197-2024 FSC-klagomål mail.docx", "S 1197-2024")</f>
        <v/>
      </c>
      <c r="AC74">
        <f>HYPERLINK("https://klasma.github.io/Logging_1380/tillsyn/S 1197-2024 tillsynsbegäran.docx", "S 1197-2024")</f>
        <v/>
      </c>
      <c r="AD74">
        <f>HYPERLINK("https://klasma.github.io/Logging_1380/tillsynsmail/S 1197-2024 tillsynsbegäran mail.docx", "S 1197-2024")</f>
        <v/>
      </c>
    </row>
    <row r="75" ht="15" customHeight="1">
      <c r="A75" t="inlineStr">
        <is>
          <t>S 611-2024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45352</v>
      </c>
      <c r="E75" s="1" t="n">
        <v>46265</v>
      </c>
      <c r="F75" t="inlineStr">
        <is>
          <t>HALLANDS LÄN</t>
        </is>
      </c>
      <c r="G75" t="inlineStr">
        <is>
          <t>HALMSTAD</t>
        </is>
      </c>
      <c r="I75" t="n">
        <v>76.59999999999999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10</v>
      </c>
      <c r="U75" t="n">
        <v>5</v>
      </c>
      <c r="V75" s="2" t="inlineStr">
        <is>
          <t>Borsttåg
Kambräken
Mattlummer</t>
        </is>
      </c>
      <c r="W75">
        <f>HYPERLINK("https://klasma.github.io/Logging_1380/artfynd/S 611-2024 artfynd.xlsx", "S 611-2024")</f>
        <v/>
      </c>
      <c r="X75">
        <f>HYPERLINK("https://klasma.github.io/Logging_1380/kartor/S 611-2024 karta.png", "S 611-2024")</f>
        <v/>
      </c>
      <c r="Y75">
        <f>HYPERLINK("https://klasma.github.io/Logging_1380/kartor_geotiff/S 611-2024 georefererad karta.tif", "S 611-2024")</f>
        <v/>
      </c>
      <c r="AA75">
        <f>HYPERLINK("https://klasma.github.io/Logging_1380/klagomål/S 611-2024 FSC-klagomål.docx", "S 611-2024")</f>
        <v/>
      </c>
      <c r="AB75">
        <f>HYPERLINK("https://klasma.github.io/Logging_1380/klagomålsmail/S 611-2024 FSC-klagomål mail.docx", "S 611-2024")</f>
        <v/>
      </c>
      <c r="AC75">
        <f>HYPERLINK("https://klasma.github.io/Logging_1380/tillsyn/S 611-2024 tillsynsbegäran.docx", "S 611-2024")</f>
        <v/>
      </c>
      <c r="AD75">
        <f>HYPERLINK("https://klasma.github.io/Logging_1380/tillsynsmail/S 611-2024 tillsynsbegäran mail.docx", "S 611-2024")</f>
        <v/>
      </c>
    </row>
    <row r="76" ht="15" customHeight="1">
      <c r="A76" t="inlineStr">
        <is>
          <t>S 1920-2024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45442</v>
      </c>
      <c r="E76" s="1" t="n">
        <v>46265</v>
      </c>
      <c r="F76" t="inlineStr">
        <is>
          <t>HALLANDS LÄN</t>
        </is>
      </c>
      <c r="G76" t="inlineStr">
        <is>
          <t>HALMSTAD</t>
        </is>
      </c>
      <c r="I76" t="n">
        <v>75.2</v>
      </c>
      <c r="J76" t="n">
        <v>0</v>
      </c>
      <c r="K76" t="n">
        <v>1</v>
      </c>
      <c r="L76" t="n">
        <v>0</v>
      </c>
      <c r="M76" t="n">
        <v>1</v>
      </c>
      <c r="N76" t="n">
        <v>1</v>
      </c>
      <c r="O76" t="n">
        <v>0</v>
      </c>
      <c r="P76" t="n">
        <v>0</v>
      </c>
      <c r="Q76" t="n">
        <v>2</v>
      </c>
      <c r="R76" t="n">
        <v>2</v>
      </c>
      <c r="S76" t="n">
        <v>3</v>
      </c>
      <c r="T76" t="n">
        <v>12</v>
      </c>
      <c r="U76" t="n">
        <v>10</v>
      </c>
      <c r="V76" s="2" t="inlineStr">
        <is>
          <t>Borstsäv
Dvärglin
Kambräken</t>
        </is>
      </c>
      <c r="W76">
        <f>HYPERLINK("https://klasma.github.io/Logging_1380/artfynd/S 1920-2024 artfynd.xlsx", "S 1920-2024")</f>
        <v/>
      </c>
      <c r="X76">
        <f>HYPERLINK("https://klasma.github.io/Logging_1380/kartor/S 1920-2024 karta.png", "S 1920-2024")</f>
        <v/>
      </c>
      <c r="Y76">
        <f>HYPERLINK("https://klasma.github.io/Logging_1380/kartor_geotiff/S 1920-2024 georefererad karta.tif", "S 1920-2024")</f>
        <v/>
      </c>
      <c r="AA76">
        <f>HYPERLINK("https://klasma.github.io/Logging_1380/klagomål/S 1920-2024 FSC-klagomål.docx", "S 1920-2024")</f>
        <v/>
      </c>
      <c r="AB76">
        <f>HYPERLINK("https://klasma.github.io/Logging_1380/klagomålsmail/S 1920-2024 FSC-klagomål mail.docx", "S 1920-2024")</f>
        <v/>
      </c>
      <c r="AC76">
        <f>HYPERLINK("https://klasma.github.io/Logging_1380/tillsyn/S 1920-2024 tillsynsbegäran.docx", "S 1920-2024")</f>
        <v/>
      </c>
      <c r="AD76">
        <f>HYPERLINK("https://klasma.github.io/Logging_1380/tillsynsmail/S 1920-2024 tillsynsbegäran mail.docx", "S 1920-2024")</f>
        <v/>
      </c>
    </row>
    <row r="77" ht="15" customHeight="1">
      <c r="A77" t="inlineStr">
        <is>
          <t>S 3891-2023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45230</v>
      </c>
      <c r="E77" s="1" t="n">
        <v>46265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6</v>
      </c>
      <c r="U77" t="n">
        <v>0</v>
      </c>
      <c r="V77" s="2" t="inlineStr">
        <is>
          <t>Ask
Vanlig groda
Vanlig padda</t>
        </is>
      </c>
      <c r="W77">
        <f>HYPERLINK("https://klasma.github.io/Logging_1315/artfynd/S 3891-2023 artfynd.xlsx", "S 3891-2023")</f>
        <v/>
      </c>
      <c r="X77">
        <f>HYPERLINK("https://klasma.github.io/Logging_1315/kartor/S 3891-2023 karta.png", "S 3891-2023")</f>
        <v/>
      </c>
      <c r="Y77">
        <f>HYPERLINK("https://klasma.github.io/Logging_1315/kartor_geotiff/S 3891-2023 georefererad karta.tif", "S 3891-2023")</f>
        <v/>
      </c>
      <c r="AA77">
        <f>HYPERLINK("https://klasma.github.io/Logging_1315/klagomål/S 3891-2023 FSC-klagomål.docx", "S 3891-2023")</f>
        <v/>
      </c>
      <c r="AB77">
        <f>HYPERLINK("https://klasma.github.io/Logging_1315/klagomålsmail/S 3891-2023 FSC-klagomål mail.docx", "S 3891-2023")</f>
        <v/>
      </c>
      <c r="AC77">
        <f>HYPERLINK("https://klasma.github.io/Logging_1315/tillsyn/S 3891-2023 tillsynsbegäran.docx", "S 3891-2023")</f>
        <v/>
      </c>
      <c r="AD77">
        <f>HYPERLINK("https://klasma.github.io/Logging_1315/tillsynsmail/S 3891-2023 tillsynsbegäran mail.docx", "S 3891-2023")</f>
        <v/>
      </c>
    </row>
    <row r="78" ht="15" customHeight="1">
      <c r="A78" t="inlineStr">
        <is>
          <t>S 907-2025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45737</v>
      </c>
      <c r="E78" s="1" t="n">
        <v>46265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2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4</v>
      </c>
      <c r="U78" t="n">
        <v>0</v>
      </c>
      <c r="V78" s="2" t="inlineStr">
        <is>
          <t>Ask
Fällmossa
Lönnlav</t>
        </is>
      </c>
      <c r="W78">
        <f>HYPERLINK("https://klasma.github.io/Logging_1315/artfynd/S 907-2025 artfynd.xlsx", "S 907-2025")</f>
        <v/>
      </c>
      <c r="X78">
        <f>HYPERLINK("https://klasma.github.io/Logging_1315/kartor/S 907-2025 karta.png", "S 907-2025")</f>
        <v/>
      </c>
      <c r="Y78">
        <f>HYPERLINK("https://klasma.github.io/Logging_1315/kartor_geotiff/S 907-2025 georefererad karta.tif", "S 907-2025")</f>
        <v/>
      </c>
      <c r="AA78">
        <f>HYPERLINK("https://klasma.github.io/Logging_1315/klagomål/S 907-2025 FSC-klagomål.docx", "S 907-2025")</f>
        <v/>
      </c>
      <c r="AB78">
        <f>HYPERLINK("https://klasma.github.io/Logging_1315/klagomålsmail/S 907-2025 FSC-klagomål mail.docx", "S 907-2025")</f>
        <v/>
      </c>
      <c r="AC78">
        <f>HYPERLINK("https://klasma.github.io/Logging_1315/tillsyn/S 907-2025 tillsynsbegäran.docx", "S 907-2025")</f>
        <v/>
      </c>
      <c r="AD78">
        <f>HYPERLINK("https://klasma.github.io/Logging_1315/tillsynsmail/S 907-2025 tillsynsbegäran mail.docx", "S 907-2025")</f>
        <v/>
      </c>
    </row>
    <row r="79" ht="15" customHeight="1">
      <c r="A79" t="inlineStr">
        <is>
          <t>S 890-2025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45735</v>
      </c>
      <c r="E79" s="1" t="n">
        <v>46265</v>
      </c>
      <c r="F79" t="inlineStr">
        <is>
          <t>HALLANDS LÄN</t>
        </is>
      </c>
      <c r="G79" t="inlineStr">
        <is>
          <t>LAHOLM</t>
        </is>
      </c>
      <c r="I79" t="n">
        <v>26.8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Fällmossa
Guldlockmossa
Safsa</t>
        </is>
      </c>
      <c r="W79">
        <f>HYPERLINK("https://klasma.github.io/Logging_1381/artfynd/S 890-2025 artfynd.xlsx", "S 890-2025")</f>
        <v/>
      </c>
      <c r="X79">
        <f>HYPERLINK("https://klasma.github.io/Logging_1381/kartor/S 890-2025 karta.png", "S 890-2025")</f>
        <v/>
      </c>
      <c r="Y79">
        <f>HYPERLINK("https://klasma.github.io/Logging_1381/kartor_geotiff/S 890-2025 georefererad karta.tif", "S 890-2025")</f>
        <v/>
      </c>
      <c r="AA79">
        <f>HYPERLINK("https://klasma.github.io/Logging_1381/klagomål/S 890-2025 FSC-klagomål.docx", "S 890-2025")</f>
        <v/>
      </c>
      <c r="AB79">
        <f>HYPERLINK("https://klasma.github.io/Logging_1381/klagomålsmail/S 890-2025 FSC-klagomål mail.docx", "S 890-2025")</f>
        <v/>
      </c>
      <c r="AC79">
        <f>HYPERLINK("https://klasma.github.io/Logging_1381/tillsyn/S 890-2025 tillsynsbegäran.docx", "S 890-2025")</f>
        <v/>
      </c>
      <c r="AD79">
        <f>HYPERLINK("https://klasma.github.io/Logging_1381/tillsynsmail/S 890-2025 tillsynsbegäran mail.docx", "S 890-2025")</f>
        <v/>
      </c>
    </row>
    <row r="80" ht="15" customHeight="1">
      <c r="A80" t="inlineStr">
        <is>
          <t>S 1220-2026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46141</v>
      </c>
      <c r="E80" s="1" t="n">
        <v>46265</v>
      </c>
      <c r="F80" t="inlineStr">
        <is>
          <t>HALLANDS LÄN</t>
        </is>
      </c>
      <c r="G80" t="inlineStr">
        <is>
          <t>HYLTE</t>
        </is>
      </c>
      <c r="I80" t="n">
        <v>30.8</v>
      </c>
      <c r="J80" t="n">
        <v>2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Kambräken
Korallrot
Spindelblomster</t>
        </is>
      </c>
      <c r="W80">
        <f>HYPERLINK("https://klasma.github.io/Logging_1315/artfynd/S 1220-2026 artfynd.xlsx", "S 1220-2026")</f>
        <v/>
      </c>
      <c r="X80">
        <f>HYPERLINK("https://klasma.github.io/Logging_1315/kartor/S 1220-2026 karta.png", "S 1220-2026")</f>
        <v/>
      </c>
      <c r="Y80">
        <f>HYPERLINK("https://klasma.github.io/Logging_1315/kartor_geotiff/S 1220-2026 georefererad karta.tif", "S 1220-2026")</f>
        <v/>
      </c>
      <c r="AA80">
        <f>HYPERLINK("https://klasma.github.io/Logging_1315/klagomål/S 1220-2026 FSC-klagomål.docx", "S 1220-2026")</f>
        <v/>
      </c>
      <c r="AB80">
        <f>HYPERLINK("https://klasma.github.io/Logging_1315/klagomålsmail/S 1220-2026 FSC-klagomål mail.docx", "S 1220-2026")</f>
        <v/>
      </c>
      <c r="AC80">
        <f>HYPERLINK("https://klasma.github.io/Logging_1315/tillsyn/S 1220-2026 tillsynsbegäran.docx", "S 1220-2026")</f>
        <v/>
      </c>
      <c r="AD80">
        <f>HYPERLINK("https://klasma.github.io/Logging_1315/tillsynsmail/S 1220-2026 tillsynsbegäran mail.docx", "S 1220-2026")</f>
        <v/>
      </c>
    </row>
    <row r="81" ht="15" customHeight="1">
      <c r="A81" t="inlineStr">
        <is>
          <t>S 1461-2026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46161</v>
      </c>
      <c r="E81" s="1" t="n">
        <v>46265</v>
      </c>
      <c r="F81" t="inlineStr">
        <is>
          <t>HALLANDS LÄN</t>
        </is>
      </c>
      <c r="G81" t="inlineStr">
        <is>
          <t>HYLTE</t>
        </is>
      </c>
      <c r="I81" t="n">
        <v>26.6</v>
      </c>
      <c r="J81" t="n">
        <v>0</v>
      </c>
      <c r="K81" t="n">
        <v>2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Slåttergubbe
Bårdlav
Dvärgtufs</t>
        </is>
      </c>
      <c r="W81">
        <f>HYPERLINK("https://klasma.github.io/Logging_1315/artfynd/S 1461-2026 artfynd.xlsx", "S 1461-2026")</f>
        <v/>
      </c>
      <c r="X81">
        <f>HYPERLINK("https://klasma.github.io/Logging_1315/kartor/S 1461-2026 karta.png", "S 1461-2026")</f>
        <v/>
      </c>
      <c r="Y81">
        <f>HYPERLINK("https://klasma.github.io/Logging_1315/kartor_geotiff/S 1461-2026 georefererad karta.tif", "S 1461-2026")</f>
        <v/>
      </c>
      <c r="AA81">
        <f>HYPERLINK("https://klasma.github.io/Logging_1315/klagomål/S 1461-2026 FSC-klagomål.docx", "S 1461-2026")</f>
        <v/>
      </c>
      <c r="AB81">
        <f>HYPERLINK("https://klasma.github.io/Logging_1315/klagomålsmail/S 1461-2026 FSC-klagomål mail.docx", "S 1461-2026")</f>
        <v/>
      </c>
      <c r="AC81">
        <f>HYPERLINK("https://klasma.github.io/Logging_1315/tillsyn/S 1461-2026 tillsynsbegäran.docx", "S 1461-2026")</f>
        <v/>
      </c>
      <c r="AD81">
        <f>HYPERLINK("https://klasma.github.io/Logging_1315/tillsynsmail/S 1461-2026 tillsynsbegäran mail.docx", "S 1461-2026")</f>
        <v/>
      </c>
    </row>
    <row r="82" ht="15" customHeight="1">
      <c r="A82" t="inlineStr">
        <is>
          <t>A 30573-2022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46265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Dvärghäxört
Kambräken</t>
        </is>
      </c>
      <c r="W82">
        <f>HYPERLINK("https://klasma.github.io/Logging_1383/artfynd/A 30573-2022 artfynd.xlsx", "A 30573-2022")</f>
        <v/>
      </c>
      <c r="X82">
        <f>HYPERLINK("https://klasma.github.io/Logging_1383/kartor/A 30573-2022 karta.png", "A 30573-2022")</f>
        <v/>
      </c>
      <c r="Y82">
        <f>HYPERLINK("https://klasma.github.io/Logging_1383/kartor_geotiff/A 30573-2022 georefererad karta.tif", "A 30573-2022")</f>
        <v/>
      </c>
      <c r="AA82">
        <f>HYPERLINK("https://klasma.github.io/Logging_1383/klagomål/A 30573-2022 FSC-klagomål.docx", "A 30573-2022")</f>
        <v/>
      </c>
      <c r="AB82">
        <f>HYPERLINK("https://klasma.github.io/Logging_1383/klagomålsmail/A 30573-2022 FSC-klagomål mail.docx", "A 30573-2022")</f>
        <v/>
      </c>
      <c r="AC82">
        <f>HYPERLINK("https://klasma.github.io/Logging_1383/tillsyn/A 30573-2022 tillsynsbegäran.docx", "A 30573-2022")</f>
        <v/>
      </c>
      <c r="AD82">
        <f>HYPERLINK("https://klasma.github.io/Logging_1383/tillsynsmail/A 30573-2022 tillsynsbegäran mail.docx", "A 30573-2022")</f>
        <v/>
      </c>
    </row>
    <row r="83" ht="15" customHeight="1">
      <c r="A83" t="inlineStr">
        <is>
          <t>A 5512-2022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46265</v>
      </c>
      <c r="F83" t="inlineStr">
        <is>
          <t>HALLANDS LÄN</t>
        </is>
      </c>
      <c r="G83" t="inlineStr">
        <is>
          <t>HALMSTAD</t>
        </is>
      </c>
      <c r="I83" t="n">
        <v>3.1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Blåmossa
Spillkråka</t>
        </is>
      </c>
      <c r="W83">
        <f>HYPERLINK("https://klasma.github.io/Logging_1380/artfynd/A 5512-2022 artfynd.xlsx", "A 5512-2022")</f>
        <v/>
      </c>
      <c r="X83">
        <f>HYPERLINK("https://klasma.github.io/Logging_1380/kartor/A 5512-2022 karta.png", "A 5512-2022")</f>
        <v/>
      </c>
      <c r="Y83">
        <f>HYPERLINK("https://klasma.github.io/Logging_1380/kartor_geotiff/A 5512-2022 georefererad karta.tif", "A 5512-2022")</f>
        <v/>
      </c>
      <c r="AA83">
        <f>HYPERLINK("https://klasma.github.io/Logging_1380/klagomål/A 5512-2022 FSC-klagomål.docx", "A 5512-2022")</f>
        <v/>
      </c>
      <c r="AB83">
        <f>HYPERLINK("https://klasma.github.io/Logging_1380/klagomålsmail/A 5512-2022 FSC-klagomål mail.docx", "A 5512-2022")</f>
        <v/>
      </c>
      <c r="AC83">
        <f>HYPERLINK("https://klasma.github.io/Logging_1380/tillsyn/A 5512-2022 tillsynsbegäran.docx", "A 5512-2022")</f>
        <v/>
      </c>
      <c r="AD83">
        <f>HYPERLINK("https://klasma.github.io/Logging_1380/tillsynsmail/A 5512-2022 tillsynsbegäran mail.docx", "A 5512-2022")</f>
        <v/>
      </c>
      <c r="AE83">
        <f>HYPERLINK("https://klasma.github.io/Logging_1380/fåglar/A 5512-2022 prioriterade fågelarter.docx", "A 5512-2022")</f>
        <v/>
      </c>
    </row>
    <row r="84" ht="15" customHeight="1">
      <c r="A84" t="inlineStr">
        <is>
          <t>A 31030-2022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46265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Grovticka</t>
        </is>
      </c>
      <c r="W84">
        <f>HYPERLINK("https://klasma.github.io/Logging_1383/artfynd/A 31030-2022 artfynd.xlsx", "A 31030-2022")</f>
        <v/>
      </c>
      <c r="X84">
        <f>HYPERLINK("https://klasma.github.io/Logging_1383/kartor/A 31030-2022 karta.png", "A 31030-2022")</f>
        <v/>
      </c>
      <c r="Y84">
        <f>HYPERLINK("https://klasma.github.io/Logging_1383/kartor_geotiff/A 31030-2022 georefererad karta.tif", "A 31030-2022")</f>
        <v/>
      </c>
      <c r="AA84">
        <f>HYPERLINK("https://klasma.github.io/Logging_1383/klagomål/A 31030-2022 FSC-klagomål.docx", "A 31030-2022")</f>
        <v/>
      </c>
      <c r="AB84">
        <f>HYPERLINK("https://klasma.github.io/Logging_1383/klagomålsmail/A 31030-2022 FSC-klagomål mail.docx", "A 31030-2022")</f>
        <v/>
      </c>
      <c r="AC84">
        <f>HYPERLINK("https://klasma.github.io/Logging_1383/tillsyn/A 31030-2022 tillsynsbegäran.docx", "A 31030-2022")</f>
        <v/>
      </c>
      <c r="AD84">
        <f>HYPERLINK("https://klasma.github.io/Logging_1383/tillsynsmail/A 31030-2022 tillsynsbegäran mail.docx", "A 31030-2022")</f>
        <v/>
      </c>
    </row>
    <row r="85" ht="15" customHeight="1">
      <c r="A85" t="inlineStr">
        <is>
          <t>A 71006-2021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46265</v>
      </c>
      <c r="F85" t="inlineStr">
        <is>
          <t>HALLANDS LÄN</t>
        </is>
      </c>
      <c r="G85" t="inlineStr">
        <is>
          <t>HALMSTAD</t>
        </is>
      </c>
      <c r="H85" t="inlineStr">
        <is>
          <t>Bergvik skog väst AB</t>
        </is>
      </c>
      <c r="I85" t="n">
        <v>11.1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Hårginst
Trädlärka</t>
        </is>
      </c>
      <c r="W85">
        <f>HYPERLINK("https://klasma.github.io/Logging_1380/artfynd/A 71006-2021 artfynd.xlsx", "A 71006-2021")</f>
        <v/>
      </c>
      <c r="X85">
        <f>HYPERLINK("https://klasma.github.io/Logging_1380/kartor/A 71006-2021 karta.png", "A 71006-2021")</f>
        <v/>
      </c>
      <c r="Y85">
        <f>HYPERLINK("https://klasma.github.io/Logging_1380/kartor_geotiff/A 71006-2021 georefererad karta.tif", "A 71006-2021")</f>
        <v/>
      </c>
      <c r="AA85">
        <f>HYPERLINK("https://klasma.github.io/Logging_1380/klagomål/A 71006-2021 FSC-klagomål.docx", "A 71006-2021")</f>
        <v/>
      </c>
      <c r="AB85">
        <f>HYPERLINK("https://klasma.github.io/Logging_1380/klagomålsmail/A 71006-2021 FSC-klagomål mail.docx", "A 71006-2021")</f>
        <v/>
      </c>
      <c r="AC85">
        <f>HYPERLINK("https://klasma.github.io/Logging_1380/tillsyn/A 71006-2021 tillsynsbegäran.docx", "A 71006-2021")</f>
        <v/>
      </c>
      <c r="AD85">
        <f>HYPERLINK("https://klasma.github.io/Logging_1380/tillsynsmail/A 71006-2021 tillsynsbegäran mail.docx", "A 71006-2021")</f>
        <v/>
      </c>
      <c r="AE85">
        <f>HYPERLINK("https://klasma.github.io/Logging_1380/fåglar/A 71006-2021 prioriterade fågelarter.docx", "A 71006-2021")</f>
        <v/>
      </c>
    </row>
    <row r="86" ht="15" customHeight="1">
      <c r="A86" t="inlineStr">
        <is>
          <t>A 44134-2022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46265</v>
      </c>
      <c r="F86" t="inlineStr">
        <is>
          <t>HALLANDS LÄN</t>
        </is>
      </c>
      <c r="G86" t="inlineStr">
        <is>
          <t>HYLTE</t>
        </is>
      </c>
      <c r="I86" t="n">
        <v>0.8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HYPERLINK("https://klasma.github.io/Logging_1315/artfynd/A 44134-2022 artfynd.xlsx", "A 44134-2022")</f>
        <v/>
      </c>
      <c r="X86">
        <f>HYPERLINK("https://klasma.github.io/Logging_1315/kartor/A 44134-2022 karta.png", "A 44134-2022")</f>
        <v/>
      </c>
      <c r="Y86">
        <f>HYPERLINK("https://klasma.github.io/Logging_1315/kartor_geotiff/A 44134-2022 georefererad karta.tif", "A 44134-2022")</f>
        <v/>
      </c>
      <c r="AA86">
        <f>HYPERLINK("https://klasma.github.io/Logging_1315/klagomål/A 44134-2022 FSC-klagomål.docx", "A 44134-2022")</f>
        <v/>
      </c>
      <c r="AB86">
        <f>HYPERLINK("https://klasma.github.io/Logging_1315/klagomålsmail/A 44134-2022 FSC-klagomål mail.docx", "A 44134-2022")</f>
        <v/>
      </c>
      <c r="AC86">
        <f>HYPERLINK("https://klasma.github.io/Logging_1315/tillsyn/A 44134-2022 tillsynsbegäran.docx", "A 44134-2022")</f>
        <v/>
      </c>
      <c r="AD86">
        <f>HYPERLINK("https://klasma.github.io/Logging_1315/tillsynsmail/A 44134-2022 tillsynsbegäran mail.docx", "A 44134-2022")</f>
        <v/>
      </c>
      <c r="AE86">
        <f>HYPERLINK("https://klasma.github.io/Logging_1315/fåglar/A 44134-2022 prioriterade fågelarter.docx", "A 44134-2022")</f>
        <v/>
      </c>
    </row>
    <row r="87" ht="15" customHeight="1">
      <c r="A87" t="inlineStr">
        <is>
          <t>A 70738-2021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46265</v>
      </c>
      <c r="F87" t="inlineStr">
        <is>
          <t>HALLANDS LÄN</t>
        </is>
      </c>
      <c r="G87" t="inlineStr">
        <is>
          <t>HALMSTAD</t>
        </is>
      </c>
      <c r="H87" t="inlineStr">
        <is>
          <t>Kyrkan</t>
        </is>
      </c>
      <c r="I87" t="n">
        <v>2.4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Entita
Hårginst</t>
        </is>
      </c>
      <c r="W87">
        <f>HYPERLINK("https://klasma.github.io/Logging_1380/artfynd/A 70738-2021 artfynd.xlsx", "A 70738-2021")</f>
        <v/>
      </c>
      <c r="X87">
        <f>HYPERLINK("https://klasma.github.io/Logging_1380/kartor/A 70738-2021 karta.png", "A 70738-2021")</f>
        <v/>
      </c>
      <c r="Y87">
        <f>HYPERLINK("https://klasma.github.io/Logging_1380/kartor_geotiff/A 70738-2021 georefererad karta.tif", "A 70738-2021")</f>
        <v/>
      </c>
      <c r="AA87">
        <f>HYPERLINK("https://klasma.github.io/Logging_1380/klagomål/A 70738-2021 FSC-klagomål.docx", "A 70738-2021")</f>
        <v/>
      </c>
      <c r="AB87">
        <f>HYPERLINK("https://klasma.github.io/Logging_1380/klagomålsmail/A 70738-2021 FSC-klagomål mail.docx", "A 70738-2021")</f>
        <v/>
      </c>
      <c r="AC87">
        <f>HYPERLINK("https://klasma.github.io/Logging_1380/tillsyn/A 70738-2021 tillsynsbegäran.docx", "A 70738-2021")</f>
        <v/>
      </c>
      <c r="AD87">
        <f>HYPERLINK("https://klasma.github.io/Logging_1380/tillsynsmail/A 70738-2021 tillsynsbegäran mail.docx", "A 70738-2021")</f>
        <v/>
      </c>
      <c r="AE87">
        <f>HYPERLINK("https://klasma.github.io/Logging_1380/fåglar/A 70738-2021 prioriterade fågelarter.docx", "A 70738-2021")</f>
        <v/>
      </c>
    </row>
    <row r="88" ht="15" customHeight="1">
      <c r="A88" t="inlineStr">
        <is>
          <t>A 5758-2024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46265</v>
      </c>
      <c r="F88" t="inlineStr">
        <is>
          <t>HALLANDS LÄN</t>
        </is>
      </c>
      <c r="G88" t="inlineStr">
        <is>
          <t>FALKENBERG</t>
        </is>
      </c>
      <c r="H88" t="inlineStr">
        <is>
          <t>Kyrkan</t>
        </is>
      </c>
      <c r="I88" t="n">
        <v>5.4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Gulnål
Platt fjädermossa</t>
        </is>
      </c>
      <c r="W88">
        <f>HYPERLINK("https://klasma.github.io/Logging_1382/artfynd/A 5758-2024 artfynd.xlsx", "A 5758-2024")</f>
        <v/>
      </c>
      <c r="X88">
        <f>HYPERLINK("https://klasma.github.io/Logging_1382/kartor/A 5758-2024 karta.png", "A 5758-2024")</f>
        <v/>
      </c>
      <c r="Y88">
        <f>HYPERLINK("https://klasma.github.io/Logging_1382/kartor_geotiff/A 5758-2024 georefererad karta.tif", "A 5758-2024")</f>
        <v/>
      </c>
      <c r="AA88">
        <f>HYPERLINK("https://klasma.github.io/Logging_1382/klagomål/A 5758-2024 FSC-klagomål.docx", "A 5758-2024")</f>
        <v/>
      </c>
      <c r="AB88">
        <f>HYPERLINK("https://klasma.github.io/Logging_1382/klagomålsmail/A 5758-2024 FSC-klagomål mail.docx", "A 5758-2024")</f>
        <v/>
      </c>
      <c r="AC88">
        <f>HYPERLINK("https://klasma.github.io/Logging_1382/tillsyn/A 5758-2024 tillsynsbegäran.docx", "A 5758-2024")</f>
        <v/>
      </c>
      <c r="AD88">
        <f>HYPERLINK("https://klasma.github.io/Logging_1382/tillsynsmail/A 5758-2024 tillsynsbegäran mail.docx", "A 5758-2024")</f>
        <v/>
      </c>
    </row>
    <row r="89" ht="15" customHeight="1">
      <c r="A89" t="inlineStr">
        <is>
          <t>A 27474-2023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46265</v>
      </c>
      <c r="F89" t="inlineStr">
        <is>
          <t>HALLANDS LÄN</t>
        </is>
      </c>
      <c r="G89" t="inlineStr">
        <is>
          <t>VARBERG</t>
        </is>
      </c>
      <c r="I89" t="n">
        <v>3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Björksplintborre
Jättesvampmal</t>
        </is>
      </c>
      <c r="W89">
        <f>HYPERLINK("https://klasma.github.io/Logging_1383/artfynd/A 27474-2023 artfynd.xlsx", "A 27474-2023")</f>
        <v/>
      </c>
      <c r="X89">
        <f>HYPERLINK("https://klasma.github.io/Logging_1383/kartor/A 27474-2023 karta.png", "A 27474-2023")</f>
        <v/>
      </c>
      <c r="Y89">
        <f>HYPERLINK("https://klasma.github.io/Logging_1383/kartor_geotiff/A 27474-2023 georefererad karta.tif", "A 27474-2023")</f>
        <v/>
      </c>
      <c r="AA89">
        <f>HYPERLINK("https://klasma.github.io/Logging_1383/klagomål/A 27474-2023 FSC-klagomål.docx", "A 27474-2023")</f>
        <v/>
      </c>
      <c r="AB89">
        <f>HYPERLINK("https://klasma.github.io/Logging_1383/klagomålsmail/A 27474-2023 FSC-klagomål mail.docx", "A 27474-2023")</f>
        <v/>
      </c>
      <c r="AC89">
        <f>HYPERLINK("https://klasma.github.io/Logging_1383/tillsyn/A 27474-2023 tillsynsbegäran.docx", "A 27474-2023")</f>
        <v/>
      </c>
      <c r="AD89">
        <f>HYPERLINK("https://klasma.github.io/Logging_1383/tillsynsmail/A 27474-2023 tillsynsbegäran mail.docx", "A 27474-2023")</f>
        <v/>
      </c>
    </row>
    <row r="90" ht="15" customHeight="1">
      <c r="A90" t="inlineStr">
        <is>
          <t>A 23928-2025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45795</v>
      </c>
      <c r="E90" s="1" t="n">
        <v>46265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Grå skärelav
Rostfläck</t>
        </is>
      </c>
      <c r="W90">
        <f>HYPERLINK("https://klasma.github.io/Logging_1382/artfynd/A 23928-2025 artfynd.xlsx", "A 23928-2025")</f>
        <v/>
      </c>
      <c r="X90">
        <f>HYPERLINK("https://klasma.github.io/Logging_1382/kartor/A 23928-2025 karta.png", "A 23928-2025")</f>
        <v/>
      </c>
      <c r="Y90">
        <f>HYPERLINK("https://klasma.github.io/Logging_1382/kartor_geotiff/A 23928-2025 georefererad karta.tif", "A 23928-2025")</f>
        <v/>
      </c>
      <c r="AA90">
        <f>HYPERLINK("https://klasma.github.io/Logging_1382/klagomål/A 23928-2025 FSC-klagomål.docx", "A 23928-2025")</f>
        <v/>
      </c>
      <c r="AB90">
        <f>HYPERLINK("https://klasma.github.io/Logging_1382/klagomålsmail/A 23928-2025 FSC-klagomål mail.docx", "A 23928-2025")</f>
        <v/>
      </c>
      <c r="AC90">
        <f>HYPERLINK("https://klasma.github.io/Logging_1382/tillsyn/A 23928-2025 tillsynsbegäran.docx", "A 23928-2025")</f>
        <v/>
      </c>
      <c r="AD90">
        <f>HYPERLINK("https://klasma.github.io/Logging_1382/tillsynsmail/A 23928-2025 tillsynsbegäran mail.docx", "A 23928-2025")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46265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61519-2023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46265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15.9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Kungsfågel</t>
        </is>
      </c>
      <c r="W92">
        <f>HYPERLINK("https://klasma.github.io/Logging_1381/artfynd/A 61519-2023 artfynd.xlsx", "A 61519-2023")</f>
        <v/>
      </c>
      <c r="X92">
        <f>HYPERLINK("https://klasma.github.io/Logging_1381/kartor/A 61519-2023 karta.png", "A 61519-2023")</f>
        <v/>
      </c>
      <c r="Y92">
        <f>HYPERLINK("https://klasma.github.io/Logging_1381/kartor_geotiff/A 61519-2023 georefererad karta.tif", "A 61519-2023")</f>
        <v/>
      </c>
      <c r="AA92">
        <f>HYPERLINK("https://klasma.github.io/Logging_1381/klagomål/A 61519-2023 FSC-klagomål.docx", "A 61519-2023")</f>
        <v/>
      </c>
      <c r="AB92">
        <f>HYPERLINK("https://klasma.github.io/Logging_1381/klagomålsmail/A 61519-2023 FSC-klagomål mail.docx", "A 61519-2023")</f>
        <v/>
      </c>
      <c r="AC92">
        <f>HYPERLINK("https://klasma.github.io/Logging_1381/tillsyn/A 61519-2023 tillsynsbegäran.docx", "A 61519-2023")</f>
        <v/>
      </c>
      <c r="AD92">
        <f>HYPERLINK("https://klasma.github.io/Logging_1381/tillsynsmail/A 61519-2023 tillsynsbegäran mail.docx", "A 61519-2023")</f>
        <v/>
      </c>
      <c r="AE92">
        <f>HYPERLINK("https://klasma.github.io/Logging_1381/fåglar/A 61519-2023 prioriterade fågelarter.docx", "A 61519-2023")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46265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46265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Stor revmossa
Spillkråka</t>
        </is>
      </c>
      <c r="W94">
        <f>HYPERLINK("https://klasma.github.io/Logging_1383/artfynd/A 13093-2025 artfynd.xlsx", "A 13093-2025")</f>
        <v/>
      </c>
      <c r="X94">
        <f>HYPERLINK("https://klasma.github.io/Logging_1383/kartor/A 13093-2025 karta.png", "A 13093-2025")</f>
        <v/>
      </c>
      <c r="Y94">
        <f>HYPERLINK("https://klasma.github.io/Logging_1383/kartor_geotiff/A 13093-2025 georefererad karta.tif", "A 13093-2025")</f>
        <v/>
      </c>
      <c r="AA94">
        <f>HYPERLINK("https://klasma.github.io/Logging_1383/klagomål/A 13093-2025 FSC-klagomål.docx", "A 13093-2025")</f>
        <v/>
      </c>
      <c r="AB94">
        <f>HYPERLINK("https://klasma.github.io/Logging_1383/klagomålsmail/A 13093-2025 FSC-klagomål mail.docx", "A 13093-2025")</f>
        <v/>
      </c>
      <c r="AC94">
        <f>HYPERLINK("https://klasma.github.io/Logging_1383/tillsyn/A 13093-2025 tillsynsbegäran.docx", "A 13093-2025")</f>
        <v/>
      </c>
      <c r="AD94">
        <f>HYPERLINK("https://klasma.github.io/Logging_1383/tillsynsmail/A 13093-2025 tillsynsbegäran mail.docx", "A 13093-2025")</f>
        <v/>
      </c>
      <c r="AE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46265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50273-2024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46265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1</v>
      </c>
      <c r="V96" s="2" t="inlineStr">
        <is>
          <t>Flytsvalting
Revlummer</t>
        </is>
      </c>
      <c r="W96">
        <f>HYPERLINK("https://klasma.github.io/Logging_1382/artfynd/A 50273-2024 artfynd.xlsx", "A 50273-2024")</f>
        <v/>
      </c>
      <c r="X96">
        <f>HYPERLINK("https://klasma.github.io/Logging_1382/kartor/A 50273-2024 karta.png", "A 50273-2024")</f>
        <v/>
      </c>
      <c r="Y96">
        <f>HYPERLINK("https://klasma.github.io/Logging_1382/kartor_geotiff/A 50273-2024 georefererad karta.tif", "A 50273-2024")</f>
        <v/>
      </c>
      <c r="AA96">
        <f>HYPERLINK("https://klasma.github.io/Logging_1382/klagomål/A 50273-2024 FSC-klagomål.docx", "A 50273-2024")</f>
        <v/>
      </c>
      <c r="AB96">
        <f>HYPERLINK("https://klasma.github.io/Logging_1382/klagomålsmail/A 50273-2024 FSC-klagomål mail.docx", "A 50273-2024")</f>
        <v/>
      </c>
      <c r="AC96">
        <f>HYPERLINK("https://klasma.github.io/Logging_1382/tillsyn/A 50273-2024 tillsynsbegäran.docx", "A 50273-2024")</f>
        <v/>
      </c>
      <c r="AD96">
        <f>HYPERLINK("https://klasma.github.io/Logging_1382/tillsynsmail/A 50273-2024 tillsynsbegäran mail.docx", "A 50273-2024")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46265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31507-2025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46265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Kambräken
Lopplummer (aggregat)</t>
        </is>
      </c>
      <c r="W98">
        <f>HYPERLINK("https://klasma.github.io/Logging_1381/artfynd/A 31507-2025 artfynd.xlsx", "A 31507-2025")</f>
        <v/>
      </c>
      <c r="X98">
        <f>HYPERLINK("https://klasma.github.io/Logging_1381/kartor/A 31507-2025 karta.png", "A 31507-2025")</f>
        <v/>
      </c>
      <c r="Y98">
        <f>HYPERLINK("https://klasma.github.io/Logging_1381/kartor_geotiff/A 31507-2025 georefererad karta.tif", "A 31507-2025")</f>
        <v/>
      </c>
      <c r="AA98">
        <f>HYPERLINK("https://klasma.github.io/Logging_1381/klagomål/A 31507-2025 FSC-klagomål.docx", "A 31507-2025")</f>
        <v/>
      </c>
      <c r="AB98">
        <f>HYPERLINK("https://klasma.github.io/Logging_1381/klagomålsmail/A 31507-2025 FSC-klagomål mail.docx", "A 31507-2025")</f>
        <v/>
      </c>
      <c r="AC98">
        <f>HYPERLINK("https://klasma.github.io/Logging_1381/tillsyn/A 31507-2025 tillsynsbegäran.docx", "A 31507-2025")</f>
        <v/>
      </c>
      <c r="AD98">
        <f>HYPERLINK("https://klasma.github.io/Logging_1381/tillsynsmail/A 31507-2025 tillsynsbegäran mail.docx", "A 31507-2025")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46265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46265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46265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46265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46265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46265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2784-2026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46265</v>
      </c>
      <c r="F105" t="inlineStr">
        <is>
          <t>HALLANDS LÄN</t>
        </is>
      </c>
      <c r="G105" t="inlineStr">
        <is>
          <t>LAHOLM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6</v>
      </c>
      <c r="U105" t="n">
        <v>0</v>
      </c>
      <c r="V105" s="2" t="inlineStr">
        <is>
          <t>Slåttergubbe
Nattviol</t>
        </is>
      </c>
      <c r="W105">
        <f>HYPERLINK("https://klasma.github.io/Logging_1381/artfynd/A 2784-2026 artfynd.xlsx", "A 2784-2026")</f>
        <v/>
      </c>
      <c r="X105">
        <f>HYPERLINK("https://klasma.github.io/Logging_1381/kartor/A 2784-2026 karta.png", "A 2784-2026")</f>
        <v/>
      </c>
      <c r="Y105">
        <f>HYPERLINK("https://klasma.github.io/Logging_1381/kartor_geotiff/A 2784-2026 georefererad karta.tif", "A 2784-2026")</f>
        <v/>
      </c>
      <c r="AA105">
        <f>HYPERLINK("https://klasma.github.io/Logging_1381/klagomål/A 2784-2026 FSC-klagomål.docx", "A 2784-2026")</f>
        <v/>
      </c>
      <c r="AB105">
        <f>HYPERLINK("https://klasma.github.io/Logging_1381/klagomålsmail/A 2784-2026 FSC-klagomål mail.docx", "A 2784-2026")</f>
        <v/>
      </c>
      <c r="AC105">
        <f>HYPERLINK("https://klasma.github.io/Logging_1381/tillsyn/A 2784-2026 tillsynsbegäran.docx", "A 2784-2026")</f>
        <v/>
      </c>
      <c r="AD105">
        <f>HYPERLINK("https://klasma.github.io/Logging_1381/tillsynsmail/A 2784-2026 tillsynsbegäran mail.docx", "A 2784-2026")</f>
        <v/>
      </c>
    </row>
    <row r="106" ht="15" customHeight="1">
      <c r="A106" t="inlineStr">
        <is>
          <t>A 2767-2026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46038</v>
      </c>
      <c r="E106" s="1" t="n">
        <v>46265</v>
      </c>
      <c r="F106" t="inlineStr">
        <is>
          <t>HALLANDS LÄN</t>
        </is>
      </c>
      <c r="G106" t="inlineStr">
        <is>
          <t>LAHOLM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7</v>
      </c>
      <c r="U106" t="n">
        <v>0</v>
      </c>
      <c r="V106" s="2" t="inlineStr">
        <is>
          <t>Slåttergubbe
Svarttandad maskros</t>
        </is>
      </c>
      <c r="W106">
        <f>HYPERLINK("https://klasma.github.io/Logging_1381/artfynd/A 2767-2026 artfynd.xlsx", "A 2767-2026")</f>
        <v/>
      </c>
      <c r="X106">
        <f>HYPERLINK("https://klasma.github.io/Logging_1381/kartor/A 2767-2026 karta.png", "A 2767-2026")</f>
        <v/>
      </c>
      <c r="Y106">
        <f>HYPERLINK("https://klasma.github.io/Logging_1381/kartor_geotiff/A 2767-2026 georefererad karta.tif", "A 2767-2026")</f>
        <v/>
      </c>
      <c r="AA106">
        <f>HYPERLINK("https://klasma.github.io/Logging_1381/klagomål/A 2767-2026 FSC-klagomål.docx", "A 2767-2026")</f>
        <v/>
      </c>
      <c r="AB106">
        <f>HYPERLINK("https://klasma.github.io/Logging_1381/klagomålsmail/A 2767-2026 FSC-klagomål mail.docx", "A 2767-2026")</f>
        <v/>
      </c>
      <c r="AC106">
        <f>HYPERLINK("https://klasma.github.io/Logging_1381/tillsyn/A 2767-2026 tillsynsbegäran.docx", "A 2767-2026")</f>
        <v/>
      </c>
      <c r="AD106">
        <f>HYPERLINK("https://klasma.github.io/Logging_1381/tillsynsmail/A 2767-2026 tillsynsbegäran mail.docx", "A 2767-2026")</f>
        <v/>
      </c>
    </row>
    <row r="107" ht="15" customHeight="1">
      <c r="A107" t="inlineStr">
        <is>
          <t>A 5027-2026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46265</v>
      </c>
      <c r="F107" t="inlineStr">
        <is>
          <t>HALLANDS LÄN</t>
        </is>
      </c>
      <c r="G107" t="inlineStr">
        <is>
          <t>HYLTE</t>
        </is>
      </c>
      <c r="I107" t="n">
        <v>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Västlig hakmossa
Revlummer</t>
        </is>
      </c>
      <c r="W107">
        <f>HYPERLINK("https://klasma.github.io/Logging_1315/artfynd/A 5027-2026 artfynd.xlsx", "A 5027-2026")</f>
        <v/>
      </c>
      <c r="X107">
        <f>HYPERLINK("https://klasma.github.io/Logging_1315/kartor/A 5027-2026 karta.png", "A 5027-2026")</f>
        <v/>
      </c>
      <c r="Y107">
        <f>HYPERLINK("https://klasma.github.io/Logging_1315/kartor_geotiff/A 5027-2026 georefererad karta.tif", "A 5027-2026")</f>
        <v/>
      </c>
      <c r="AA107">
        <f>HYPERLINK("https://klasma.github.io/Logging_1315/klagomål/A 5027-2026 FSC-klagomål.docx", "A 5027-2026")</f>
        <v/>
      </c>
      <c r="AB107">
        <f>HYPERLINK("https://klasma.github.io/Logging_1315/klagomålsmail/A 5027-2026 FSC-klagomål mail.docx", "A 5027-2026")</f>
        <v/>
      </c>
      <c r="AC107">
        <f>HYPERLINK("https://klasma.github.io/Logging_1315/tillsyn/A 5027-2026 tillsynsbegäran.docx", "A 5027-2026")</f>
        <v/>
      </c>
      <c r="AD107">
        <f>HYPERLINK("https://klasma.github.io/Logging_1315/tillsynsmail/A 5027-2026 tillsynsbegäran mail.docx", "A 5027-2026")</f>
        <v/>
      </c>
    </row>
    <row r="108" ht="15" customHeight="1">
      <c r="A108" t="inlineStr">
        <is>
          <t>A 9049-2026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46265</v>
      </c>
      <c r="F108" t="inlineStr">
        <is>
          <t>HALLANDS LÄN</t>
        </is>
      </c>
      <c r="G108" t="inlineStr">
        <is>
          <t>HALMSTAD</t>
        </is>
      </c>
      <c r="I108" t="n">
        <v>2.4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Sångsvan
Grönvit nattviol</t>
        </is>
      </c>
      <c r="W108">
        <f>HYPERLINK("https://klasma.github.io/Logging_1380/artfynd/A 9049-2026 artfynd.xlsx", "A 9049-2026")</f>
        <v/>
      </c>
      <c r="X108">
        <f>HYPERLINK("https://klasma.github.io/Logging_1380/kartor/A 9049-2026 karta.png", "A 9049-2026")</f>
        <v/>
      </c>
      <c r="Y108">
        <f>HYPERLINK("https://klasma.github.io/Logging_1380/kartor_geotiff/A 9049-2026 georefererad karta.tif", "A 9049-2026")</f>
        <v/>
      </c>
      <c r="AA108">
        <f>HYPERLINK("https://klasma.github.io/Logging_1380/klagomål/A 9049-2026 FSC-klagomål.docx", "A 9049-2026")</f>
        <v/>
      </c>
      <c r="AB108">
        <f>HYPERLINK("https://klasma.github.io/Logging_1380/klagomålsmail/A 9049-2026 FSC-klagomål mail.docx", "A 9049-2026")</f>
        <v/>
      </c>
      <c r="AC108">
        <f>HYPERLINK("https://klasma.github.io/Logging_1380/tillsyn/A 9049-2026 tillsynsbegäran.docx", "A 9049-2026")</f>
        <v/>
      </c>
      <c r="AD108">
        <f>HYPERLINK("https://klasma.github.io/Logging_1380/tillsynsmail/A 9049-2026 tillsynsbegäran mail.docx", "A 9049-2026")</f>
        <v/>
      </c>
      <c r="AE108">
        <f>HYPERLINK("https://klasma.github.io/Logging_1380/fåglar/A 9049-2026 prioriterade fågelarter.docx", "A 9049-2026")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46265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46265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46265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15096-2025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45744</v>
      </c>
      <c r="E112" s="1" t="n">
        <v>46265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Nordfladdermus
Dvärgpipistrell</t>
        </is>
      </c>
      <c r="W112">
        <f>HYPERLINK("https://klasma.github.io/Logging_1384/artfynd/A 15096-2025 artfynd.xlsx", "A 15096-2025")</f>
        <v/>
      </c>
      <c r="X112">
        <f>HYPERLINK("https://klasma.github.io/Logging_1384/kartor/A 15096-2025 karta.png", "A 15096-2025")</f>
        <v/>
      </c>
      <c r="Y112">
        <f>HYPERLINK("https://klasma.github.io/Logging_1384/kartor_geotiff/A 15096-2025 georefererad karta.tif", "A 15096-2025")</f>
        <v/>
      </c>
      <c r="AA112">
        <f>HYPERLINK("https://klasma.github.io/Logging_1384/klagomål/A 15096-2025 FSC-klagomål.docx", "A 15096-2025")</f>
        <v/>
      </c>
      <c r="AB112">
        <f>HYPERLINK("https://klasma.github.io/Logging_1384/klagomålsmail/A 15096-2025 FSC-klagomål mail.docx", "A 15096-2025")</f>
        <v/>
      </c>
      <c r="AC112">
        <f>HYPERLINK("https://klasma.github.io/Logging_1384/tillsyn/A 15096-2025 tillsynsbegäran.docx", "A 15096-2025")</f>
        <v/>
      </c>
      <c r="AD112">
        <f>HYPERLINK("https://klasma.github.io/Logging_1384/tillsynsmail/A 15096-2025 tillsynsbegäran mail.docx", "A 15096-2025")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46265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46265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46265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46265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36068-2023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45149</v>
      </c>
      <c r="E117" s="1" t="n">
        <v>46265</v>
      </c>
      <c r="F117" t="inlineStr">
        <is>
          <t>HALLANDS LÄN</t>
        </is>
      </c>
      <c r="G117" t="inlineStr">
        <is>
          <t>KUNGSBACKA</t>
        </is>
      </c>
      <c r="I117" t="n">
        <v>5.3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Tjäder
Kungsfågel</t>
        </is>
      </c>
      <c r="W117">
        <f>HYPERLINK("https://klasma.github.io/Logging_1384/artfynd/A 36068-2023 artfynd.xlsx", "A 36068-2023")</f>
        <v/>
      </c>
      <c r="X117">
        <f>HYPERLINK("https://klasma.github.io/Logging_1384/kartor/A 36068-2023 karta.png", "A 36068-2023")</f>
        <v/>
      </c>
      <c r="Y117">
        <f>HYPERLINK("https://klasma.github.io/Logging_1384/kartor_geotiff/A 36068-2023 georefererad karta.tif", "A 36068-2023")</f>
        <v/>
      </c>
      <c r="AA117">
        <f>HYPERLINK("https://klasma.github.io/Logging_1384/klagomål/A 36068-2023 FSC-klagomål.docx", "A 36068-2023")</f>
        <v/>
      </c>
      <c r="AB117">
        <f>HYPERLINK("https://klasma.github.io/Logging_1384/klagomålsmail/A 36068-2023 FSC-klagomål mail.docx", "A 36068-2023")</f>
        <v/>
      </c>
      <c r="AC117">
        <f>HYPERLINK("https://klasma.github.io/Logging_1384/tillsyn/A 36068-2023 tillsynsbegäran.docx", "A 36068-2023")</f>
        <v/>
      </c>
      <c r="AD117">
        <f>HYPERLINK("https://klasma.github.io/Logging_1384/tillsynsmail/A 36068-2023 tillsynsbegäran mail.docx", "A 36068-2023")</f>
        <v/>
      </c>
      <c r="AE117">
        <f>HYPERLINK("https://klasma.github.io/Logging_1384/fåglar/A 36068-2023 prioriterade fågelarter.docx", "A 36068-2023")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46265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25250-2026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46265</v>
      </c>
      <c r="F119" t="inlineStr">
        <is>
          <t>HALLANDS LÄN</t>
        </is>
      </c>
      <c r="G119" t="inlineStr">
        <is>
          <t>HALMSTAD</t>
        </is>
      </c>
      <c r="I119" t="n">
        <v>3.6</v>
      </c>
      <c r="J119" t="n">
        <v>0</v>
      </c>
      <c r="K119" t="n">
        <v>1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Skogsalm
Tibast</t>
        </is>
      </c>
      <c r="W119">
        <f>HYPERLINK("https://klasma.github.io/Logging_1380/artfynd/A 25250-2026 artfynd.xlsx", "A 25250-2026")</f>
        <v/>
      </c>
      <c r="X119">
        <f>HYPERLINK("https://klasma.github.io/Logging_1380/kartor/A 25250-2026 karta.png", "A 25250-2026")</f>
        <v/>
      </c>
      <c r="Y119">
        <f>HYPERLINK("https://klasma.github.io/Logging_1380/kartor_geotiff/A 25250-2026 georefererad karta.tif", "A 25250-2026")</f>
        <v/>
      </c>
      <c r="AA119">
        <f>HYPERLINK("https://klasma.github.io/Logging_1380/klagomål/A 25250-2026 FSC-klagomål.docx", "A 25250-2026")</f>
        <v/>
      </c>
      <c r="AB119">
        <f>HYPERLINK("https://klasma.github.io/Logging_1380/klagomålsmail/A 25250-2026 FSC-klagomål mail.docx", "A 25250-2026")</f>
        <v/>
      </c>
      <c r="AC119">
        <f>HYPERLINK("https://klasma.github.io/Logging_1380/tillsyn/A 25250-2026 tillsynsbegäran.docx", "A 25250-2026")</f>
        <v/>
      </c>
      <c r="AD119">
        <f>HYPERLINK("https://klasma.github.io/Logging_1380/tillsynsmail/A 25250-2026 tillsynsbegäran mail.docx", "A 25250-2026")</f>
        <v/>
      </c>
    </row>
    <row r="120" ht="15" customHeight="1">
      <c r="A120" t="inlineStr">
        <is>
          <t>A 42170-2025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46265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Pärluggla
Orre</t>
        </is>
      </c>
      <c r="W120">
        <f>HYPERLINK("https://klasma.github.io/Logging_1315/artfynd/A 42170-2025 artfynd.xlsx", "A 42170-2025")</f>
        <v/>
      </c>
      <c r="X120">
        <f>HYPERLINK("https://klasma.github.io/Logging_1315/kartor/A 42170-2025 karta.png", "A 42170-2025")</f>
        <v/>
      </c>
      <c r="Y120">
        <f>HYPERLINK("https://klasma.github.io/Logging_1315/kartor_geotiff/A 42170-2025 georefererad karta.tif", "A 42170-2025")</f>
        <v/>
      </c>
      <c r="AA120">
        <f>HYPERLINK("https://klasma.github.io/Logging_1315/klagomål/A 42170-2025 FSC-klagomål.docx", "A 42170-2025")</f>
        <v/>
      </c>
      <c r="AB120">
        <f>HYPERLINK("https://klasma.github.io/Logging_1315/klagomålsmail/A 42170-2025 FSC-klagomål mail.docx", "A 42170-2025")</f>
        <v/>
      </c>
      <c r="AC120">
        <f>HYPERLINK("https://klasma.github.io/Logging_1315/tillsyn/A 42170-2025 tillsynsbegäran.docx", "A 42170-2025")</f>
        <v/>
      </c>
      <c r="AD120">
        <f>HYPERLINK("https://klasma.github.io/Logging_1315/tillsynsmail/A 42170-2025 tillsynsbegäran mail.docx", "A 42170-2025")</f>
        <v/>
      </c>
      <c r="AE120">
        <f>HYPERLINK("https://klasma.github.io/Logging_1315/fåglar/A 42170-2025 prioriterade fågelarter.docx", "A 42170-2025")</f>
        <v/>
      </c>
    </row>
    <row r="121" ht="15" customHeight="1">
      <c r="A121" t="inlineStr">
        <is>
          <t>A 20935-2026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46142</v>
      </c>
      <c r="E121" s="1" t="n">
        <v>46265</v>
      </c>
      <c r="F121" t="inlineStr">
        <is>
          <t>HALLANDS LÄN</t>
        </is>
      </c>
      <c r="G121" t="inlineStr">
        <is>
          <t>FALKENBERG</t>
        </is>
      </c>
      <c r="I121" t="n">
        <v>9.800000000000001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3</v>
      </c>
      <c r="U121" t="n">
        <v>2</v>
      </c>
      <c r="V121" s="2" t="inlineStr">
        <is>
          <t>Bokvårtlav
Platt fjädermossa</t>
        </is>
      </c>
      <c r="W121">
        <f>HYPERLINK("https://klasma.github.io/Logging_1382/artfynd/A 20935-2026 artfynd.xlsx", "A 20935-2026")</f>
        <v/>
      </c>
      <c r="X121">
        <f>HYPERLINK("https://klasma.github.io/Logging_1382/kartor/A 20935-2026 karta.png", "A 20935-2026")</f>
        <v/>
      </c>
      <c r="Y121">
        <f>HYPERLINK("https://klasma.github.io/Logging_1382/kartor_geotiff/A 20935-2026 georefererad karta.tif", "A 20935-2026")</f>
        <v/>
      </c>
      <c r="AA121">
        <f>HYPERLINK("https://klasma.github.io/Logging_1382/klagomål/A 20935-2026 FSC-klagomål.docx", "A 20935-2026")</f>
        <v/>
      </c>
      <c r="AB121">
        <f>HYPERLINK("https://klasma.github.io/Logging_1382/klagomålsmail/A 20935-2026 FSC-klagomål mail.docx", "A 20935-2026")</f>
        <v/>
      </c>
      <c r="AC121">
        <f>HYPERLINK("https://klasma.github.io/Logging_1382/tillsyn/A 20935-2026 tillsynsbegäran.docx", "A 20935-2026")</f>
        <v/>
      </c>
      <c r="AD121">
        <f>HYPERLINK("https://klasma.github.io/Logging_1382/tillsynsmail/A 20935-2026 tillsynsbegäran mail.docx", "A 20935-2026")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46265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46265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46265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46265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46265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46265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46265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46265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46265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46265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46265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46265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46265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46265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46265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46265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46265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46265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46265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46265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14779-2022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46265</v>
      </c>
      <c r="F142" t="inlineStr">
        <is>
          <t>HALLANDS LÄN</t>
        </is>
      </c>
      <c r="G142" t="inlineStr">
        <is>
          <t>HALMSTAD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Slätbjörnbär</t>
        </is>
      </c>
      <c r="W142">
        <f>HYPERLINK("https://klasma.github.io/Logging_1380/artfynd/A 14779-2022 artfynd.xlsx", "A 14779-2022")</f>
        <v/>
      </c>
      <c r="X142">
        <f>HYPERLINK("https://klasma.github.io/Logging_1380/kartor/A 14779-2022 karta.png", "A 14779-2022")</f>
        <v/>
      </c>
      <c r="Y142">
        <f>HYPERLINK("https://klasma.github.io/Logging_1380/kartor_geotiff/A 14779-2022 georefererad karta.tif", "A 14779-2022")</f>
        <v/>
      </c>
      <c r="AA142">
        <f>HYPERLINK("https://klasma.github.io/Logging_1380/klagomål/A 14779-2022 FSC-klagomål.docx", "A 14779-2022")</f>
        <v/>
      </c>
      <c r="AB142">
        <f>HYPERLINK("https://klasma.github.io/Logging_1380/klagomålsmail/A 14779-2022 FSC-klagomål mail.docx", "A 14779-2022")</f>
        <v/>
      </c>
      <c r="AC142">
        <f>HYPERLINK("https://klasma.github.io/Logging_1380/tillsyn/A 14779-2022 tillsynsbegäran.docx", "A 14779-2022")</f>
        <v/>
      </c>
      <c r="AD142">
        <f>HYPERLINK("https://klasma.github.io/Logging_1380/tillsynsmail/A 14779-2022 tillsynsbegäran mail.docx", "A 14779-2022")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46265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7038-2024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46265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Dvärgjohannesört</t>
        </is>
      </c>
      <c r="W144">
        <f>HYPERLINK("https://klasma.github.io/Logging_1383/artfynd/A 7038-2024 artfynd.xlsx", "A 7038-2024")</f>
        <v/>
      </c>
      <c r="X144">
        <f>HYPERLINK("https://klasma.github.io/Logging_1383/kartor/A 7038-2024 karta.png", "A 7038-2024")</f>
        <v/>
      </c>
      <c r="Y144">
        <f>HYPERLINK("https://klasma.github.io/Logging_1383/kartor_geotiff/A 7038-2024 georefererad karta.tif", "A 7038-2024")</f>
        <v/>
      </c>
      <c r="AA144">
        <f>HYPERLINK("https://klasma.github.io/Logging_1383/klagomål/A 7038-2024 FSC-klagomål.docx", "A 7038-2024")</f>
        <v/>
      </c>
      <c r="AB144">
        <f>HYPERLINK("https://klasma.github.io/Logging_1383/klagomålsmail/A 7038-2024 FSC-klagomål mail.docx", "A 7038-2024")</f>
        <v/>
      </c>
      <c r="AC144">
        <f>HYPERLINK("https://klasma.github.io/Logging_1383/tillsyn/A 7038-2024 tillsynsbegäran.docx", "A 7038-2024")</f>
        <v/>
      </c>
      <c r="AD144">
        <f>HYPERLINK("https://klasma.github.io/Logging_1383/tillsynsmail/A 7038-2024 tillsynsbegäran mail.docx", "A 7038-2024")</f>
        <v/>
      </c>
    </row>
    <row r="145" ht="15" customHeight="1">
      <c r="A145" t="inlineStr">
        <is>
          <t>A 3576-2025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46265</v>
      </c>
      <c r="F145" t="inlineStr">
        <is>
          <t>HALLANDS LÄN</t>
        </is>
      </c>
      <c r="G145" t="inlineStr">
        <is>
          <t>LAHOLM</t>
        </is>
      </c>
      <c r="I145" t="n">
        <v>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HYPERLINK("https://klasma.github.io/Logging_1381/artfynd/A 3576-2025 artfynd.xlsx", "A 3576-2025")</f>
        <v/>
      </c>
      <c r="X145">
        <f>HYPERLINK("https://klasma.github.io/Logging_1381/kartor/A 3576-2025 karta.png", "A 3576-2025")</f>
        <v/>
      </c>
      <c r="Y145">
        <f>HYPERLINK("https://klasma.github.io/Logging_1381/kartor_geotiff/A 3576-2025 georefererad karta.tif", "A 3576-2025")</f>
        <v/>
      </c>
      <c r="AA145">
        <f>HYPERLINK("https://klasma.github.io/Logging_1381/klagomål/A 3576-2025 FSC-klagomål.docx", "A 3576-2025")</f>
        <v/>
      </c>
      <c r="AB145">
        <f>HYPERLINK("https://klasma.github.io/Logging_1381/klagomålsmail/A 3576-2025 FSC-klagomål mail.docx", "A 3576-2025")</f>
        <v/>
      </c>
      <c r="AC145">
        <f>HYPERLINK("https://klasma.github.io/Logging_1381/tillsyn/A 3576-2025 tillsynsbegäran.docx", "A 3576-2025")</f>
        <v/>
      </c>
      <c r="AD145">
        <f>HYPERLINK("https://klasma.github.io/Logging_1381/tillsynsmail/A 3576-2025 tillsynsbegäran mail.docx", "A 3576-2025")</f>
        <v/>
      </c>
      <c r="AE145">
        <f>HYPERLINK("https://klasma.github.io/Logging_1381/fåglar/A 3576-2025 prioriterade fågelarter.docx", "A 3576-2025")</f>
        <v/>
      </c>
    </row>
    <row r="146" ht="15" customHeight="1">
      <c r="A146" t="inlineStr">
        <is>
          <t>A 42421-2022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44831</v>
      </c>
      <c r="E146" s="1" t="n">
        <v>46265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Småvänderot</t>
        </is>
      </c>
      <c r="W146">
        <f>HYPERLINK("https://klasma.github.io/Logging_1381/artfynd/A 42421-2022 artfynd.xlsx", "A 42421-2022")</f>
        <v/>
      </c>
      <c r="X146">
        <f>HYPERLINK("https://klasma.github.io/Logging_1381/kartor/A 42421-2022 karta.png", "A 42421-2022")</f>
        <v/>
      </c>
      <c r="Y146">
        <f>HYPERLINK("https://klasma.github.io/Logging_1381/kartor_geotiff/A 42421-2022 georefererad karta.tif", "A 42421-2022")</f>
        <v/>
      </c>
      <c r="AA146">
        <f>HYPERLINK("https://klasma.github.io/Logging_1381/klagomål/A 42421-2022 FSC-klagomål.docx", "A 42421-2022")</f>
        <v/>
      </c>
      <c r="AB146">
        <f>HYPERLINK("https://klasma.github.io/Logging_1381/klagomålsmail/A 42421-2022 FSC-klagomål mail.docx", "A 42421-2022")</f>
        <v/>
      </c>
      <c r="AC146">
        <f>HYPERLINK("https://klasma.github.io/Logging_1381/tillsyn/A 42421-2022 tillsynsbegäran.docx", "A 42421-2022")</f>
        <v/>
      </c>
      <c r="AD146">
        <f>HYPERLINK("https://klasma.github.io/Logging_1381/tillsynsmail/A 42421-2022 tillsynsbegäran mail.docx", "A 42421-2022")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46265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54421-2024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46265</v>
      </c>
      <c r="F148" t="inlineStr">
        <is>
          <t>HALLANDS LÄN</t>
        </is>
      </c>
      <c r="G148" t="inlineStr">
        <is>
          <t>HYLTE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Slåttergubbe</t>
        </is>
      </c>
      <c r="W148">
        <f>HYPERLINK("https://klasma.github.io/Logging_1315/artfynd/A 54421-2024 artfynd.xlsx", "A 54421-2024")</f>
        <v/>
      </c>
      <c r="X148">
        <f>HYPERLINK("https://klasma.github.io/Logging_1315/kartor/A 54421-2024 karta.png", "A 54421-2024")</f>
        <v/>
      </c>
      <c r="Y148">
        <f>HYPERLINK("https://klasma.github.io/Logging_1315/kartor_geotiff/A 54421-2024 georefererad karta.tif", "A 54421-2024")</f>
        <v/>
      </c>
      <c r="AA148">
        <f>HYPERLINK("https://klasma.github.io/Logging_1315/klagomål/A 54421-2024 FSC-klagomål.docx", "A 54421-2024")</f>
        <v/>
      </c>
      <c r="AB148">
        <f>HYPERLINK("https://klasma.github.io/Logging_1315/klagomålsmail/A 54421-2024 FSC-klagomål mail.docx", "A 54421-2024")</f>
        <v/>
      </c>
      <c r="AC148">
        <f>HYPERLINK("https://klasma.github.io/Logging_1315/tillsyn/A 54421-2024 tillsynsbegäran.docx", "A 54421-2024")</f>
        <v/>
      </c>
      <c r="AD148">
        <f>HYPERLINK("https://klasma.github.io/Logging_1315/tillsynsmail/A 54421-2024 tillsynsbegäran mail.docx", "A 54421-2024")</f>
        <v/>
      </c>
    </row>
    <row r="149" ht="15" customHeight="1">
      <c r="A149" t="inlineStr">
        <is>
          <t>A 57025-2021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46265</v>
      </c>
      <c r="F149" t="inlineStr">
        <is>
          <t>HALLANDS LÄN</t>
        </is>
      </c>
      <c r="G149" t="inlineStr">
        <is>
          <t>HALMSTAD</t>
        </is>
      </c>
      <c r="I149" t="n">
        <v>5.6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Gulsparv</t>
        </is>
      </c>
      <c r="W149">
        <f>HYPERLINK("https://klasma.github.io/Logging_1380/artfynd/A 57025-2021 artfynd.xlsx", "A 57025-2021")</f>
        <v/>
      </c>
      <c r="X149">
        <f>HYPERLINK("https://klasma.github.io/Logging_1380/kartor/A 57025-2021 karta.png", "A 57025-2021")</f>
        <v/>
      </c>
      <c r="Y149">
        <f>HYPERLINK("https://klasma.github.io/Logging_1380/kartor_geotiff/A 57025-2021 georefererad karta.tif", "A 57025-2021")</f>
        <v/>
      </c>
      <c r="AA149">
        <f>HYPERLINK("https://klasma.github.io/Logging_1380/klagomål/A 57025-2021 FSC-klagomål.docx", "A 57025-2021")</f>
        <v/>
      </c>
      <c r="AB149">
        <f>HYPERLINK("https://klasma.github.io/Logging_1380/klagomålsmail/A 57025-2021 FSC-klagomål mail.docx", "A 57025-2021")</f>
        <v/>
      </c>
      <c r="AC149">
        <f>HYPERLINK("https://klasma.github.io/Logging_1380/tillsyn/A 57025-2021 tillsynsbegäran.docx", "A 57025-2021")</f>
        <v/>
      </c>
      <c r="AD149">
        <f>HYPERLINK("https://klasma.github.io/Logging_1380/tillsynsmail/A 57025-2021 tillsynsbegäran mail.docx", "A 57025-2021")</f>
        <v/>
      </c>
      <c r="AE149">
        <f>HYPERLINK("https://klasma.github.io/Logging_1380/fåglar/A 57025-2021 prioriterade fågelarter.docx", "A 57025-2021")</f>
        <v/>
      </c>
    </row>
    <row r="150" ht="15" customHeight="1">
      <c r="A150" t="inlineStr">
        <is>
          <t>A 55322-2025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46265</v>
      </c>
      <c r="F150" t="inlineStr">
        <is>
          <t>HALLANDS LÄN</t>
        </is>
      </c>
      <c r="G150" t="inlineStr">
        <is>
          <t>LAHOLM</t>
        </is>
      </c>
      <c r="I150" t="n">
        <v>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Hårginst</t>
        </is>
      </c>
      <c r="W150">
        <f>HYPERLINK("https://klasma.github.io/Logging_1381/artfynd/A 55322-2025 artfynd.xlsx", "A 55322-2025")</f>
        <v/>
      </c>
      <c r="X150">
        <f>HYPERLINK("https://klasma.github.io/Logging_1381/kartor/A 55322-2025 karta.png", "A 55322-2025")</f>
        <v/>
      </c>
      <c r="Y150">
        <f>HYPERLINK("https://klasma.github.io/Logging_1381/kartor_geotiff/A 55322-2025 georefererad karta.tif", "A 55322-2025")</f>
        <v/>
      </c>
      <c r="AA150">
        <f>HYPERLINK("https://klasma.github.io/Logging_1381/klagomål/A 55322-2025 FSC-klagomål.docx", "A 55322-2025")</f>
        <v/>
      </c>
      <c r="AB150">
        <f>HYPERLINK("https://klasma.github.io/Logging_1381/klagomålsmail/A 55322-2025 FSC-klagomål mail.docx", "A 55322-2025")</f>
        <v/>
      </c>
      <c r="AC150">
        <f>HYPERLINK("https://klasma.github.io/Logging_1381/tillsyn/A 55322-2025 tillsynsbegäran.docx", "A 55322-2025")</f>
        <v/>
      </c>
      <c r="AD150">
        <f>HYPERLINK("https://klasma.github.io/Logging_1381/tillsynsmail/A 55322-2025 tillsynsbegäran mail.docx", "A 55322-2025")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46265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46265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46265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43912-2025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45914</v>
      </c>
      <c r="E154" s="1" t="n">
        <v>46265</v>
      </c>
      <c r="F154" t="inlineStr">
        <is>
          <t>HALLANDS LÄN</t>
        </is>
      </c>
      <c r="G154" t="inlineStr">
        <is>
          <t>FALKENBERG</t>
        </is>
      </c>
      <c r="I154" t="n">
        <v>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Blåmossa</t>
        </is>
      </c>
      <c r="W154">
        <f>HYPERLINK("https://klasma.github.io/Logging_1382/artfynd/A 43912-2025 artfynd.xlsx", "A 43912-2025")</f>
        <v/>
      </c>
      <c r="X154">
        <f>HYPERLINK("https://klasma.github.io/Logging_1382/kartor/A 43912-2025 karta.png", "A 43912-2025")</f>
        <v/>
      </c>
      <c r="Y154">
        <f>HYPERLINK("https://klasma.github.io/Logging_1382/kartor_geotiff/A 43912-2025 georefererad karta.tif", "A 43912-2025")</f>
        <v/>
      </c>
      <c r="AA154">
        <f>HYPERLINK("https://klasma.github.io/Logging_1382/klagomål/A 43912-2025 FSC-klagomål.docx", "A 43912-2025")</f>
        <v/>
      </c>
      <c r="AB154">
        <f>HYPERLINK("https://klasma.github.io/Logging_1382/klagomålsmail/A 43912-2025 FSC-klagomål mail.docx", "A 43912-2025")</f>
        <v/>
      </c>
      <c r="AC154">
        <f>HYPERLINK("https://klasma.github.io/Logging_1382/tillsyn/A 43912-2025 tillsynsbegäran.docx", "A 43912-2025")</f>
        <v/>
      </c>
      <c r="AD154">
        <f>HYPERLINK("https://klasma.github.io/Logging_1382/tillsynsmail/A 43912-2025 tillsynsbegäran mail.docx", "A 43912-2025")</f>
        <v/>
      </c>
    </row>
    <row r="155" ht="15" customHeight="1">
      <c r="A155" t="inlineStr">
        <is>
          <t>A 20045-2024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45434</v>
      </c>
      <c r="E155" s="1" t="n">
        <v>46265</v>
      </c>
      <c r="F155" t="inlineStr">
        <is>
          <t>HALLANDS LÄN</t>
        </is>
      </c>
      <c r="G155" t="inlineStr">
        <is>
          <t>VARBERG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Igelkott</t>
        </is>
      </c>
      <c r="W155">
        <f>HYPERLINK("https://klasma.github.io/Logging_1383/artfynd/A 20045-2024 artfynd.xlsx", "A 20045-2024")</f>
        <v/>
      </c>
      <c r="X155">
        <f>HYPERLINK("https://klasma.github.io/Logging_1383/kartor/A 20045-2024 karta.png", "A 20045-2024")</f>
        <v/>
      </c>
      <c r="Y155">
        <f>HYPERLINK("https://klasma.github.io/Logging_1383/kartor_geotiff/A 20045-2024 georefererad karta.tif", "A 20045-2024")</f>
        <v/>
      </c>
      <c r="AA155">
        <f>HYPERLINK("https://klasma.github.io/Logging_1383/klagomål/A 20045-2024 FSC-klagomål.docx", "A 20045-2024")</f>
        <v/>
      </c>
      <c r="AB155">
        <f>HYPERLINK("https://klasma.github.io/Logging_1383/klagomålsmail/A 20045-2024 FSC-klagomål mail.docx", "A 20045-2024")</f>
        <v/>
      </c>
      <c r="AC155">
        <f>HYPERLINK("https://klasma.github.io/Logging_1383/tillsyn/A 20045-2024 tillsynsbegäran.docx", "A 20045-2024")</f>
        <v/>
      </c>
      <c r="AD155">
        <f>HYPERLINK("https://klasma.github.io/Logging_1383/tillsynsmail/A 20045-2024 tillsynsbegäran mail.docx", "A 20045-2024")</f>
        <v/>
      </c>
    </row>
    <row r="156" ht="15" customHeight="1">
      <c r="A156" t="inlineStr">
        <is>
          <t>A 9816-2025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46265</v>
      </c>
      <c r="F156" t="inlineStr">
        <is>
          <t>HALLANDS LÄN</t>
        </is>
      </c>
      <c r="G156" t="inlineStr">
        <is>
          <t>HALMSTAD</t>
        </is>
      </c>
      <c r="H156" t="inlineStr">
        <is>
          <t>Övriga statliga verk och myndigheter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Igelkott</t>
        </is>
      </c>
      <c r="W156">
        <f>HYPERLINK("https://klasma.github.io/Logging_1380/artfynd/A 9816-2025 artfynd.xlsx", "A 9816-2025")</f>
        <v/>
      </c>
      <c r="X156">
        <f>HYPERLINK("https://klasma.github.io/Logging_1380/kartor/A 9816-2025 karta.png", "A 9816-2025")</f>
        <v/>
      </c>
      <c r="Y156">
        <f>HYPERLINK("https://klasma.github.io/Logging_1380/kartor_geotiff/A 9816-2025 georefererad karta.tif", "A 9816-2025")</f>
        <v/>
      </c>
      <c r="AA156">
        <f>HYPERLINK("https://klasma.github.io/Logging_1380/klagomål/A 9816-2025 FSC-klagomål.docx", "A 9816-2025")</f>
        <v/>
      </c>
      <c r="AB156">
        <f>HYPERLINK("https://klasma.github.io/Logging_1380/klagomålsmail/A 9816-2025 FSC-klagomål mail.docx", "A 9816-2025")</f>
        <v/>
      </c>
      <c r="AC156">
        <f>HYPERLINK("https://klasma.github.io/Logging_1380/tillsyn/A 9816-2025 tillsynsbegäran.docx", "A 9816-2025")</f>
        <v/>
      </c>
      <c r="AD156">
        <f>HYPERLINK("https://klasma.github.io/Logging_1380/tillsynsmail/A 9816-2025 tillsynsbegäran mail.docx", "A 9816-2025")</f>
        <v/>
      </c>
    </row>
    <row r="157" ht="15" customHeight="1">
      <c r="A157" t="inlineStr">
        <is>
          <t>A 13932-2025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46265</v>
      </c>
      <c r="F157" t="inlineStr">
        <is>
          <t>HALLANDS LÄN</t>
        </is>
      </c>
      <c r="G157" t="inlineStr">
        <is>
          <t>KUNGSBACKA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Blåsippa</t>
        </is>
      </c>
      <c r="W157">
        <f>HYPERLINK("https://klasma.github.io/Logging_1384/artfynd/A 13932-2025 artfynd.xlsx", "A 13932-2025")</f>
        <v/>
      </c>
      <c r="X157">
        <f>HYPERLINK("https://klasma.github.io/Logging_1384/kartor/A 13932-2025 karta.png", "A 13932-2025")</f>
        <v/>
      </c>
      <c r="Y157">
        <f>HYPERLINK("https://klasma.github.io/Logging_1384/kartor_geotiff/A 13932-2025 georefererad karta.tif", "A 13932-2025")</f>
        <v/>
      </c>
      <c r="AA157">
        <f>HYPERLINK("https://klasma.github.io/Logging_1384/klagomål/A 13932-2025 FSC-klagomål.docx", "A 13932-2025")</f>
        <v/>
      </c>
      <c r="AB157">
        <f>HYPERLINK("https://klasma.github.io/Logging_1384/klagomålsmail/A 13932-2025 FSC-klagomål mail.docx", "A 13932-2025")</f>
        <v/>
      </c>
      <c r="AC157">
        <f>HYPERLINK("https://klasma.github.io/Logging_1384/tillsyn/A 13932-2025 tillsynsbegäran.docx", "A 13932-2025")</f>
        <v/>
      </c>
      <c r="AD157">
        <f>HYPERLINK("https://klasma.github.io/Logging_1384/tillsynsmail/A 13932-2025 tillsynsbegäran mail.docx", "A 13932-2025")</f>
        <v/>
      </c>
    </row>
    <row r="158" ht="15" customHeight="1">
      <c r="A158" t="inlineStr">
        <is>
          <t>A 59260-2022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46265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9.800000000000001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Dunmossa</t>
        </is>
      </c>
      <c r="W158">
        <f>HYPERLINK("https://klasma.github.io/Logging_1380/artfynd/A 59260-2022 artfynd.xlsx", "A 59260-2022")</f>
        <v/>
      </c>
      <c r="X158">
        <f>HYPERLINK("https://klasma.github.io/Logging_1380/kartor/A 59260-2022 karta.png", "A 59260-2022")</f>
        <v/>
      </c>
      <c r="Y158">
        <f>HYPERLINK("https://klasma.github.io/Logging_1380/kartor_geotiff/A 59260-2022 georefererad karta.tif", "A 59260-2022")</f>
        <v/>
      </c>
      <c r="AA158">
        <f>HYPERLINK("https://klasma.github.io/Logging_1380/klagomål/A 59260-2022 FSC-klagomål.docx", "A 59260-2022")</f>
        <v/>
      </c>
      <c r="AB158">
        <f>HYPERLINK("https://klasma.github.io/Logging_1380/klagomålsmail/A 59260-2022 FSC-klagomål mail.docx", "A 59260-2022")</f>
        <v/>
      </c>
      <c r="AC158">
        <f>HYPERLINK("https://klasma.github.io/Logging_1380/tillsyn/A 59260-2022 tillsynsbegäran.docx", "A 59260-2022")</f>
        <v/>
      </c>
      <c r="AD158">
        <f>HYPERLINK("https://klasma.github.io/Logging_1380/tillsynsmail/A 59260-2022 tillsynsbegäran mail.docx", "A 59260-2022")</f>
        <v/>
      </c>
    </row>
    <row r="159" ht="15" customHeight="1">
      <c r="A159" t="inlineStr">
        <is>
          <t>A 16076-2025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45749</v>
      </c>
      <c r="E159" s="1" t="n">
        <v>46265</v>
      </c>
      <c r="F159" t="inlineStr">
        <is>
          <t>HALLANDS LÄN</t>
        </is>
      </c>
      <c r="G159" t="inlineStr">
        <is>
          <t>KUNGSBACKA</t>
        </is>
      </c>
      <c r="I159" t="n">
        <v>3.1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Havsörn</t>
        </is>
      </c>
      <c r="W159">
        <f>HYPERLINK("https://klasma.github.io/Logging_1384/artfynd/A 16076-2025 artfynd.xlsx", "A 16076-2025")</f>
        <v/>
      </c>
      <c r="X159">
        <f>HYPERLINK("https://klasma.github.io/Logging_1384/kartor/A 16076-2025 karta.png", "A 16076-2025")</f>
        <v/>
      </c>
      <c r="Y159">
        <f>HYPERLINK("https://klasma.github.io/Logging_1384/kartor_geotiff/A 16076-2025 georefererad karta.tif", "A 16076-2025")</f>
        <v/>
      </c>
      <c r="AA159">
        <f>HYPERLINK("https://klasma.github.io/Logging_1384/klagomål/A 16076-2025 FSC-klagomål.docx", "A 16076-2025")</f>
        <v/>
      </c>
      <c r="AB159">
        <f>HYPERLINK("https://klasma.github.io/Logging_1384/klagomålsmail/A 16076-2025 FSC-klagomål mail.docx", "A 16076-2025")</f>
        <v/>
      </c>
      <c r="AC159">
        <f>HYPERLINK("https://klasma.github.io/Logging_1384/tillsyn/A 16076-2025 tillsynsbegäran.docx", "A 16076-2025")</f>
        <v/>
      </c>
      <c r="AD159">
        <f>HYPERLINK("https://klasma.github.io/Logging_1384/tillsynsmail/A 16076-2025 tillsynsbegäran mail.docx", "A 16076-2025")</f>
        <v/>
      </c>
      <c r="AE159">
        <f>HYPERLINK("https://klasma.github.io/Logging_1384/fåglar/A 16076-2025 prioriterade fågelarter.docx", "A 16076-2025")</f>
        <v/>
      </c>
    </row>
    <row r="160" ht="15" customHeight="1">
      <c r="A160" t="inlineStr">
        <is>
          <t>A 27386-2025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46265</v>
      </c>
      <c r="F160" t="inlineStr">
        <is>
          <t>HALLANDS LÄN</t>
        </is>
      </c>
      <c r="G160" t="inlineStr">
        <is>
          <t>HALMSTAD</t>
        </is>
      </c>
      <c r="I160" t="n">
        <v>8.5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HYPERLINK("https://klasma.github.io/Logging_1380/artfynd/A 27386-2025 artfynd.xlsx", "A 27386-2025")</f>
        <v/>
      </c>
      <c r="X160">
        <f>HYPERLINK("https://klasma.github.io/Logging_1380/kartor/A 27386-2025 karta.png", "A 27386-2025")</f>
        <v/>
      </c>
      <c r="Y160">
        <f>HYPERLINK("https://klasma.github.io/Logging_1380/kartor_geotiff/A 27386-2025 georefererad karta.tif", "A 27386-2025")</f>
        <v/>
      </c>
      <c r="AA160">
        <f>HYPERLINK("https://klasma.github.io/Logging_1380/klagomål/A 27386-2025 FSC-klagomål.docx", "A 27386-2025")</f>
        <v/>
      </c>
      <c r="AB160">
        <f>HYPERLINK("https://klasma.github.io/Logging_1380/klagomålsmail/A 27386-2025 FSC-klagomål mail.docx", "A 27386-2025")</f>
        <v/>
      </c>
      <c r="AC160">
        <f>HYPERLINK("https://klasma.github.io/Logging_1380/tillsyn/A 27386-2025 tillsynsbegäran.docx", "A 27386-2025")</f>
        <v/>
      </c>
      <c r="AD160">
        <f>HYPERLINK("https://klasma.github.io/Logging_1380/tillsynsmail/A 27386-2025 tillsynsbegäran mail.docx", "A 27386-2025")</f>
        <v/>
      </c>
    </row>
    <row r="161" ht="15" customHeight="1">
      <c r="A161" t="inlineStr">
        <is>
          <t>A 27179-2025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46265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HYPERLINK("https://klasma.github.io/Logging_1381/artfynd/A 27179-2025 artfynd.xlsx", "A 27179-2025")</f>
        <v/>
      </c>
      <c r="X161">
        <f>HYPERLINK("https://klasma.github.io/Logging_1381/kartor/A 27179-2025 karta.png", "A 27179-2025")</f>
        <v/>
      </c>
      <c r="Y161">
        <f>HYPERLINK("https://klasma.github.io/Logging_1381/kartor_geotiff/A 27179-2025 georefererad karta.tif", "A 27179-2025")</f>
        <v/>
      </c>
      <c r="AA161">
        <f>HYPERLINK("https://klasma.github.io/Logging_1381/klagomål/A 27179-2025 FSC-klagomål.docx", "A 27179-2025")</f>
        <v/>
      </c>
      <c r="AB161">
        <f>HYPERLINK("https://klasma.github.io/Logging_1381/klagomålsmail/A 27179-2025 FSC-klagomål mail.docx", "A 27179-2025")</f>
        <v/>
      </c>
      <c r="AC161">
        <f>HYPERLINK("https://klasma.github.io/Logging_1381/tillsyn/A 27179-2025 tillsynsbegäran.docx", "A 27179-2025")</f>
        <v/>
      </c>
      <c r="AD161">
        <f>HYPERLINK("https://klasma.github.io/Logging_1381/tillsynsmail/A 27179-2025 tillsynsbegäran mail.docx", "A 27179-2025")</f>
        <v/>
      </c>
    </row>
    <row r="162" ht="15" customHeight="1">
      <c r="A162" t="inlineStr">
        <is>
          <t>A 49083-2022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46265</v>
      </c>
      <c r="F162" t="inlineStr">
        <is>
          <t>HALLANDS LÄN</t>
        </is>
      </c>
      <c r="G162" t="inlineStr">
        <is>
          <t>VARBERG</t>
        </is>
      </c>
      <c r="I162" t="n">
        <v>13.3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Kambräken</t>
        </is>
      </c>
      <c r="W162">
        <f>HYPERLINK("https://klasma.github.io/Logging_1383/artfynd/A 49083-2022 artfynd.xlsx", "A 49083-2022")</f>
        <v/>
      </c>
      <c r="X162">
        <f>HYPERLINK("https://klasma.github.io/Logging_1383/kartor/A 49083-2022 karta.png", "A 49083-2022")</f>
        <v/>
      </c>
      <c r="Y162">
        <f>HYPERLINK("https://klasma.github.io/Logging_1383/kartor_geotiff/A 49083-2022 georefererad karta.tif", "A 49083-2022")</f>
        <v/>
      </c>
      <c r="AA162">
        <f>HYPERLINK("https://klasma.github.io/Logging_1383/klagomål/A 49083-2022 FSC-klagomål.docx", "A 49083-2022")</f>
        <v/>
      </c>
      <c r="AB162">
        <f>HYPERLINK("https://klasma.github.io/Logging_1383/klagomålsmail/A 49083-2022 FSC-klagomål mail.docx", "A 49083-2022")</f>
        <v/>
      </c>
      <c r="AC162">
        <f>HYPERLINK("https://klasma.github.io/Logging_1383/tillsyn/A 49083-2022 tillsynsbegäran.docx", "A 49083-2022")</f>
        <v/>
      </c>
      <c r="AD162">
        <f>HYPERLINK("https://klasma.github.io/Logging_1383/tillsynsmail/A 49083-2022 tillsynsbegäran mail.docx", "A 49083-2022")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46265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32822-2025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46265</v>
      </c>
      <c r="F164" t="inlineStr">
        <is>
          <t>HALLANDS LÄN</t>
        </is>
      </c>
      <c r="G164" t="inlineStr">
        <is>
          <t>HALMSTAD</t>
        </is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Hasselmus</t>
        </is>
      </c>
      <c r="W164">
        <f>HYPERLINK("https://klasma.github.io/Logging_1380/artfynd/A 32822-2025 artfynd.xlsx", "A 32822-2025")</f>
        <v/>
      </c>
      <c r="X164">
        <f>HYPERLINK("https://klasma.github.io/Logging_1380/kartor/A 32822-2025 karta.png", "A 32822-2025")</f>
        <v/>
      </c>
      <c r="Y164">
        <f>HYPERLINK("https://klasma.github.io/Logging_1380/kartor_geotiff/A 32822-2025 georefererad karta.tif", "A 32822-2025")</f>
        <v/>
      </c>
      <c r="AA164">
        <f>HYPERLINK("https://klasma.github.io/Logging_1380/klagomål/A 32822-2025 FSC-klagomål.docx", "A 32822-2025")</f>
        <v/>
      </c>
      <c r="AB164">
        <f>HYPERLINK("https://klasma.github.io/Logging_1380/klagomålsmail/A 32822-2025 FSC-klagomål mail.docx", "A 32822-2025")</f>
        <v/>
      </c>
      <c r="AC164">
        <f>HYPERLINK("https://klasma.github.io/Logging_1380/tillsyn/A 32822-2025 tillsynsbegäran.docx", "A 32822-2025")</f>
        <v/>
      </c>
      <c r="AD164">
        <f>HYPERLINK("https://klasma.github.io/Logging_1380/tillsynsmail/A 32822-2025 tillsynsbegäran mail.docx", "A 32822-2025")</f>
        <v/>
      </c>
    </row>
    <row r="165" ht="15" customHeight="1">
      <c r="A165" t="inlineStr">
        <is>
          <t>A 21488-2024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46265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Hårginst</t>
        </is>
      </c>
      <c r="W165">
        <f>HYPERLINK("https://klasma.github.io/Logging_1380/artfynd/A 21488-2024 artfynd.xlsx", "A 21488-2024")</f>
        <v/>
      </c>
      <c r="X165">
        <f>HYPERLINK("https://klasma.github.io/Logging_1380/kartor/A 21488-2024 karta.png", "A 21488-2024")</f>
        <v/>
      </c>
      <c r="Y165">
        <f>HYPERLINK("https://klasma.github.io/Logging_1380/kartor_geotiff/A 21488-2024 georefererad karta.tif", "A 21488-2024")</f>
        <v/>
      </c>
      <c r="AA165">
        <f>HYPERLINK("https://klasma.github.io/Logging_1380/klagomål/A 21488-2024 FSC-klagomål.docx", "A 21488-2024")</f>
        <v/>
      </c>
      <c r="AB165">
        <f>HYPERLINK("https://klasma.github.io/Logging_1380/klagomålsmail/A 21488-2024 FSC-klagomål mail.docx", "A 21488-2024")</f>
        <v/>
      </c>
      <c r="AC165">
        <f>HYPERLINK("https://klasma.github.io/Logging_1380/tillsyn/A 21488-2024 tillsynsbegäran.docx", "A 21488-2024")</f>
        <v/>
      </c>
      <c r="AD165">
        <f>HYPERLINK("https://klasma.github.io/Logging_1380/tillsynsmail/A 21488-2024 tillsynsbegäran mail.docx", "A 21488-2024")</f>
        <v/>
      </c>
    </row>
    <row r="166" ht="15" customHeight="1">
      <c r="A166" t="inlineStr">
        <is>
          <t>A 62755-2022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44926</v>
      </c>
      <c r="E166" s="1" t="n">
        <v>46265</v>
      </c>
      <c r="F166" t="inlineStr">
        <is>
          <t>HALLANDS LÄN</t>
        </is>
      </c>
      <c r="G166" t="inlineStr">
        <is>
          <t>FALKENBERG</t>
        </is>
      </c>
      <c r="H166" t="inlineStr">
        <is>
          <t>Kyrkan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Stjärnstarr</t>
        </is>
      </c>
      <c r="W166">
        <f>HYPERLINK("https://klasma.github.io/Logging_1382/artfynd/A 62755-2022 artfynd.xlsx", "A 62755-2022")</f>
        <v/>
      </c>
      <c r="X166">
        <f>HYPERLINK("https://klasma.github.io/Logging_1382/kartor/A 62755-2022 karta.png", "A 62755-2022")</f>
        <v/>
      </c>
      <c r="Y166">
        <f>HYPERLINK("https://klasma.github.io/Logging_1382/kartor_geotiff/A 62755-2022 georefererad karta.tif", "A 62755-2022")</f>
        <v/>
      </c>
      <c r="AA166">
        <f>HYPERLINK("https://klasma.github.io/Logging_1382/klagomål/A 62755-2022 FSC-klagomål.docx", "A 62755-2022")</f>
        <v/>
      </c>
      <c r="AB166">
        <f>HYPERLINK("https://klasma.github.io/Logging_1382/klagomålsmail/A 62755-2022 FSC-klagomål mail.docx", "A 62755-2022")</f>
        <v/>
      </c>
      <c r="AC166">
        <f>HYPERLINK("https://klasma.github.io/Logging_1382/tillsyn/A 62755-2022 tillsynsbegäran.docx", "A 62755-2022")</f>
        <v/>
      </c>
      <c r="AD166">
        <f>HYPERLINK("https://klasma.github.io/Logging_1382/tillsynsmail/A 62755-2022 tillsynsbegäran mail.docx", "A 62755-2022")</f>
        <v/>
      </c>
    </row>
    <row r="167" ht="15" customHeight="1">
      <c r="A167" t="inlineStr">
        <is>
          <t>A 40623-2023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46265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Hårginst</t>
        </is>
      </c>
      <c r="W167">
        <f>HYPERLINK("https://klasma.github.io/Logging_1380/artfynd/A 40623-2023 artfynd.xlsx", "A 40623-2023")</f>
        <v/>
      </c>
      <c r="X167">
        <f>HYPERLINK("https://klasma.github.io/Logging_1380/kartor/A 40623-2023 karta.png", "A 40623-2023")</f>
        <v/>
      </c>
      <c r="Y167">
        <f>HYPERLINK("https://klasma.github.io/Logging_1380/kartor_geotiff/A 40623-2023 georefererad karta.tif", "A 40623-2023")</f>
        <v/>
      </c>
      <c r="AA167">
        <f>HYPERLINK("https://klasma.github.io/Logging_1380/klagomål/A 40623-2023 FSC-klagomål.docx", "A 40623-2023")</f>
        <v/>
      </c>
      <c r="AB167">
        <f>HYPERLINK("https://klasma.github.io/Logging_1380/klagomålsmail/A 40623-2023 FSC-klagomål mail.docx", "A 40623-2023")</f>
        <v/>
      </c>
      <c r="AC167">
        <f>HYPERLINK("https://klasma.github.io/Logging_1380/tillsyn/A 40623-2023 tillsynsbegäran.docx", "A 40623-2023")</f>
        <v/>
      </c>
      <c r="AD167">
        <f>HYPERLINK("https://klasma.github.io/Logging_1380/tillsynsmail/A 40623-2023 tillsynsbegäran mail.docx", "A 40623-2023")</f>
        <v/>
      </c>
    </row>
    <row r="168" ht="15" customHeight="1">
      <c r="A168" t="inlineStr">
        <is>
          <t>A 40659-2023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46265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3.1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HYPERLINK("https://klasma.github.io/Logging_1380/artfynd/A 40659-2023 artfynd.xlsx", "A 40659-2023")</f>
        <v/>
      </c>
      <c r="X168">
        <f>HYPERLINK("https://klasma.github.io/Logging_1380/kartor/A 40659-2023 karta.png", "A 40659-2023")</f>
        <v/>
      </c>
      <c r="Y168">
        <f>HYPERLINK("https://klasma.github.io/Logging_1380/kartor_geotiff/A 40659-2023 georefererad karta.tif", "A 40659-2023")</f>
        <v/>
      </c>
      <c r="AA168">
        <f>HYPERLINK("https://klasma.github.io/Logging_1380/klagomål/A 40659-2023 FSC-klagomål.docx", "A 40659-2023")</f>
        <v/>
      </c>
      <c r="AB168">
        <f>HYPERLINK("https://klasma.github.io/Logging_1380/klagomålsmail/A 40659-2023 FSC-klagomål mail.docx", "A 40659-2023")</f>
        <v/>
      </c>
      <c r="AC168">
        <f>HYPERLINK("https://klasma.github.io/Logging_1380/tillsyn/A 40659-2023 tillsynsbegäran.docx", "A 40659-2023")</f>
        <v/>
      </c>
      <c r="AD168">
        <f>HYPERLINK("https://klasma.github.io/Logging_1380/tillsynsmail/A 40659-2023 tillsynsbegäran mail.docx", "A 40659-2023")</f>
        <v/>
      </c>
    </row>
    <row r="169" ht="15" customHeight="1">
      <c r="A169" t="inlineStr">
        <is>
          <t>A 45977-2024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46265</v>
      </c>
      <c r="F169" t="inlineStr">
        <is>
          <t>HALLANDS LÄN</t>
        </is>
      </c>
      <c r="G169" t="inlineStr">
        <is>
          <t>FALKENBERG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Lax</t>
        </is>
      </c>
      <c r="W169">
        <f>HYPERLINK("https://klasma.github.io/Logging_1382/artfynd/A 45977-2024 artfynd.xlsx", "A 45977-2024")</f>
        <v/>
      </c>
      <c r="X169">
        <f>HYPERLINK("https://klasma.github.io/Logging_1382/kartor/A 45977-2024 karta.png", "A 45977-2024")</f>
        <v/>
      </c>
      <c r="Y169">
        <f>HYPERLINK("https://klasma.github.io/Logging_1382/kartor_geotiff/A 45977-2024 georefererad karta.tif", "A 45977-2024")</f>
        <v/>
      </c>
      <c r="AA169">
        <f>HYPERLINK("https://klasma.github.io/Logging_1382/klagomål/A 45977-2024 FSC-klagomål.docx", "A 45977-2024")</f>
        <v/>
      </c>
      <c r="AB169">
        <f>HYPERLINK("https://klasma.github.io/Logging_1382/klagomålsmail/A 45977-2024 FSC-klagomål mail.docx", "A 45977-2024")</f>
        <v/>
      </c>
      <c r="AC169">
        <f>HYPERLINK("https://klasma.github.io/Logging_1382/tillsyn/A 45977-2024 tillsynsbegäran.docx", "A 45977-2024")</f>
        <v/>
      </c>
      <c r="AD169">
        <f>HYPERLINK("https://klasma.github.io/Logging_1382/tillsynsmail/A 45977-2024 tillsynsbegäran mail.docx", "A 45977-2024")</f>
        <v/>
      </c>
    </row>
    <row r="170" ht="15" customHeight="1">
      <c r="A170" t="inlineStr">
        <is>
          <t>A 2994-2024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45315</v>
      </c>
      <c r="E170" s="1" t="n">
        <v>46265</v>
      </c>
      <c r="F170" t="inlineStr">
        <is>
          <t>HALLANDS LÄN</t>
        </is>
      </c>
      <c r="G170" t="inlineStr">
        <is>
          <t>HALMSTAD</t>
        </is>
      </c>
      <c r="I170" t="n">
        <v>7.9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Grönvit nattviol</t>
        </is>
      </c>
      <c r="W170">
        <f>HYPERLINK("https://klasma.github.io/Logging_1380/artfynd/A 2994-2024 artfynd.xlsx", "A 2994-2024")</f>
        <v/>
      </c>
      <c r="X170">
        <f>HYPERLINK("https://klasma.github.io/Logging_1380/kartor/A 2994-2024 karta.png", "A 2994-2024")</f>
        <v/>
      </c>
      <c r="Y170">
        <f>HYPERLINK("https://klasma.github.io/Logging_1380/kartor_geotiff/A 2994-2024 georefererad karta.tif", "A 2994-2024")</f>
        <v/>
      </c>
      <c r="AA170">
        <f>HYPERLINK("https://klasma.github.io/Logging_1380/klagomål/A 2994-2024 FSC-klagomål.docx", "A 2994-2024")</f>
        <v/>
      </c>
      <c r="AB170">
        <f>HYPERLINK("https://klasma.github.io/Logging_1380/klagomålsmail/A 2994-2024 FSC-klagomål mail.docx", "A 2994-2024")</f>
        <v/>
      </c>
      <c r="AC170">
        <f>HYPERLINK("https://klasma.github.io/Logging_1380/tillsyn/A 2994-2024 tillsynsbegäran.docx", "A 2994-2024")</f>
        <v/>
      </c>
      <c r="AD170">
        <f>HYPERLINK("https://klasma.github.io/Logging_1380/tillsynsmail/A 2994-2024 tillsynsbegäran mail.docx", "A 2994-2024")</f>
        <v/>
      </c>
    </row>
    <row r="171" ht="15" customHeight="1">
      <c r="A171" t="inlineStr">
        <is>
          <t>A 8483-2024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46265</v>
      </c>
      <c r="F171" t="inlineStr">
        <is>
          <t>HALLANDS LÄN</t>
        </is>
      </c>
      <c r="G171" t="inlineStr">
        <is>
          <t>FALKENBERG</t>
        </is>
      </c>
      <c r="I171" t="n">
        <v>2.7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Röd glada</t>
        </is>
      </c>
      <c r="W171">
        <f>HYPERLINK("https://klasma.github.io/Logging_1382/artfynd/A 8483-2024 artfynd.xlsx", "A 8483-2024")</f>
        <v/>
      </c>
      <c r="X171">
        <f>HYPERLINK("https://klasma.github.io/Logging_1382/kartor/A 8483-2024 karta.png", "A 8483-2024")</f>
        <v/>
      </c>
      <c r="Y171">
        <f>HYPERLINK("https://klasma.github.io/Logging_1382/kartor_geotiff/A 8483-2024 georefererad karta.tif", "A 8483-2024")</f>
        <v/>
      </c>
      <c r="AA171">
        <f>HYPERLINK("https://klasma.github.io/Logging_1382/klagomål/A 8483-2024 FSC-klagomål.docx", "A 8483-2024")</f>
        <v/>
      </c>
      <c r="AB171">
        <f>HYPERLINK("https://klasma.github.io/Logging_1382/klagomålsmail/A 8483-2024 FSC-klagomål mail.docx", "A 8483-2024")</f>
        <v/>
      </c>
      <c r="AC171">
        <f>HYPERLINK("https://klasma.github.io/Logging_1382/tillsyn/A 8483-2024 tillsynsbegäran.docx", "A 8483-2024")</f>
        <v/>
      </c>
      <c r="AD171">
        <f>HYPERLINK("https://klasma.github.io/Logging_1382/tillsynsmail/A 8483-2024 tillsynsbegäran mail.docx", "A 8483-2024")</f>
        <v/>
      </c>
      <c r="AE171">
        <f>HYPERLINK("https://klasma.github.io/Logging_1382/fåglar/A 8483-2024 prioriterade fågelarter.docx", "A 8483-2024")</f>
        <v/>
      </c>
    </row>
    <row r="172" ht="15" customHeight="1">
      <c r="A172" t="inlineStr">
        <is>
          <t>A 63130-2023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45273</v>
      </c>
      <c r="E172" s="1" t="n">
        <v>46265</v>
      </c>
      <c r="F172" t="inlineStr">
        <is>
          <t>HALLANDS LÄN</t>
        </is>
      </c>
      <c r="G172" t="inlineStr">
        <is>
          <t>FALKENBERG</t>
        </is>
      </c>
      <c r="I172" t="n">
        <v>4.1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Hårginst</t>
        </is>
      </c>
      <c r="W172">
        <f>HYPERLINK("https://klasma.github.io/Logging_1382/artfynd/A 63130-2023 artfynd.xlsx", "A 63130-2023")</f>
        <v/>
      </c>
      <c r="X172">
        <f>HYPERLINK("https://klasma.github.io/Logging_1382/kartor/A 63130-2023 karta.png", "A 63130-2023")</f>
        <v/>
      </c>
      <c r="Y172">
        <f>HYPERLINK("https://klasma.github.io/Logging_1382/kartor_geotiff/A 63130-2023 georefererad karta.tif", "A 63130-2023")</f>
        <v/>
      </c>
      <c r="AA172">
        <f>HYPERLINK("https://klasma.github.io/Logging_1382/klagomål/A 63130-2023 FSC-klagomål.docx", "A 63130-2023")</f>
        <v/>
      </c>
      <c r="AB172">
        <f>HYPERLINK("https://klasma.github.io/Logging_1382/klagomålsmail/A 63130-2023 FSC-klagomål mail.docx", "A 63130-2023")</f>
        <v/>
      </c>
      <c r="AC172">
        <f>HYPERLINK("https://klasma.github.io/Logging_1382/tillsyn/A 63130-2023 tillsynsbegäran.docx", "A 63130-2023")</f>
        <v/>
      </c>
      <c r="AD172">
        <f>HYPERLINK("https://klasma.github.io/Logging_1382/tillsynsmail/A 63130-2023 tillsynsbegäran mail.docx", "A 63130-2023")</f>
        <v/>
      </c>
    </row>
    <row r="173" ht="15" customHeight="1">
      <c r="A173" t="inlineStr">
        <is>
          <t>A 7718-2025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46265</v>
      </c>
      <c r="F173" t="inlineStr">
        <is>
          <t>HALLANDS LÄN</t>
        </is>
      </c>
      <c r="G173" t="inlineStr">
        <is>
          <t>KUNGSBACKA</t>
        </is>
      </c>
      <c r="I173" t="n">
        <v>0.7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Gulsparv</t>
        </is>
      </c>
      <c r="W173">
        <f>HYPERLINK("https://klasma.github.io/Logging_1384/artfynd/A 7718-2025 artfynd.xlsx", "A 7718-2025")</f>
        <v/>
      </c>
      <c r="X173">
        <f>HYPERLINK("https://klasma.github.io/Logging_1384/kartor/A 7718-2025 karta.png", "A 7718-2025")</f>
        <v/>
      </c>
      <c r="Y173">
        <f>HYPERLINK("https://klasma.github.io/Logging_1384/kartor_geotiff/A 7718-2025 georefererad karta.tif", "A 7718-2025")</f>
        <v/>
      </c>
      <c r="AA173">
        <f>HYPERLINK("https://klasma.github.io/Logging_1384/klagomål/A 7718-2025 FSC-klagomål.docx", "A 7718-2025")</f>
        <v/>
      </c>
      <c r="AB173">
        <f>HYPERLINK("https://klasma.github.io/Logging_1384/klagomålsmail/A 7718-2025 FSC-klagomål mail.docx", "A 7718-2025")</f>
        <v/>
      </c>
      <c r="AC173">
        <f>HYPERLINK("https://klasma.github.io/Logging_1384/tillsyn/A 7718-2025 tillsynsbegäran.docx", "A 7718-2025")</f>
        <v/>
      </c>
      <c r="AD173">
        <f>HYPERLINK("https://klasma.github.io/Logging_1384/tillsynsmail/A 7718-2025 tillsynsbegäran mail.docx", "A 7718-2025")</f>
        <v/>
      </c>
      <c r="AE173">
        <f>HYPERLINK("https://klasma.github.io/Logging_1384/fåglar/A 7718-2025 prioriterade fågelarter.docx", "A 7718-2025")</f>
        <v/>
      </c>
    </row>
    <row r="174" ht="15" customHeight="1">
      <c r="A174" t="inlineStr">
        <is>
          <t>A 19588-2023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45050</v>
      </c>
      <c r="E174" s="1" t="n">
        <v>46265</v>
      </c>
      <c r="F174" t="inlineStr">
        <is>
          <t>HALLANDS LÄN</t>
        </is>
      </c>
      <c r="G174" t="inlineStr">
        <is>
          <t>HALMSTAD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Ljungögontröst</t>
        </is>
      </c>
      <c r="W174">
        <f>HYPERLINK("https://klasma.github.io/Logging_1380/artfynd/A 19588-2023 artfynd.xlsx", "A 19588-2023")</f>
        <v/>
      </c>
      <c r="X174">
        <f>HYPERLINK("https://klasma.github.io/Logging_1380/kartor/A 19588-2023 karta.png", "A 19588-2023")</f>
        <v/>
      </c>
      <c r="Y174">
        <f>HYPERLINK("https://klasma.github.io/Logging_1380/kartor_geotiff/A 19588-2023 georefererad karta.tif", "A 19588-2023")</f>
        <v/>
      </c>
      <c r="AA174">
        <f>HYPERLINK("https://klasma.github.io/Logging_1380/klagomål/A 19588-2023 FSC-klagomål.docx", "A 19588-2023")</f>
        <v/>
      </c>
      <c r="AB174">
        <f>HYPERLINK("https://klasma.github.io/Logging_1380/klagomålsmail/A 19588-2023 FSC-klagomål mail.docx", "A 19588-2023")</f>
        <v/>
      </c>
      <c r="AC174">
        <f>HYPERLINK("https://klasma.github.io/Logging_1380/tillsyn/A 19588-2023 tillsynsbegäran.docx", "A 19588-2023")</f>
        <v/>
      </c>
      <c r="AD174">
        <f>HYPERLINK("https://klasma.github.io/Logging_1380/tillsynsmail/A 19588-2023 tillsynsbegäran mail.docx", "A 19588-2023")</f>
        <v/>
      </c>
    </row>
    <row r="175" ht="15" customHeight="1">
      <c r="A175" t="inlineStr">
        <is>
          <t>A 42573-2022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46265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Brun glada</t>
        </is>
      </c>
      <c r="W175">
        <f>HYPERLINK("https://klasma.github.io/Logging_1383/artfynd/A 42573-2022 artfynd.xlsx", "A 42573-2022")</f>
        <v/>
      </c>
      <c r="X175">
        <f>HYPERLINK("https://klasma.github.io/Logging_1383/kartor/A 42573-2022 karta.png", "A 42573-2022")</f>
        <v/>
      </c>
      <c r="Y175">
        <f>HYPERLINK("https://klasma.github.io/Logging_1383/kartor_geotiff/A 42573-2022 georefererad karta.tif", "A 42573-2022")</f>
        <v/>
      </c>
      <c r="AA175">
        <f>HYPERLINK("https://klasma.github.io/Logging_1383/klagomål/A 42573-2022 FSC-klagomål.docx", "A 42573-2022")</f>
        <v/>
      </c>
      <c r="AB175">
        <f>HYPERLINK("https://klasma.github.io/Logging_1383/klagomålsmail/A 42573-2022 FSC-klagomål mail.docx", "A 42573-2022")</f>
        <v/>
      </c>
      <c r="AC175">
        <f>HYPERLINK("https://klasma.github.io/Logging_1383/tillsyn/A 42573-2022 tillsynsbegäran.docx", "A 42573-2022")</f>
        <v/>
      </c>
      <c r="AD175">
        <f>HYPERLINK("https://klasma.github.io/Logging_1383/tillsynsmail/A 42573-2022 tillsynsbegäran mail.docx", "A 42573-2022")</f>
        <v/>
      </c>
      <c r="AE175">
        <f>HYPERLINK("https://klasma.github.io/Logging_1383/fåglar/A 42573-2022 prioriterade fågelarter.docx", "A 42573-2022")</f>
        <v/>
      </c>
    </row>
    <row r="176" ht="15" customHeight="1">
      <c r="A176" t="inlineStr">
        <is>
          <t>A 48972-2023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46265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Svinrot</t>
        </is>
      </c>
      <c r="W176">
        <f>HYPERLINK("https://klasma.github.io/Logging_1381/artfynd/A 48972-2023 artfynd.xlsx", "A 48972-2023")</f>
        <v/>
      </c>
      <c r="X176">
        <f>HYPERLINK("https://klasma.github.io/Logging_1381/kartor/A 48972-2023 karta.png", "A 48972-2023")</f>
        <v/>
      </c>
      <c r="Y176">
        <f>HYPERLINK("https://klasma.github.io/Logging_1381/kartor_geotiff/A 48972-2023 georefererad karta.tif", "A 48972-2023")</f>
        <v/>
      </c>
      <c r="AA176">
        <f>HYPERLINK("https://klasma.github.io/Logging_1381/klagomål/A 48972-2023 FSC-klagomål.docx", "A 48972-2023")</f>
        <v/>
      </c>
      <c r="AB176">
        <f>HYPERLINK("https://klasma.github.io/Logging_1381/klagomålsmail/A 48972-2023 FSC-klagomål mail.docx", "A 48972-2023")</f>
        <v/>
      </c>
      <c r="AC176">
        <f>HYPERLINK("https://klasma.github.io/Logging_1381/tillsyn/A 48972-2023 tillsynsbegäran.docx", "A 48972-2023")</f>
        <v/>
      </c>
      <c r="AD176">
        <f>HYPERLINK("https://klasma.github.io/Logging_1381/tillsynsmail/A 48972-2023 tillsynsbegäran mail.docx", "A 48972-2023")</f>
        <v/>
      </c>
    </row>
    <row r="177" ht="15" customHeight="1">
      <c r="A177" t="inlineStr">
        <is>
          <t>A 24383-2023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46265</v>
      </c>
      <c r="F177" t="inlineStr">
        <is>
          <t>HALLANDS LÄN</t>
        </is>
      </c>
      <c r="G177" t="inlineStr">
        <is>
          <t>HALMSTAD</t>
        </is>
      </c>
      <c r="I177" t="n">
        <v>3.2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HYPERLINK("https://klasma.github.io/Logging_1380/artfynd/A 24383-2023 artfynd.xlsx", "A 24383-2023")</f>
        <v/>
      </c>
      <c r="X177">
        <f>HYPERLINK("https://klasma.github.io/Logging_1380/kartor/A 24383-2023 karta.png", "A 24383-2023")</f>
        <v/>
      </c>
      <c r="Y177">
        <f>HYPERLINK("https://klasma.github.io/Logging_1380/kartor_geotiff/A 24383-2023 georefererad karta.tif", "A 24383-2023")</f>
        <v/>
      </c>
      <c r="AA177">
        <f>HYPERLINK("https://klasma.github.io/Logging_1380/klagomål/A 24383-2023 FSC-klagomål.docx", "A 24383-2023")</f>
        <v/>
      </c>
      <c r="AB177">
        <f>HYPERLINK("https://klasma.github.io/Logging_1380/klagomålsmail/A 24383-2023 FSC-klagomål mail.docx", "A 24383-2023")</f>
        <v/>
      </c>
      <c r="AC177">
        <f>HYPERLINK("https://klasma.github.io/Logging_1380/tillsyn/A 24383-2023 tillsynsbegäran.docx", "A 24383-2023")</f>
        <v/>
      </c>
      <c r="AD177">
        <f>HYPERLINK("https://klasma.github.io/Logging_1380/tillsynsmail/A 24383-2023 tillsynsbegäran mail.docx", "A 24383-2023")</f>
        <v/>
      </c>
    </row>
    <row r="178" ht="15" customHeight="1">
      <c r="A178" t="inlineStr">
        <is>
          <t>A 16387-2023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45029</v>
      </c>
      <c r="E178" s="1" t="n">
        <v>46265</v>
      </c>
      <c r="F178" t="inlineStr">
        <is>
          <t>HALLANDS LÄN</t>
        </is>
      </c>
      <c r="G178" t="inlineStr">
        <is>
          <t>HALMSTAD</t>
        </is>
      </c>
      <c r="I178" t="n">
        <v>1.2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Orre</t>
        </is>
      </c>
      <c r="W178">
        <f>HYPERLINK("https://klasma.github.io/Logging_1380/artfynd/A 16387-2023 artfynd.xlsx", "A 16387-2023")</f>
        <v/>
      </c>
      <c r="X178">
        <f>HYPERLINK("https://klasma.github.io/Logging_1380/kartor/A 16387-2023 karta.png", "A 16387-2023")</f>
        <v/>
      </c>
      <c r="Y178">
        <f>HYPERLINK("https://klasma.github.io/Logging_1380/kartor_geotiff/A 16387-2023 georefererad karta.tif", "A 16387-2023")</f>
        <v/>
      </c>
      <c r="AA178">
        <f>HYPERLINK("https://klasma.github.io/Logging_1380/klagomål/A 16387-2023 FSC-klagomål.docx", "A 16387-2023")</f>
        <v/>
      </c>
      <c r="AB178">
        <f>HYPERLINK("https://klasma.github.io/Logging_1380/klagomålsmail/A 16387-2023 FSC-klagomål mail.docx", "A 16387-2023")</f>
        <v/>
      </c>
      <c r="AC178">
        <f>HYPERLINK("https://klasma.github.io/Logging_1380/tillsyn/A 16387-2023 tillsynsbegäran.docx", "A 16387-2023")</f>
        <v/>
      </c>
      <c r="AD178">
        <f>HYPERLINK("https://klasma.github.io/Logging_1380/tillsynsmail/A 16387-2023 tillsynsbegäran mail.docx", "A 16387-2023")</f>
        <v/>
      </c>
      <c r="AE178">
        <f>HYPERLINK("https://klasma.github.io/Logging_1380/fåglar/A 16387-2023 prioriterade fågelarter.docx", "A 16387-2023")</f>
        <v/>
      </c>
    </row>
    <row r="179" ht="15" customHeight="1">
      <c r="A179" t="inlineStr">
        <is>
          <t>A 21814-2023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45068</v>
      </c>
      <c r="E179" s="1" t="n">
        <v>46265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HYPERLINK("https://klasma.github.io/Logging_1382/artfynd/A 21814-2023 artfynd.xlsx", "A 21814-2023")</f>
        <v/>
      </c>
      <c r="X179">
        <f>HYPERLINK("https://klasma.github.io/Logging_1382/kartor/A 21814-2023 karta.png", "A 21814-2023")</f>
        <v/>
      </c>
      <c r="Y179">
        <f>HYPERLINK("https://klasma.github.io/Logging_1382/kartor_geotiff/A 21814-2023 georefererad karta.tif", "A 21814-2023")</f>
        <v/>
      </c>
      <c r="AA179">
        <f>HYPERLINK("https://klasma.github.io/Logging_1382/klagomål/A 21814-2023 FSC-klagomål.docx", "A 21814-2023")</f>
        <v/>
      </c>
      <c r="AB179">
        <f>HYPERLINK("https://klasma.github.io/Logging_1382/klagomålsmail/A 21814-2023 FSC-klagomål mail.docx", "A 21814-2023")</f>
        <v/>
      </c>
      <c r="AC179">
        <f>HYPERLINK("https://klasma.github.io/Logging_1382/tillsyn/A 21814-2023 tillsynsbegäran.docx", "A 21814-2023")</f>
        <v/>
      </c>
      <c r="AD179">
        <f>HYPERLINK("https://klasma.github.io/Logging_1382/tillsynsmail/A 21814-2023 tillsynsbegäran mail.docx", "A 21814-2023")</f>
        <v/>
      </c>
    </row>
    <row r="180" ht="15" customHeight="1">
      <c r="A180" t="inlineStr">
        <is>
          <t>A 10063-2022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44621</v>
      </c>
      <c r="E180" s="1" t="n">
        <v>46265</v>
      </c>
      <c r="F180" t="inlineStr">
        <is>
          <t>HALLANDS LÄN</t>
        </is>
      </c>
      <c r="G180" t="inlineStr">
        <is>
          <t>HALMSTAD</t>
        </is>
      </c>
      <c r="I180" t="n">
        <v>3.7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Hasselmus</t>
        </is>
      </c>
      <c r="W180">
        <f>HYPERLINK("https://klasma.github.io/Logging_1380/artfynd/A 10063-2022 artfynd.xlsx", "A 10063-2022")</f>
        <v/>
      </c>
      <c r="X180">
        <f>HYPERLINK("https://klasma.github.io/Logging_1380/kartor/A 10063-2022 karta.png", "A 10063-2022")</f>
        <v/>
      </c>
      <c r="Y180">
        <f>HYPERLINK("https://klasma.github.io/Logging_1380/kartor_geotiff/A 10063-2022 georefererad karta.tif", "A 10063-2022")</f>
        <v/>
      </c>
      <c r="AA180">
        <f>HYPERLINK("https://klasma.github.io/Logging_1380/klagomål/A 10063-2022 FSC-klagomål.docx", "A 10063-2022")</f>
        <v/>
      </c>
      <c r="AB180">
        <f>HYPERLINK("https://klasma.github.io/Logging_1380/klagomålsmail/A 10063-2022 FSC-klagomål mail.docx", "A 10063-2022")</f>
        <v/>
      </c>
      <c r="AC180">
        <f>HYPERLINK("https://klasma.github.io/Logging_1380/tillsyn/A 10063-2022 tillsynsbegäran.docx", "A 10063-2022")</f>
        <v/>
      </c>
      <c r="AD180">
        <f>HYPERLINK("https://klasma.github.io/Logging_1380/tillsynsmail/A 10063-2022 tillsynsbegäran mail.docx", "A 10063-2022")</f>
        <v/>
      </c>
    </row>
    <row r="181" ht="15" customHeight="1">
      <c r="A181" t="inlineStr">
        <is>
          <t>A 12502-2025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46265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Svinrot</t>
        </is>
      </c>
      <c r="W181">
        <f>HYPERLINK("https://klasma.github.io/Logging_1381/artfynd/A 12502-2025 artfynd.xlsx", "A 12502-2025")</f>
        <v/>
      </c>
      <c r="X181">
        <f>HYPERLINK("https://klasma.github.io/Logging_1381/kartor/A 12502-2025 karta.png", "A 12502-2025")</f>
        <v/>
      </c>
      <c r="Y181">
        <f>HYPERLINK("https://klasma.github.io/Logging_1381/kartor_geotiff/A 12502-2025 georefererad karta.tif", "A 12502-2025")</f>
        <v/>
      </c>
      <c r="AA181">
        <f>HYPERLINK("https://klasma.github.io/Logging_1381/klagomål/A 12502-2025 FSC-klagomål.docx", "A 12502-2025")</f>
        <v/>
      </c>
      <c r="AB181">
        <f>HYPERLINK("https://klasma.github.io/Logging_1381/klagomålsmail/A 12502-2025 FSC-klagomål mail.docx", "A 12502-2025")</f>
        <v/>
      </c>
      <c r="AC181">
        <f>HYPERLINK("https://klasma.github.io/Logging_1381/tillsyn/A 12502-2025 tillsynsbegäran.docx", "A 12502-2025")</f>
        <v/>
      </c>
      <c r="AD181">
        <f>HYPERLINK("https://klasma.github.io/Logging_1381/tillsynsmail/A 12502-2025 tillsynsbegäran mail.docx", "A 12502-2025")</f>
        <v/>
      </c>
    </row>
    <row r="182" ht="15" customHeight="1">
      <c r="A182" t="inlineStr">
        <is>
          <t>A 20419-2022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44699</v>
      </c>
      <c r="E182" s="1" t="n">
        <v>46265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Slåttergubbe</t>
        </is>
      </c>
      <c r="W182">
        <f>HYPERLINK("https://klasma.github.io/Logging_1380/artfynd/A 20419-2022 artfynd.xlsx", "A 20419-2022")</f>
        <v/>
      </c>
      <c r="X182">
        <f>HYPERLINK("https://klasma.github.io/Logging_1380/kartor/A 20419-2022 karta.png", "A 20419-2022")</f>
        <v/>
      </c>
      <c r="Y182">
        <f>HYPERLINK("https://klasma.github.io/Logging_1380/kartor_geotiff/A 20419-2022 georefererad karta.tif", "A 20419-2022")</f>
        <v/>
      </c>
      <c r="AA182">
        <f>HYPERLINK("https://klasma.github.io/Logging_1380/klagomål/A 20419-2022 FSC-klagomål.docx", "A 20419-2022")</f>
        <v/>
      </c>
      <c r="AB182">
        <f>HYPERLINK("https://klasma.github.io/Logging_1380/klagomålsmail/A 20419-2022 FSC-klagomål mail.docx", "A 20419-2022")</f>
        <v/>
      </c>
      <c r="AC182">
        <f>HYPERLINK("https://klasma.github.io/Logging_1380/tillsyn/A 20419-2022 tillsynsbegäran.docx", "A 20419-2022")</f>
        <v/>
      </c>
      <c r="AD182">
        <f>HYPERLINK("https://klasma.github.io/Logging_1380/tillsynsmail/A 20419-2022 tillsynsbegäran mail.docx", "A 20419-2022")</f>
        <v/>
      </c>
    </row>
    <row r="183" ht="15" customHeight="1">
      <c r="A183" t="inlineStr">
        <is>
          <t>A 63247-2023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45273</v>
      </c>
      <c r="E183" s="1" t="n">
        <v>46265</v>
      </c>
      <c r="F183" t="inlineStr">
        <is>
          <t>HALLANDS LÄN</t>
        </is>
      </c>
      <c r="G183" t="inlineStr">
        <is>
          <t>FALKENBERG</t>
        </is>
      </c>
      <c r="I183" t="n">
        <v>6.8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Myskbock</t>
        </is>
      </c>
      <c r="W183">
        <f>HYPERLINK("https://klasma.github.io/Logging_1382/artfynd/A 63247-2023 artfynd.xlsx", "A 63247-2023")</f>
        <v/>
      </c>
      <c r="X183">
        <f>HYPERLINK("https://klasma.github.io/Logging_1382/kartor/A 63247-2023 karta.png", "A 63247-2023")</f>
        <v/>
      </c>
      <c r="Y183">
        <f>HYPERLINK("https://klasma.github.io/Logging_1382/kartor_geotiff/A 63247-2023 georefererad karta.tif", "A 63247-2023")</f>
        <v/>
      </c>
      <c r="AA183">
        <f>HYPERLINK("https://klasma.github.io/Logging_1382/klagomål/A 63247-2023 FSC-klagomål.docx", "A 63247-2023")</f>
        <v/>
      </c>
      <c r="AB183">
        <f>HYPERLINK("https://klasma.github.io/Logging_1382/klagomålsmail/A 63247-2023 FSC-klagomål mail.docx", "A 63247-2023")</f>
        <v/>
      </c>
      <c r="AC183">
        <f>HYPERLINK("https://klasma.github.io/Logging_1382/tillsyn/A 63247-2023 tillsynsbegäran.docx", "A 63247-2023")</f>
        <v/>
      </c>
      <c r="AD183">
        <f>HYPERLINK("https://klasma.github.io/Logging_1382/tillsynsmail/A 63247-2023 tillsynsbegäran mail.docx", "A 63247-2023")</f>
        <v/>
      </c>
    </row>
    <row r="184" ht="15" customHeight="1">
      <c r="A184" t="inlineStr">
        <is>
          <t>A 37139-2025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46265</v>
      </c>
      <c r="F184" t="inlineStr">
        <is>
          <t>HALLANDS LÄN</t>
        </is>
      </c>
      <c r="G184" t="inlineStr">
        <is>
          <t>HALMSTAD</t>
        </is>
      </c>
      <c r="I184" t="n">
        <v>0.8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Kornknutmossa</t>
        </is>
      </c>
      <c r="W184">
        <f>HYPERLINK("https://klasma.github.io/Logging_1380/artfynd/A 37139-2025 artfynd.xlsx", "A 37139-2025")</f>
        <v/>
      </c>
      <c r="X184">
        <f>HYPERLINK("https://klasma.github.io/Logging_1380/kartor/A 37139-2025 karta.png", "A 37139-2025")</f>
        <v/>
      </c>
      <c r="Y184">
        <f>HYPERLINK("https://klasma.github.io/Logging_1380/kartor_geotiff/A 37139-2025 georefererad karta.tif", "A 37139-2025")</f>
        <v/>
      </c>
      <c r="AA184">
        <f>HYPERLINK("https://klasma.github.io/Logging_1380/klagomål/A 37139-2025 FSC-klagomål.docx", "A 37139-2025")</f>
        <v/>
      </c>
      <c r="AB184">
        <f>HYPERLINK("https://klasma.github.io/Logging_1380/klagomålsmail/A 37139-2025 FSC-klagomål mail.docx", "A 37139-2025")</f>
        <v/>
      </c>
      <c r="AC184">
        <f>HYPERLINK("https://klasma.github.io/Logging_1380/tillsyn/A 37139-2025 tillsynsbegäran.docx", "A 37139-2025")</f>
        <v/>
      </c>
      <c r="AD184">
        <f>HYPERLINK("https://klasma.github.io/Logging_1380/tillsynsmail/A 37139-2025 tillsynsbegäran mail.docx", "A 37139-2025")</f>
        <v/>
      </c>
    </row>
    <row r="185" ht="15" customHeight="1">
      <c r="A185" t="inlineStr">
        <is>
          <t>A 5240-2025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45692</v>
      </c>
      <c r="E185" s="1" t="n">
        <v>46265</v>
      </c>
      <c r="F185" t="inlineStr">
        <is>
          <t>HALLANDS LÄN</t>
        </is>
      </c>
      <c r="G185" t="inlineStr">
        <is>
          <t>HALMSTAD</t>
        </is>
      </c>
      <c r="I185" t="n">
        <v>8.300000000000001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Mussellav</t>
        </is>
      </c>
      <c r="W185">
        <f>HYPERLINK("https://klasma.github.io/Logging_1380/artfynd/A 5240-2025 artfynd.xlsx", "A 5240-2025")</f>
        <v/>
      </c>
      <c r="X185">
        <f>HYPERLINK("https://klasma.github.io/Logging_1380/kartor/A 5240-2025 karta.png", "A 5240-2025")</f>
        <v/>
      </c>
      <c r="Y185">
        <f>HYPERLINK("https://klasma.github.io/Logging_1380/kartor_geotiff/A 5240-2025 georefererad karta.tif", "A 5240-2025")</f>
        <v/>
      </c>
      <c r="AA185">
        <f>HYPERLINK("https://klasma.github.io/Logging_1380/klagomål/A 5240-2025 FSC-klagomål.docx", "A 5240-2025")</f>
        <v/>
      </c>
      <c r="AB185">
        <f>HYPERLINK("https://klasma.github.io/Logging_1380/klagomålsmail/A 5240-2025 FSC-klagomål mail.docx", "A 5240-2025")</f>
        <v/>
      </c>
      <c r="AC185">
        <f>HYPERLINK("https://klasma.github.io/Logging_1380/tillsyn/A 5240-2025 tillsynsbegäran.docx", "A 5240-2025")</f>
        <v/>
      </c>
      <c r="AD185">
        <f>HYPERLINK("https://klasma.github.io/Logging_1380/tillsynsmail/A 5240-2025 tillsynsbegäran mail.docx", "A 5240-2025")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46265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53797-2024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46265</v>
      </c>
      <c r="F187" t="inlineStr">
        <is>
          <t>HALLANDS LÄN</t>
        </is>
      </c>
      <c r="G187" t="inlineStr">
        <is>
          <t>HALMSTAD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Dvärglin</t>
        </is>
      </c>
      <c r="W187">
        <f>HYPERLINK("https://klasma.github.io/Logging_1380/artfynd/A 53797-2024 artfynd.xlsx", "A 53797-2024")</f>
        <v/>
      </c>
      <c r="X187">
        <f>HYPERLINK("https://klasma.github.io/Logging_1380/kartor/A 53797-2024 karta.png", "A 53797-2024")</f>
        <v/>
      </c>
      <c r="Y187">
        <f>HYPERLINK("https://klasma.github.io/Logging_1380/kartor_geotiff/A 53797-2024 georefererad karta.tif", "A 53797-2024")</f>
        <v/>
      </c>
      <c r="AA187">
        <f>HYPERLINK("https://klasma.github.io/Logging_1380/klagomål/A 53797-2024 FSC-klagomål.docx", "A 53797-2024")</f>
        <v/>
      </c>
      <c r="AB187">
        <f>HYPERLINK("https://klasma.github.io/Logging_1380/klagomålsmail/A 53797-2024 FSC-klagomål mail.docx", "A 53797-2024")</f>
        <v/>
      </c>
      <c r="AC187">
        <f>HYPERLINK("https://klasma.github.io/Logging_1380/tillsyn/A 53797-2024 tillsynsbegäran.docx", "A 53797-2024")</f>
        <v/>
      </c>
      <c r="AD187">
        <f>HYPERLINK("https://klasma.github.io/Logging_1380/tillsynsmail/A 53797-2024 tillsynsbegäran mail.docx", "A 53797-2024")</f>
        <v/>
      </c>
    </row>
    <row r="188" ht="15" customHeight="1">
      <c r="A188" t="inlineStr">
        <is>
          <t>A 50078-2024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46265</v>
      </c>
      <c r="F188" t="inlineStr">
        <is>
          <t>HALLANDS LÄN</t>
        </is>
      </c>
      <c r="G188" t="inlineStr">
        <is>
          <t>FALKENBERG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Slåttergubbe</t>
        </is>
      </c>
      <c r="W188">
        <f>HYPERLINK("https://klasma.github.io/Logging_1382/artfynd/A 50078-2024 artfynd.xlsx", "A 50078-2024")</f>
        <v/>
      </c>
      <c r="X188">
        <f>HYPERLINK("https://klasma.github.io/Logging_1382/kartor/A 50078-2024 karta.png", "A 50078-2024")</f>
        <v/>
      </c>
      <c r="Y188">
        <f>HYPERLINK("https://klasma.github.io/Logging_1382/kartor_geotiff/A 50078-2024 georefererad karta.tif", "A 50078-2024")</f>
        <v/>
      </c>
      <c r="AA188">
        <f>HYPERLINK("https://klasma.github.io/Logging_1382/klagomål/A 50078-2024 FSC-klagomål.docx", "A 50078-2024")</f>
        <v/>
      </c>
      <c r="AB188">
        <f>HYPERLINK("https://klasma.github.io/Logging_1382/klagomålsmail/A 50078-2024 FSC-klagomål mail.docx", "A 50078-2024")</f>
        <v/>
      </c>
      <c r="AC188">
        <f>HYPERLINK("https://klasma.github.io/Logging_1382/tillsyn/A 50078-2024 tillsynsbegäran.docx", "A 50078-2024")</f>
        <v/>
      </c>
      <c r="AD188">
        <f>HYPERLINK("https://klasma.github.io/Logging_1382/tillsynsmail/A 50078-2024 tillsynsbegäran mail.docx", "A 50078-2024")</f>
        <v/>
      </c>
    </row>
    <row r="189" ht="15" customHeight="1">
      <c r="A189" t="inlineStr">
        <is>
          <t>A 38854-2023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45163</v>
      </c>
      <c r="E189" s="1" t="n">
        <v>46265</v>
      </c>
      <c r="F189" t="inlineStr">
        <is>
          <t>HALLANDS LÄN</t>
        </is>
      </c>
      <c r="G189" t="inlineStr">
        <is>
          <t>HYLTE</t>
        </is>
      </c>
      <c r="I189" t="n">
        <v>1.3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Borsttåg</t>
        </is>
      </c>
      <c r="W189">
        <f>HYPERLINK("https://klasma.github.io/Logging_1315/artfynd/A 38854-2023 artfynd.xlsx", "A 38854-2023")</f>
        <v/>
      </c>
      <c r="X189">
        <f>HYPERLINK("https://klasma.github.io/Logging_1315/kartor/A 38854-2023 karta.png", "A 38854-2023")</f>
        <v/>
      </c>
      <c r="Y189">
        <f>HYPERLINK("https://klasma.github.io/Logging_1315/kartor_geotiff/A 38854-2023 georefererad karta.tif", "A 38854-2023")</f>
        <v/>
      </c>
      <c r="AA189">
        <f>HYPERLINK("https://klasma.github.io/Logging_1315/klagomål/A 38854-2023 FSC-klagomål.docx", "A 38854-2023")</f>
        <v/>
      </c>
      <c r="AB189">
        <f>HYPERLINK("https://klasma.github.io/Logging_1315/klagomålsmail/A 38854-2023 FSC-klagomål mail.docx", "A 38854-2023")</f>
        <v/>
      </c>
      <c r="AC189">
        <f>HYPERLINK("https://klasma.github.io/Logging_1315/tillsyn/A 38854-2023 tillsynsbegäran.docx", "A 38854-2023")</f>
        <v/>
      </c>
      <c r="AD189">
        <f>HYPERLINK("https://klasma.github.io/Logging_1315/tillsynsmail/A 38854-2023 tillsynsbegäran mail.docx", "A 38854-2023")</f>
        <v/>
      </c>
    </row>
    <row r="190" ht="15" customHeight="1">
      <c r="A190" t="inlineStr">
        <is>
          <t>A 11010-2025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45723</v>
      </c>
      <c r="E190" s="1" t="n">
        <v>46265</v>
      </c>
      <c r="F190" t="inlineStr">
        <is>
          <t>HALLANDS LÄN</t>
        </is>
      </c>
      <c r="G190" t="inlineStr">
        <is>
          <t>KUNGSBACKA</t>
        </is>
      </c>
      <c r="I190" t="n">
        <v>12.4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HYPERLINK("https://klasma.github.io/Logging_1384/artfynd/A 11010-2025 artfynd.xlsx", "A 11010-2025")</f>
        <v/>
      </c>
      <c r="X190">
        <f>HYPERLINK("https://klasma.github.io/Logging_1384/kartor/A 11010-2025 karta.png", "A 11010-2025")</f>
        <v/>
      </c>
      <c r="Y190">
        <f>HYPERLINK("https://klasma.github.io/Logging_1384/kartor_geotiff/A 11010-2025 georefererad karta.tif", "A 11010-2025")</f>
        <v/>
      </c>
      <c r="AA190">
        <f>HYPERLINK("https://klasma.github.io/Logging_1384/klagomål/A 11010-2025 FSC-klagomål.docx", "A 11010-2025")</f>
        <v/>
      </c>
      <c r="AB190">
        <f>HYPERLINK("https://klasma.github.io/Logging_1384/klagomålsmail/A 11010-2025 FSC-klagomål mail.docx", "A 11010-2025")</f>
        <v/>
      </c>
      <c r="AC190">
        <f>HYPERLINK("https://klasma.github.io/Logging_1384/tillsyn/A 11010-2025 tillsynsbegäran.docx", "A 11010-2025")</f>
        <v/>
      </c>
      <c r="AD190">
        <f>HYPERLINK("https://klasma.github.io/Logging_1384/tillsynsmail/A 11010-2025 tillsynsbegäran mail.docx", "A 11010-2025")</f>
        <v/>
      </c>
    </row>
    <row r="191" ht="15" customHeight="1">
      <c r="A191" t="inlineStr">
        <is>
          <t>A 46737-2023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45198</v>
      </c>
      <c r="E191" s="1" t="n">
        <v>46265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Ask</t>
        </is>
      </c>
      <c r="W191">
        <f>HYPERLINK("https://klasma.github.io/Logging_1383/artfynd/A 46737-2023 artfynd.xlsx", "A 46737-2023")</f>
        <v/>
      </c>
      <c r="X191">
        <f>HYPERLINK("https://klasma.github.io/Logging_1383/kartor/A 46737-2023 karta.png", "A 46737-2023")</f>
        <v/>
      </c>
      <c r="Y191">
        <f>HYPERLINK("https://klasma.github.io/Logging_1383/kartor_geotiff/A 46737-2023 georefererad karta.tif", "A 46737-2023")</f>
        <v/>
      </c>
      <c r="AA191">
        <f>HYPERLINK("https://klasma.github.io/Logging_1383/klagomål/A 46737-2023 FSC-klagomål.docx", "A 46737-2023")</f>
        <v/>
      </c>
      <c r="AB191">
        <f>HYPERLINK("https://klasma.github.io/Logging_1383/klagomålsmail/A 46737-2023 FSC-klagomål mail.docx", "A 46737-2023")</f>
        <v/>
      </c>
      <c r="AC191">
        <f>HYPERLINK("https://klasma.github.io/Logging_1383/tillsyn/A 46737-2023 tillsynsbegäran.docx", "A 46737-2023")</f>
        <v/>
      </c>
      <c r="AD191">
        <f>HYPERLINK("https://klasma.github.io/Logging_1383/tillsynsmail/A 46737-2023 tillsynsbegäran mail.docx", "A 46737-2023")</f>
        <v/>
      </c>
    </row>
    <row r="192" ht="15" customHeight="1">
      <c r="A192" t="inlineStr">
        <is>
          <t>A 44638-2022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46265</v>
      </c>
      <c r="F192" t="inlineStr">
        <is>
          <t>HALLANDS LÄN</t>
        </is>
      </c>
      <c r="G192" t="inlineStr">
        <is>
          <t>KUNGSBACKA</t>
        </is>
      </c>
      <c r="H192" t="inlineStr">
        <is>
          <t>Kommuner</t>
        </is>
      </c>
      <c r="I192" t="n">
        <v>11.8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Spillkråka</t>
        </is>
      </c>
      <c r="W192">
        <f>HYPERLINK("https://klasma.github.io/Logging_1384/artfynd/A 44638-2022 artfynd.xlsx", "A 44638-2022")</f>
        <v/>
      </c>
      <c r="X192">
        <f>HYPERLINK("https://klasma.github.io/Logging_1384/kartor/A 44638-2022 karta.png", "A 44638-2022")</f>
        <v/>
      </c>
      <c r="Y192">
        <f>HYPERLINK("https://klasma.github.io/Logging_1384/kartor_geotiff/A 44638-2022 georefererad karta.tif", "A 44638-2022")</f>
        <v/>
      </c>
      <c r="AA192">
        <f>HYPERLINK("https://klasma.github.io/Logging_1384/klagomål/A 44638-2022 FSC-klagomål.docx", "A 44638-2022")</f>
        <v/>
      </c>
      <c r="AB192">
        <f>HYPERLINK("https://klasma.github.io/Logging_1384/klagomålsmail/A 44638-2022 FSC-klagomål mail.docx", "A 44638-2022")</f>
        <v/>
      </c>
      <c r="AC192">
        <f>HYPERLINK("https://klasma.github.io/Logging_1384/tillsyn/A 44638-2022 tillsynsbegäran.docx", "A 44638-2022")</f>
        <v/>
      </c>
      <c r="AD192">
        <f>HYPERLINK("https://klasma.github.io/Logging_1384/tillsynsmail/A 44638-2022 tillsynsbegäran mail.docx", "A 44638-2022")</f>
        <v/>
      </c>
      <c r="AE192">
        <f>HYPERLINK("https://klasma.github.io/Logging_1384/fåglar/A 44638-2022 prioriterade fågelarter.docx", "A 44638-2022")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46265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8254-2024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46265</v>
      </c>
      <c r="F194" t="inlineStr">
        <is>
          <t>HALLANDS LÄN</t>
        </is>
      </c>
      <c r="G194" t="inlineStr">
        <is>
          <t>VARBERG</t>
        </is>
      </c>
      <c r="I194" t="n">
        <v>0.5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Jättesvampmal</t>
        </is>
      </c>
      <c r="W194">
        <f>HYPERLINK("https://klasma.github.io/Logging_1383/artfynd/A 8254-2024 artfynd.xlsx", "A 8254-2024")</f>
        <v/>
      </c>
      <c r="X194">
        <f>HYPERLINK("https://klasma.github.io/Logging_1383/kartor/A 8254-2024 karta.png", "A 8254-2024")</f>
        <v/>
      </c>
      <c r="Y194">
        <f>HYPERLINK("https://klasma.github.io/Logging_1383/kartor_geotiff/A 8254-2024 georefererad karta.tif", "A 8254-2024")</f>
        <v/>
      </c>
      <c r="AA194">
        <f>HYPERLINK("https://klasma.github.io/Logging_1383/klagomål/A 8254-2024 FSC-klagomål.docx", "A 8254-2024")</f>
        <v/>
      </c>
      <c r="AB194">
        <f>HYPERLINK("https://klasma.github.io/Logging_1383/klagomålsmail/A 8254-2024 FSC-klagomål mail.docx", "A 8254-2024")</f>
        <v/>
      </c>
      <c r="AC194">
        <f>HYPERLINK("https://klasma.github.io/Logging_1383/tillsyn/A 8254-2024 tillsynsbegäran.docx", "A 8254-2024")</f>
        <v/>
      </c>
      <c r="AD194">
        <f>HYPERLINK("https://klasma.github.io/Logging_1383/tillsynsmail/A 8254-2024 tillsynsbegäran mail.docx", "A 8254-2024")</f>
        <v/>
      </c>
    </row>
    <row r="195" ht="15" customHeight="1">
      <c r="A195" t="inlineStr">
        <is>
          <t>A 6361-2026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46265</v>
      </c>
      <c r="F195" t="inlineStr">
        <is>
          <t>HALLANDS LÄN</t>
        </is>
      </c>
      <c r="G195" t="inlineStr">
        <is>
          <t>LAHOLM</t>
        </is>
      </c>
      <c r="I195" t="n">
        <v>0.5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Flikbålmossa</t>
        </is>
      </c>
      <c r="W195">
        <f>HYPERLINK("https://klasma.github.io/Logging_1381/artfynd/A 6361-2026 artfynd.xlsx", "A 6361-2026")</f>
        <v/>
      </c>
      <c r="X195">
        <f>HYPERLINK("https://klasma.github.io/Logging_1381/kartor/A 6361-2026 karta.png", "A 6361-2026")</f>
        <v/>
      </c>
      <c r="Y195">
        <f>HYPERLINK("https://klasma.github.io/Logging_1381/kartor_geotiff/A 6361-2026 georefererad karta.tif", "A 6361-2026")</f>
        <v/>
      </c>
      <c r="AA195">
        <f>HYPERLINK("https://klasma.github.io/Logging_1381/klagomål/A 6361-2026 FSC-klagomål.docx", "A 6361-2026")</f>
        <v/>
      </c>
      <c r="AB195">
        <f>HYPERLINK("https://klasma.github.io/Logging_1381/klagomålsmail/A 6361-2026 FSC-klagomål mail.docx", "A 6361-2026")</f>
        <v/>
      </c>
      <c r="AC195">
        <f>HYPERLINK("https://klasma.github.io/Logging_1381/tillsyn/A 6361-2026 tillsynsbegäran.docx", "A 6361-2026")</f>
        <v/>
      </c>
      <c r="AD195">
        <f>HYPERLINK("https://klasma.github.io/Logging_1381/tillsynsmail/A 6361-2026 tillsynsbegäran mail.docx", "A 6361-2026")</f>
        <v/>
      </c>
    </row>
    <row r="196" ht="15" customHeight="1">
      <c r="A196" t="inlineStr">
        <is>
          <t>A 61966-2022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46265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Åkersyska</t>
        </is>
      </c>
      <c r="W196">
        <f>HYPERLINK("https://klasma.github.io/Logging_1383/artfynd/A 61966-2022 artfynd.xlsx", "A 61966-2022")</f>
        <v/>
      </c>
      <c r="X196">
        <f>HYPERLINK("https://klasma.github.io/Logging_1383/kartor/A 61966-2022 karta.png", "A 61966-2022")</f>
        <v/>
      </c>
      <c r="Y196">
        <f>HYPERLINK("https://klasma.github.io/Logging_1383/kartor_geotiff/A 61966-2022 georefererad karta.tif", "A 61966-2022")</f>
        <v/>
      </c>
      <c r="AA196">
        <f>HYPERLINK("https://klasma.github.io/Logging_1383/klagomål/A 61966-2022 FSC-klagomål.docx", "A 61966-2022")</f>
        <v/>
      </c>
      <c r="AB196">
        <f>HYPERLINK("https://klasma.github.io/Logging_1383/klagomålsmail/A 61966-2022 FSC-klagomål mail.docx", "A 61966-2022")</f>
        <v/>
      </c>
      <c r="AC196">
        <f>HYPERLINK("https://klasma.github.io/Logging_1383/tillsyn/A 61966-2022 tillsynsbegäran.docx", "A 61966-2022")</f>
        <v/>
      </c>
      <c r="AD196">
        <f>HYPERLINK("https://klasma.github.io/Logging_1383/tillsynsmail/A 61966-2022 tillsynsbegäran mail.docx", "A 61966-2022")</f>
        <v/>
      </c>
    </row>
    <row r="197" ht="15" customHeight="1">
      <c r="A197" t="inlineStr">
        <is>
          <t>A 6987-2026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46265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Dvärgpipistrell</t>
        </is>
      </c>
      <c r="W197">
        <f>HYPERLINK("https://klasma.github.io/Logging_1380/artfynd/A 6987-2026 artfynd.xlsx", "A 6987-2026")</f>
        <v/>
      </c>
      <c r="X197">
        <f>HYPERLINK("https://klasma.github.io/Logging_1380/kartor/A 6987-2026 karta.png", "A 6987-2026")</f>
        <v/>
      </c>
      <c r="Y197">
        <f>HYPERLINK("https://klasma.github.io/Logging_1380/kartor_geotiff/A 6987-2026 georefererad karta.tif", "A 6987-2026")</f>
        <v/>
      </c>
      <c r="AA197">
        <f>HYPERLINK("https://klasma.github.io/Logging_1380/klagomål/A 6987-2026 FSC-klagomål.docx", "A 6987-2026")</f>
        <v/>
      </c>
      <c r="AB197">
        <f>HYPERLINK("https://klasma.github.io/Logging_1380/klagomålsmail/A 6987-2026 FSC-klagomål mail.docx", "A 6987-2026")</f>
        <v/>
      </c>
      <c r="AC197">
        <f>HYPERLINK("https://klasma.github.io/Logging_1380/tillsyn/A 6987-2026 tillsynsbegäran.docx", "A 6987-2026")</f>
        <v/>
      </c>
      <c r="AD197">
        <f>HYPERLINK("https://klasma.github.io/Logging_1380/tillsynsmail/A 6987-2026 tillsynsbegäran mail.docx", "A 6987-2026")</f>
        <v/>
      </c>
    </row>
    <row r="198" ht="15" customHeight="1">
      <c r="A198" t="inlineStr">
        <is>
          <t>A 6767-2026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46057</v>
      </c>
      <c r="E198" s="1" t="n">
        <v>46265</v>
      </c>
      <c r="F198" t="inlineStr">
        <is>
          <t>HALLANDS LÄN</t>
        </is>
      </c>
      <c r="G198" t="inlineStr">
        <is>
          <t>HALMSTAD</t>
        </is>
      </c>
      <c r="I198" t="n">
        <v>2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HYPERLINK("https://klasma.github.io/Logging_1380/artfynd/A 6767-2026 artfynd.xlsx", "A 6767-2026")</f>
        <v/>
      </c>
      <c r="X198">
        <f>HYPERLINK("https://klasma.github.io/Logging_1380/kartor/A 6767-2026 karta.png", "A 6767-2026")</f>
        <v/>
      </c>
      <c r="Y198">
        <f>HYPERLINK("https://klasma.github.io/Logging_1380/kartor_geotiff/A 6767-2026 georefererad karta.tif", "A 6767-2026")</f>
        <v/>
      </c>
      <c r="AA198">
        <f>HYPERLINK("https://klasma.github.io/Logging_1380/klagomål/A 6767-2026 FSC-klagomål.docx", "A 6767-2026")</f>
        <v/>
      </c>
      <c r="AB198">
        <f>HYPERLINK("https://klasma.github.io/Logging_1380/klagomålsmail/A 6767-2026 FSC-klagomål mail.docx", "A 6767-2026")</f>
        <v/>
      </c>
      <c r="AC198">
        <f>HYPERLINK("https://klasma.github.io/Logging_1380/tillsyn/A 6767-2026 tillsynsbegäran.docx", "A 6767-2026")</f>
        <v/>
      </c>
      <c r="AD198">
        <f>HYPERLINK("https://klasma.github.io/Logging_1380/tillsynsmail/A 6767-2026 tillsynsbegäran mail.docx", "A 6767-2026")</f>
        <v/>
      </c>
    </row>
    <row r="199" ht="15" customHeight="1">
      <c r="A199" t="inlineStr">
        <is>
          <t>A 17266-2023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45035</v>
      </c>
      <c r="E199" s="1" t="n">
        <v>46265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Tibast</t>
        </is>
      </c>
      <c r="W199">
        <f>HYPERLINK("https://klasma.github.io/Logging_1380/artfynd/A 17266-2023 artfynd.xlsx", "A 17266-2023")</f>
        <v/>
      </c>
      <c r="X199">
        <f>HYPERLINK("https://klasma.github.io/Logging_1380/kartor/A 17266-2023 karta.png", "A 17266-2023")</f>
        <v/>
      </c>
      <c r="Y199">
        <f>HYPERLINK("https://klasma.github.io/Logging_1380/kartor_geotiff/A 17266-2023 georefererad karta.tif", "A 17266-2023")</f>
        <v/>
      </c>
      <c r="AA199">
        <f>HYPERLINK("https://klasma.github.io/Logging_1380/klagomål/A 17266-2023 FSC-klagomål.docx", "A 17266-2023")</f>
        <v/>
      </c>
      <c r="AB199">
        <f>HYPERLINK("https://klasma.github.io/Logging_1380/klagomålsmail/A 17266-2023 FSC-klagomål mail.docx", "A 17266-2023")</f>
        <v/>
      </c>
      <c r="AC199">
        <f>HYPERLINK("https://klasma.github.io/Logging_1380/tillsyn/A 17266-2023 tillsynsbegäran.docx", "A 17266-2023")</f>
        <v/>
      </c>
      <c r="AD199">
        <f>HYPERLINK("https://klasma.github.io/Logging_1380/tillsynsmail/A 17266-2023 tillsynsbegäran mail.docx", "A 17266-2023")</f>
        <v/>
      </c>
    </row>
    <row r="200" ht="15" customHeight="1">
      <c r="A200" t="inlineStr">
        <is>
          <t>A 7696-2023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46265</v>
      </c>
      <c r="F200" t="inlineStr">
        <is>
          <t>HALLANDS LÄN</t>
        </is>
      </c>
      <c r="G200" t="inlineStr">
        <is>
          <t>FALKENBERG</t>
        </is>
      </c>
      <c r="I200" t="n">
        <v>6.3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HYPERLINK("https://klasma.github.io/Logging_1382/artfynd/A 7696-2023 artfynd.xlsx", "A 7696-2023")</f>
        <v/>
      </c>
      <c r="X200">
        <f>HYPERLINK("https://klasma.github.io/Logging_1382/kartor/A 7696-2023 karta.png", "A 7696-2023")</f>
        <v/>
      </c>
      <c r="Y200">
        <f>HYPERLINK("https://klasma.github.io/Logging_1382/kartor_geotiff/A 7696-2023 georefererad karta.tif", "A 7696-2023")</f>
        <v/>
      </c>
      <c r="AA200">
        <f>HYPERLINK("https://klasma.github.io/Logging_1382/klagomål/A 7696-2023 FSC-klagomål.docx", "A 7696-2023")</f>
        <v/>
      </c>
      <c r="AB200">
        <f>HYPERLINK("https://klasma.github.io/Logging_1382/klagomålsmail/A 7696-2023 FSC-klagomål mail.docx", "A 7696-2023")</f>
        <v/>
      </c>
      <c r="AC200">
        <f>HYPERLINK("https://klasma.github.io/Logging_1382/tillsyn/A 7696-2023 tillsynsbegäran.docx", "A 7696-2023")</f>
        <v/>
      </c>
      <c r="AD200">
        <f>HYPERLINK("https://klasma.github.io/Logging_1382/tillsynsmail/A 7696-2023 tillsynsbegäran mail.docx", "A 7696-2023")</f>
        <v/>
      </c>
    </row>
    <row r="201" ht="15" customHeight="1">
      <c r="A201" t="inlineStr">
        <is>
          <t>A 34833-2023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46265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Tibast</t>
        </is>
      </c>
      <c r="W201">
        <f>HYPERLINK("https://klasma.github.io/Logging_1383/artfynd/A 34833-2023 artfynd.xlsx", "A 34833-2023")</f>
        <v/>
      </c>
      <c r="X201">
        <f>HYPERLINK("https://klasma.github.io/Logging_1383/kartor/A 34833-2023 karta.png", "A 34833-2023")</f>
        <v/>
      </c>
      <c r="Y201">
        <f>HYPERLINK("https://klasma.github.io/Logging_1383/kartor_geotiff/A 34833-2023 georefererad karta.tif", "A 34833-2023")</f>
        <v/>
      </c>
      <c r="AA201">
        <f>HYPERLINK("https://klasma.github.io/Logging_1383/klagomål/A 34833-2023 FSC-klagomål.docx", "A 34833-2023")</f>
        <v/>
      </c>
      <c r="AB201">
        <f>HYPERLINK("https://klasma.github.io/Logging_1383/klagomålsmail/A 34833-2023 FSC-klagomål mail.docx", "A 34833-2023")</f>
        <v/>
      </c>
      <c r="AC201">
        <f>HYPERLINK("https://klasma.github.io/Logging_1383/tillsyn/A 34833-2023 tillsynsbegäran.docx", "A 34833-2023")</f>
        <v/>
      </c>
      <c r="AD201">
        <f>HYPERLINK("https://klasma.github.io/Logging_1383/tillsynsmail/A 34833-2023 tillsynsbegäran mail.docx", "A 34833-2023")</f>
        <v/>
      </c>
    </row>
    <row r="202" ht="15" customHeight="1">
      <c r="A202" t="inlineStr">
        <is>
          <t>A 32753-2023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45122</v>
      </c>
      <c r="E202" s="1" t="n">
        <v>46265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Entita</t>
        </is>
      </c>
      <c r="W202">
        <f>HYPERLINK("https://klasma.github.io/Logging_1380/artfynd/A 32753-2023 artfynd.xlsx", "A 32753-2023")</f>
        <v/>
      </c>
      <c r="X202">
        <f>HYPERLINK("https://klasma.github.io/Logging_1380/kartor/A 32753-2023 karta.png", "A 32753-2023")</f>
        <v/>
      </c>
      <c r="Y202">
        <f>HYPERLINK("https://klasma.github.io/Logging_1380/kartor_geotiff/A 32753-2023 georefererad karta.tif", "A 32753-2023")</f>
        <v/>
      </c>
      <c r="AA202">
        <f>HYPERLINK("https://klasma.github.io/Logging_1380/klagomål/A 32753-2023 FSC-klagomål.docx", "A 32753-2023")</f>
        <v/>
      </c>
      <c r="AB202">
        <f>HYPERLINK("https://klasma.github.io/Logging_1380/klagomålsmail/A 32753-2023 FSC-klagomål mail.docx", "A 32753-2023")</f>
        <v/>
      </c>
      <c r="AC202">
        <f>HYPERLINK("https://klasma.github.io/Logging_1380/tillsyn/A 32753-2023 tillsynsbegäran.docx", "A 32753-2023")</f>
        <v/>
      </c>
      <c r="AD202">
        <f>HYPERLINK("https://klasma.github.io/Logging_1380/tillsynsmail/A 32753-2023 tillsynsbegäran mail.docx", "A 32753-2023")</f>
        <v/>
      </c>
      <c r="AE202">
        <f>HYPERLINK("https://klasma.github.io/Logging_1380/fåglar/A 32753-2023 prioriterade fågelarter.docx", "A 32753-2023")</f>
        <v/>
      </c>
    </row>
    <row r="203" ht="15" customHeight="1">
      <c r="A203" t="inlineStr">
        <is>
          <t>A 7006-2024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46265</v>
      </c>
      <c r="F203" t="inlineStr">
        <is>
          <t>HALLANDS LÄN</t>
        </is>
      </c>
      <c r="G203" t="inlineStr">
        <is>
          <t>HYLTE</t>
        </is>
      </c>
      <c r="I203" t="n">
        <v>2.2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Fläcknycklar</t>
        </is>
      </c>
      <c r="W203">
        <f>HYPERLINK("https://klasma.github.io/Logging_1315/artfynd/A 7006-2024 artfynd.xlsx", "A 7006-2024")</f>
        <v/>
      </c>
      <c r="X203">
        <f>HYPERLINK("https://klasma.github.io/Logging_1315/kartor/A 7006-2024 karta.png", "A 7006-2024")</f>
        <v/>
      </c>
      <c r="Y203">
        <f>HYPERLINK("https://klasma.github.io/Logging_1315/kartor_geotiff/A 7006-2024 georefererad karta.tif", "A 7006-2024")</f>
        <v/>
      </c>
      <c r="AA203">
        <f>HYPERLINK("https://klasma.github.io/Logging_1315/klagomål/A 7006-2024 FSC-klagomål.docx", "A 7006-2024")</f>
        <v/>
      </c>
      <c r="AB203">
        <f>HYPERLINK("https://klasma.github.io/Logging_1315/klagomålsmail/A 7006-2024 FSC-klagomål mail.docx", "A 7006-2024")</f>
        <v/>
      </c>
      <c r="AC203">
        <f>HYPERLINK("https://klasma.github.io/Logging_1315/tillsyn/A 7006-2024 tillsynsbegäran.docx", "A 7006-2024")</f>
        <v/>
      </c>
      <c r="AD203">
        <f>HYPERLINK("https://klasma.github.io/Logging_1315/tillsynsmail/A 7006-2024 tillsynsbegäran mail.docx", "A 7006-2024")</f>
        <v/>
      </c>
    </row>
    <row r="204" ht="15" customHeight="1">
      <c r="A204" t="inlineStr">
        <is>
          <t>A 28009-2024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45476</v>
      </c>
      <c r="E204" s="1" t="n">
        <v>46265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Huggorm</t>
        </is>
      </c>
      <c r="W204">
        <f>HYPERLINK("https://klasma.github.io/Logging_1315/artfynd/A 28009-2024 artfynd.xlsx", "A 28009-2024")</f>
        <v/>
      </c>
      <c r="X204">
        <f>HYPERLINK("https://klasma.github.io/Logging_1315/kartor/A 28009-2024 karta.png", "A 28009-2024")</f>
        <v/>
      </c>
      <c r="Y204">
        <f>HYPERLINK("https://klasma.github.io/Logging_1315/kartor_geotiff/A 28009-2024 georefererad karta.tif", "A 28009-2024")</f>
        <v/>
      </c>
      <c r="AA204">
        <f>HYPERLINK("https://klasma.github.io/Logging_1315/klagomål/A 28009-2024 FSC-klagomål.docx", "A 28009-2024")</f>
        <v/>
      </c>
      <c r="AB204">
        <f>HYPERLINK("https://klasma.github.io/Logging_1315/klagomålsmail/A 28009-2024 FSC-klagomål mail.docx", "A 28009-2024")</f>
        <v/>
      </c>
      <c r="AC204">
        <f>HYPERLINK("https://klasma.github.io/Logging_1315/tillsyn/A 28009-2024 tillsynsbegäran.docx", "A 28009-2024")</f>
        <v/>
      </c>
      <c r="AD204">
        <f>HYPERLINK("https://klasma.github.io/Logging_1315/tillsynsmail/A 28009-2024 tillsynsbegäran mail.docx", "A 28009-2024")</f>
        <v/>
      </c>
    </row>
    <row r="205" ht="15" customHeight="1">
      <c r="A205" t="inlineStr">
        <is>
          <t>A 7801-2025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46265</v>
      </c>
      <c r="F205" t="inlineStr">
        <is>
          <t>HALLANDS LÄN</t>
        </is>
      </c>
      <c r="G205" t="inlineStr">
        <is>
          <t>KUNGSBACKA</t>
        </is>
      </c>
      <c r="I205" t="n">
        <v>6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HYPERLINK("https://klasma.github.io/Logging_1384/artfynd/A 7801-2025 artfynd.xlsx", "A 7801-2025")</f>
        <v/>
      </c>
      <c r="X205">
        <f>HYPERLINK("https://klasma.github.io/Logging_1384/kartor/A 7801-2025 karta.png", "A 7801-2025")</f>
        <v/>
      </c>
      <c r="Y205">
        <f>HYPERLINK("https://klasma.github.io/Logging_1384/kartor_geotiff/A 7801-2025 georefererad karta.tif", "A 7801-2025")</f>
        <v/>
      </c>
      <c r="AA205">
        <f>HYPERLINK("https://klasma.github.io/Logging_1384/klagomål/A 7801-2025 FSC-klagomål.docx", "A 7801-2025")</f>
        <v/>
      </c>
      <c r="AB205">
        <f>HYPERLINK("https://klasma.github.io/Logging_1384/klagomålsmail/A 7801-2025 FSC-klagomål mail.docx", "A 7801-2025")</f>
        <v/>
      </c>
      <c r="AC205">
        <f>HYPERLINK("https://klasma.github.io/Logging_1384/tillsyn/A 7801-2025 tillsynsbegäran.docx", "A 7801-2025")</f>
        <v/>
      </c>
      <c r="AD205">
        <f>HYPERLINK("https://klasma.github.io/Logging_1384/tillsynsmail/A 7801-2025 tillsynsbegäran mail.docx", "A 7801-2025")</f>
        <v/>
      </c>
    </row>
    <row r="206" ht="15" customHeight="1">
      <c r="A206" t="inlineStr">
        <is>
          <t>A 40650-2023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46265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14.7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Slåttergubbe</t>
        </is>
      </c>
      <c r="W206">
        <f>HYPERLINK("https://klasma.github.io/Logging_1380/artfynd/A 40650-2023 artfynd.xlsx", "A 40650-2023")</f>
        <v/>
      </c>
      <c r="X206">
        <f>HYPERLINK("https://klasma.github.io/Logging_1380/kartor/A 40650-2023 karta.png", "A 40650-2023")</f>
        <v/>
      </c>
      <c r="Y206">
        <f>HYPERLINK("https://klasma.github.io/Logging_1380/kartor_geotiff/A 40650-2023 georefererad karta.tif", "A 40650-2023")</f>
        <v/>
      </c>
      <c r="AA206">
        <f>HYPERLINK("https://klasma.github.io/Logging_1380/klagomål/A 40650-2023 FSC-klagomål.docx", "A 40650-2023")</f>
        <v/>
      </c>
      <c r="AB206">
        <f>HYPERLINK("https://klasma.github.io/Logging_1380/klagomålsmail/A 40650-2023 FSC-klagomål mail.docx", "A 40650-2023")</f>
        <v/>
      </c>
      <c r="AC206">
        <f>HYPERLINK("https://klasma.github.io/Logging_1380/tillsyn/A 40650-2023 tillsynsbegäran.docx", "A 40650-2023")</f>
        <v/>
      </c>
      <c r="AD206">
        <f>HYPERLINK("https://klasma.github.io/Logging_1380/tillsynsmail/A 40650-2023 tillsynsbegäran mail.docx", "A 40650-2023")</f>
        <v/>
      </c>
    </row>
    <row r="207" ht="15" customHeight="1">
      <c r="A207" t="inlineStr">
        <is>
          <t>A 15579-2026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46265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Åkerrättika</t>
        </is>
      </c>
      <c r="W207">
        <f>HYPERLINK("https://klasma.github.io/Logging_1380/artfynd/A 15579-2026 artfynd.xlsx", "A 15579-2026")</f>
        <v/>
      </c>
      <c r="X207">
        <f>HYPERLINK("https://klasma.github.io/Logging_1380/kartor/A 15579-2026 karta.png", "A 15579-2026")</f>
        <v/>
      </c>
      <c r="Y207">
        <f>HYPERLINK("https://klasma.github.io/Logging_1380/kartor_geotiff/A 15579-2026 georefererad karta.tif", "A 15579-2026")</f>
        <v/>
      </c>
      <c r="AA207">
        <f>HYPERLINK("https://klasma.github.io/Logging_1380/klagomål/A 15579-2026 FSC-klagomål.docx", "A 15579-2026")</f>
        <v/>
      </c>
      <c r="AB207">
        <f>HYPERLINK("https://klasma.github.io/Logging_1380/klagomålsmail/A 15579-2026 FSC-klagomål mail.docx", "A 15579-2026")</f>
        <v/>
      </c>
      <c r="AC207">
        <f>HYPERLINK("https://klasma.github.io/Logging_1380/tillsyn/A 15579-2026 tillsynsbegäran.docx", "A 15579-2026")</f>
        <v/>
      </c>
      <c r="AD207">
        <f>HYPERLINK("https://klasma.github.io/Logging_1380/tillsynsmail/A 15579-2026 tillsynsbegäran mail.docx", "A 15579-2026")</f>
        <v/>
      </c>
    </row>
    <row r="208" ht="15" customHeight="1">
      <c r="A208" t="inlineStr">
        <is>
          <t>A 17642-2026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46265</v>
      </c>
      <c r="F208" t="inlineStr">
        <is>
          <t>HALLANDS LÄN</t>
        </is>
      </c>
      <c r="G208" t="inlineStr">
        <is>
          <t>LAHOLM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Småvänderot</t>
        </is>
      </c>
      <c r="W208">
        <f>HYPERLINK("https://klasma.github.io/Logging_1381/artfynd/A 17642-2026 artfynd.xlsx", "A 17642-2026")</f>
        <v/>
      </c>
      <c r="X208">
        <f>HYPERLINK("https://klasma.github.io/Logging_1381/kartor/A 17642-2026 karta.png", "A 17642-2026")</f>
        <v/>
      </c>
      <c r="Y208">
        <f>HYPERLINK("https://klasma.github.io/Logging_1381/kartor_geotiff/A 17642-2026 georefererad karta.tif", "A 17642-2026")</f>
        <v/>
      </c>
      <c r="AA208">
        <f>HYPERLINK("https://klasma.github.io/Logging_1381/klagomål/A 17642-2026 FSC-klagomål.docx", "A 17642-2026")</f>
        <v/>
      </c>
      <c r="AB208">
        <f>HYPERLINK("https://klasma.github.io/Logging_1381/klagomålsmail/A 17642-2026 FSC-klagomål mail.docx", "A 17642-2026")</f>
        <v/>
      </c>
      <c r="AC208">
        <f>HYPERLINK("https://klasma.github.io/Logging_1381/tillsyn/A 17642-2026 tillsynsbegäran.docx", "A 17642-2026")</f>
        <v/>
      </c>
      <c r="AD208">
        <f>HYPERLINK("https://klasma.github.io/Logging_1381/tillsynsmail/A 17642-2026 tillsynsbegäran mail.docx", "A 17642-2026")</f>
        <v/>
      </c>
    </row>
    <row r="209" ht="15" customHeight="1">
      <c r="A209" t="inlineStr">
        <is>
          <t>A 18150-2026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46265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Järnek</t>
        </is>
      </c>
      <c r="W209">
        <f>HYPERLINK("https://klasma.github.io/Logging_1384/artfynd/A 18150-2026 artfynd.xlsx", "A 18150-2026")</f>
        <v/>
      </c>
      <c r="X209">
        <f>HYPERLINK("https://klasma.github.io/Logging_1384/kartor/A 18150-2026 karta.png", "A 18150-2026")</f>
        <v/>
      </c>
      <c r="Y209">
        <f>HYPERLINK("https://klasma.github.io/Logging_1384/kartor_geotiff/A 18150-2026 georefererad karta.tif", "A 18150-2026")</f>
        <v/>
      </c>
      <c r="AA209">
        <f>HYPERLINK("https://klasma.github.io/Logging_1384/klagomål/A 18150-2026 FSC-klagomål.docx", "A 18150-2026")</f>
        <v/>
      </c>
      <c r="AB209">
        <f>HYPERLINK("https://klasma.github.io/Logging_1384/klagomålsmail/A 18150-2026 FSC-klagomål mail.docx", "A 18150-2026")</f>
        <v/>
      </c>
      <c r="AC209">
        <f>HYPERLINK("https://klasma.github.io/Logging_1384/tillsyn/A 18150-2026 tillsynsbegäran.docx", "A 18150-2026")</f>
        <v/>
      </c>
      <c r="AD209">
        <f>HYPERLINK("https://klasma.github.io/Logging_1384/tillsynsmail/A 18150-2026 tillsynsbegäran mail.docx", "A 18150-2026")</f>
        <v/>
      </c>
    </row>
    <row r="210" ht="15" customHeight="1">
      <c r="A210" t="inlineStr">
        <is>
          <t>A 36808-2023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46265</v>
      </c>
      <c r="F210" t="inlineStr">
        <is>
          <t>HALLANDS LÄN</t>
        </is>
      </c>
      <c r="G210" t="inlineStr">
        <is>
          <t>HALMSTAD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Ljungögontröst</t>
        </is>
      </c>
      <c r="W210">
        <f>HYPERLINK("https://klasma.github.io/Logging_1380/artfynd/A 36808-2023 artfynd.xlsx", "A 36808-2023")</f>
        <v/>
      </c>
      <c r="X210">
        <f>HYPERLINK("https://klasma.github.io/Logging_1380/kartor/A 36808-2023 karta.png", "A 36808-2023")</f>
        <v/>
      </c>
      <c r="Y210">
        <f>HYPERLINK("https://klasma.github.io/Logging_1380/kartor_geotiff/A 36808-2023 georefererad karta.tif", "A 36808-2023")</f>
        <v/>
      </c>
      <c r="AA210">
        <f>HYPERLINK("https://klasma.github.io/Logging_1380/klagomål/A 36808-2023 FSC-klagomål.docx", "A 36808-2023")</f>
        <v/>
      </c>
      <c r="AB210">
        <f>HYPERLINK("https://klasma.github.io/Logging_1380/klagomålsmail/A 36808-2023 FSC-klagomål mail.docx", "A 36808-2023")</f>
        <v/>
      </c>
      <c r="AC210">
        <f>HYPERLINK("https://klasma.github.io/Logging_1380/tillsyn/A 36808-2023 tillsynsbegäran.docx", "A 36808-2023")</f>
        <v/>
      </c>
      <c r="AD210">
        <f>HYPERLINK("https://klasma.github.io/Logging_1380/tillsynsmail/A 36808-2023 tillsynsbegäran mail.docx", "A 36808-2023")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46265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52155-2023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45224</v>
      </c>
      <c r="E212" s="1" t="n">
        <v>46265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Järnsparv</t>
        </is>
      </c>
      <c r="W212">
        <f>HYPERLINK("https://klasma.github.io/Logging_1381/artfynd/A 52155-2023 artfynd.xlsx", "A 52155-2023")</f>
        <v/>
      </c>
      <c r="X212">
        <f>HYPERLINK("https://klasma.github.io/Logging_1381/kartor/A 52155-2023 karta.png", "A 52155-2023")</f>
        <v/>
      </c>
      <c r="Y212">
        <f>HYPERLINK("https://klasma.github.io/Logging_1381/kartor_geotiff/A 52155-2023 georefererad karta.tif", "A 52155-2023")</f>
        <v/>
      </c>
      <c r="AA212">
        <f>HYPERLINK("https://klasma.github.io/Logging_1381/klagomål/A 52155-2023 FSC-klagomål.docx", "A 52155-2023")</f>
        <v/>
      </c>
      <c r="AB212">
        <f>HYPERLINK("https://klasma.github.io/Logging_1381/klagomålsmail/A 52155-2023 FSC-klagomål mail.docx", "A 52155-2023")</f>
        <v/>
      </c>
      <c r="AC212">
        <f>HYPERLINK("https://klasma.github.io/Logging_1381/tillsyn/A 52155-2023 tillsynsbegäran.docx", "A 52155-2023")</f>
        <v/>
      </c>
      <c r="AD212">
        <f>HYPERLINK("https://klasma.github.io/Logging_1381/tillsynsmail/A 52155-2023 tillsynsbegäran mail.docx", "A 52155-2023")</f>
        <v/>
      </c>
      <c r="AE212">
        <f>HYPERLINK("https://klasma.github.io/Logging_1381/fåglar/A 52155-2023 prioriterade fågelarter.docx", "A 52155-2023")</f>
        <v/>
      </c>
    </row>
    <row r="213" ht="15" customHeight="1">
      <c r="A213" t="inlineStr">
        <is>
          <t>A 42723-2023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46265</v>
      </c>
      <c r="F213" t="inlineStr">
        <is>
          <t>HALLANDS LÄN</t>
        </is>
      </c>
      <c r="G213" t="inlineStr">
        <is>
          <t>VARBERG</t>
        </is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HYPERLINK("https://klasma.github.io/Logging_1383/artfynd/A 42723-2023 artfynd.xlsx", "A 42723-2023")</f>
        <v/>
      </c>
      <c r="X213">
        <f>HYPERLINK("https://klasma.github.io/Logging_1383/kartor/A 42723-2023 karta.png", "A 42723-2023")</f>
        <v/>
      </c>
      <c r="Y213">
        <f>HYPERLINK("https://klasma.github.io/Logging_1383/kartor_geotiff/A 42723-2023 georefererad karta.tif", "A 42723-2023")</f>
        <v/>
      </c>
      <c r="AA213">
        <f>HYPERLINK("https://klasma.github.io/Logging_1383/klagomål/A 42723-2023 FSC-klagomål.docx", "A 42723-2023")</f>
        <v/>
      </c>
      <c r="AB213">
        <f>HYPERLINK("https://klasma.github.io/Logging_1383/klagomålsmail/A 42723-2023 FSC-klagomål mail.docx", "A 42723-2023")</f>
        <v/>
      </c>
      <c r="AC213">
        <f>HYPERLINK("https://klasma.github.io/Logging_1383/tillsyn/A 42723-2023 tillsynsbegäran.docx", "A 42723-2023")</f>
        <v/>
      </c>
      <c r="AD213">
        <f>HYPERLINK("https://klasma.github.io/Logging_1383/tillsynsmail/A 42723-2023 tillsynsbegäran mail.docx", "A 42723-2023")</f>
        <v/>
      </c>
    </row>
    <row r="214" ht="15" customHeight="1">
      <c r="A214" t="inlineStr">
        <is>
          <t>A 33144-2025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46265</v>
      </c>
      <c r="F214" t="inlineStr">
        <is>
          <t>HALLANDS LÄN</t>
        </is>
      </c>
      <c r="G214" t="inlineStr">
        <is>
          <t>VARBERG</t>
        </is>
      </c>
      <c r="I214" t="n">
        <v>2.4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Spillkråka</t>
        </is>
      </c>
      <c r="W214">
        <f>HYPERLINK("https://klasma.github.io/Logging_1383/artfynd/A 33144-2025 artfynd.xlsx", "A 33144-2025")</f>
        <v/>
      </c>
      <c r="X214">
        <f>HYPERLINK("https://klasma.github.io/Logging_1383/kartor/A 33144-2025 karta.png", "A 33144-2025")</f>
        <v/>
      </c>
      <c r="Y214">
        <f>HYPERLINK("https://klasma.github.io/Logging_1383/kartor_geotiff/A 33144-2025 georefererad karta.tif", "A 33144-2025")</f>
        <v/>
      </c>
      <c r="AA214">
        <f>HYPERLINK("https://klasma.github.io/Logging_1383/klagomål/A 33144-2025 FSC-klagomål.docx", "A 33144-2025")</f>
        <v/>
      </c>
      <c r="AB214">
        <f>HYPERLINK("https://klasma.github.io/Logging_1383/klagomålsmail/A 33144-2025 FSC-klagomål mail.docx", "A 33144-2025")</f>
        <v/>
      </c>
      <c r="AC214">
        <f>HYPERLINK("https://klasma.github.io/Logging_1383/tillsyn/A 33144-2025 tillsynsbegäran.docx", "A 33144-2025")</f>
        <v/>
      </c>
      <c r="AD214">
        <f>HYPERLINK("https://klasma.github.io/Logging_1383/tillsynsmail/A 33144-2025 tillsynsbegäran mail.docx", "A 33144-2025")</f>
        <v/>
      </c>
      <c r="AE214">
        <f>HYPERLINK("https://klasma.github.io/Logging_1383/fåglar/A 33144-2025 prioriterade fågelarter.docx", "A 33144-2025")</f>
        <v/>
      </c>
    </row>
    <row r="215" ht="15" customHeight="1">
      <c r="A215" t="inlineStr">
        <is>
          <t>A 10751-2025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46265</v>
      </c>
      <c r="F215" t="inlineStr">
        <is>
          <t>HALLANDS LÄN</t>
        </is>
      </c>
      <c r="G215" t="inlineStr">
        <is>
          <t>VARBERG</t>
        </is>
      </c>
      <c r="I215" t="n">
        <v>4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Igelkott</t>
        </is>
      </c>
      <c r="W215">
        <f>HYPERLINK("https://klasma.github.io/Logging_1383/artfynd/A 10751-2025 artfynd.xlsx", "A 10751-2025")</f>
        <v/>
      </c>
      <c r="X215">
        <f>HYPERLINK("https://klasma.github.io/Logging_1383/kartor/A 10751-2025 karta.png", "A 10751-2025")</f>
        <v/>
      </c>
      <c r="Y215">
        <f>HYPERLINK("https://klasma.github.io/Logging_1383/kartor_geotiff/A 10751-2025 georefererad karta.tif", "A 10751-2025")</f>
        <v/>
      </c>
      <c r="AA215">
        <f>HYPERLINK("https://klasma.github.io/Logging_1383/klagomål/A 10751-2025 FSC-klagomål.docx", "A 10751-2025")</f>
        <v/>
      </c>
      <c r="AB215">
        <f>HYPERLINK("https://klasma.github.io/Logging_1383/klagomålsmail/A 10751-2025 FSC-klagomål mail.docx", "A 10751-2025")</f>
        <v/>
      </c>
      <c r="AC215">
        <f>HYPERLINK("https://klasma.github.io/Logging_1383/tillsyn/A 10751-2025 tillsynsbegäran.docx", "A 10751-2025")</f>
        <v/>
      </c>
      <c r="AD215">
        <f>HYPERLINK("https://klasma.github.io/Logging_1383/tillsynsmail/A 10751-2025 tillsynsbegäran mail.docx", "A 10751-2025")</f>
        <v/>
      </c>
    </row>
    <row r="216" ht="15" customHeight="1">
      <c r="A216" t="inlineStr">
        <is>
          <t>A 35897-2022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46265</v>
      </c>
      <c r="F216" t="inlineStr">
        <is>
          <t>HALLANDS LÄN</t>
        </is>
      </c>
      <c r="G216" t="inlineStr">
        <is>
          <t>LAHOLM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1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Ask</t>
        </is>
      </c>
      <c r="W216">
        <f>HYPERLINK("https://klasma.github.io/Logging_1381/artfynd/A 35897-2022 artfynd.xlsx", "A 35897-2022")</f>
        <v/>
      </c>
      <c r="X216">
        <f>HYPERLINK("https://klasma.github.io/Logging_1381/kartor/A 35897-2022 karta.png", "A 35897-2022")</f>
        <v/>
      </c>
      <c r="Y216">
        <f>HYPERLINK("https://klasma.github.io/Logging_1381/kartor_geotiff/A 35897-2022 georefererad karta.tif", "A 35897-2022")</f>
        <v/>
      </c>
      <c r="AA216">
        <f>HYPERLINK("https://klasma.github.io/Logging_1381/klagomål/A 35897-2022 FSC-klagomål.docx", "A 35897-2022")</f>
        <v/>
      </c>
      <c r="AB216">
        <f>HYPERLINK("https://klasma.github.io/Logging_1381/klagomålsmail/A 35897-2022 FSC-klagomål mail.docx", "A 35897-2022")</f>
        <v/>
      </c>
      <c r="AC216">
        <f>HYPERLINK("https://klasma.github.io/Logging_1381/tillsyn/A 35897-2022 tillsynsbegäran.docx", "A 35897-2022")</f>
        <v/>
      </c>
      <c r="AD216">
        <f>HYPERLINK("https://klasma.github.io/Logging_1381/tillsynsmail/A 35897-2022 tillsynsbegäran mail.docx", "A 35897-2022")</f>
        <v/>
      </c>
    </row>
    <row r="217" ht="15" customHeight="1">
      <c r="A217" t="inlineStr">
        <is>
          <t>A 55880-2023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45239</v>
      </c>
      <c r="E217" s="1" t="n">
        <v>46265</v>
      </c>
      <c r="F217" t="inlineStr">
        <is>
          <t>HALLANDS LÄN</t>
        </is>
      </c>
      <c r="G217" t="inlineStr">
        <is>
          <t>FALKENBERG</t>
        </is>
      </c>
      <c r="I217" t="n">
        <v>2.4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Kopparödla</t>
        </is>
      </c>
      <c r="W217">
        <f>HYPERLINK("https://klasma.github.io/Logging_1382/artfynd/A 55880-2023 artfynd.xlsx", "A 55880-2023")</f>
        <v/>
      </c>
      <c r="X217">
        <f>HYPERLINK("https://klasma.github.io/Logging_1382/kartor/A 55880-2023 karta.png", "A 55880-2023")</f>
        <v/>
      </c>
      <c r="Y217">
        <f>HYPERLINK("https://klasma.github.io/Logging_1382/kartor_geotiff/A 55880-2023 georefererad karta.tif", "A 55880-2023")</f>
        <v/>
      </c>
      <c r="AA217">
        <f>HYPERLINK("https://klasma.github.io/Logging_1382/klagomål/A 55880-2023 FSC-klagomål.docx", "A 55880-2023")</f>
        <v/>
      </c>
      <c r="AB217">
        <f>HYPERLINK("https://klasma.github.io/Logging_1382/klagomålsmail/A 55880-2023 FSC-klagomål mail.docx", "A 55880-2023")</f>
        <v/>
      </c>
      <c r="AC217">
        <f>HYPERLINK("https://klasma.github.io/Logging_1382/tillsyn/A 55880-2023 tillsynsbegäran.docx", "A 55880-2023")</f>
        <v/>
      </c>
      <c r="AD217">
        <f>HYPERLINK("https://klasma.github.io/Logging_1382/tillsynsmail/A 55880-2023 tillsynsbegäran mail.docx", "A 55880-2023")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46265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15095-2025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45744</v>
      </c>
      <c r="E219" s="1" t="n">
        <v>46265</v>
      </c>
      <c r="F219" t="inlineStr">
        <is>
          <t>HALLANDS LÄN</t>
        </is>
      </c>
      <c r="G219" t="inlineStr">
        <is>
          <t>VARBERG</t>
        </is>
      </c>
      <c r="I219" t="n">
        <v>3.7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Sotvaxskivling</t>
        </is>
      </c>
      <c r="W219">
        <f>HYPERLINK("https://klasma.github.io/Logging_1383/artfynd/A 15095-2025 artfynd.xlsx", "A 15095-2025")</f>
        <v/>
      </c>
      <c r="X219">
        <f>HYPERLINK("https://klasma.github.io/Logging_1383/kartor/A 15095-2025 karta.png", "A 15095-2025")</f>
        <v/>
      </c>
      <c r="Y219">
        <f>HYPERLINK("https://klasma.github.io/Logging_1383/kartor_geotiff/A 15095-2025 georefererad karta.tif", "A 15095-2025")</f>
        <v/>
      </c>
      <c r="AA219">
        <f>HYPERLINK("https://klasma.github.io/Logging_1383/klagomål/A 15095-2025 FSC-klagomål.docx", "A 15095-2025")</f>
        <v/>
      </c>
      <c r="AB219">
        <f>HYPERLINK("https://klasma.github.io/Logging_1383/klagomålsmail/A 15095-2025 FSC-klagomål mail.docx", "A 15095-2025")</f>
        <v/>
      </c>
      <c r="AC219">
        <f>HYPERLINK("https://klasma.github.io/Logging_1383/tillsyn/A 15095-2025 tillsynsbegäran.docx", "A 15095-2025")</f>
        <v/>
      </c>
      <c r="AD219">
        <f>HYPERLINK("https://klasma.github.io/Logging_1383/tillsynsmail/A 15095-2025 tillsynsbegäran mail.docx", "A 15095-2025")</f>
        <v/>
      </c>
    </row>
    <row r="220" ht="15" customHeight="1">
      <c r="A220" t="inlineStr">
        <is>
          <t>A 3281-2025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45679</v>
      </c>
      <c r="E220" s="1" t="n">
        <v>46265</v>
      </c>
      <c r="F220" t="inlineStr">
        <is>
          <t>HALLANDS LÄN</t>
        </is>
      </c>
      <c r="G220" t="inlineStr">
        <is>
          <t>KUNGSBACKA</t>
        </is>
      </c>
      <c r="I220" t="n">
        <v>10.8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HYPERLINK("https://klasma.github.io/Logging_1384/artfynd/A 3281-2025 artfynd.xlsx", "A 3281-2025")</f>
        <v/>
      </c>
      <c r="X220">
        <f>HYPERLINK("https://klasma.github.io/Logging_1384/kartor/A 3281-2025 karta.png", "A 3281-2025")</f>
        <v/>
      </c>
      <c r="Y220">
        <f>HYPERLINK("https://klasma.github.io/Logging_1384/kartor_geotiff/A 3281-2025 georefererad karta.tif", "A 3281-2025")</f>
        <v/>
      </c>
      <c r="AA220">
        <f>HYPERLINK("https://klasma.github.io/Logging_1384/klagomål/A 3281-2025 FSC-klagomål.docx", "A 3281-2025")</f>
        <v/>
      </c>
      <c r="AB220">
        <f>HYPERLINK("https://klasma.github.io/Logging_1384/klagomålsmail/A 3281-2025 FSC-klagomål mail.docx", "A 3281-2025")</f>
        <v/>
      </c>
      <c r="AC220">
        <f>HYPERLINK("https://klasma.github.io/Logging_1384/tillsyn/A 3281-2025 tillsynsbegäran.docx", "A 3281-2025")</f>
        <v/>
      </c>
      <c r="AD220">
        <f>HYPERLINK("https://klasma.github.io/Logging_1384/tillsynsmail/A 3281-2025 tillsynsbegäran mail.docx", "A 3281-2025")</f>
        <v/>
      </c>
    </row>
    <row r="221" ht="15" customHeight="1">
      <c r="A221" t="inlineStr">
        <is>
          <t>A 5677-2022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44596</v>
      </c>
      <c r="E221" s="1" t="n">
        <v>46265</v>
      </c>
      <c r="F221" t="inlineStr">
        <is>
          <t>HALLANDS LÄN</t>
        </is>
      </c>
      <c r="G221" t="inlineStr">
        <is>
          <t>LAHOLM</t>
        </is>
      </c>
      <c r="I221" t="n">
        <v>0.2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Svinrot</t>
        </is>
      </c>
      <c r="W221">
        <f>HYPERLINK("https://klasma.github.io/Logging_1381/artfynd/A 5677-2022 artfynd.xlsx", "A 5677-2022")</f>
        <v/>
      </c>
      <c r="X221">
        <f>HYPERLINK("https://klasma.github.io/Logging_1381/kartor/A 5677-2022 karta.png", "A 5677-2022")</f>
        <v/>
      </c>
      <c r="Y221">
        <f>HYPERLINK("https://klasma.github.io/Logging_1381/kartor_geotiff/A 5677-2022 georefererad karta.tif", "A 5677-2022")</f>
        <v/>
      </c>
      <c r="AA221">
        <f>HYPERLINK("https://klasma.github.io/Logging_1381/klagomål/A 5677-2022 FSC-klagomål.docx", "A 5677-2022")</f>
        <v/>
      </c>
      <c r="AB221">
        <f>HYPERLINK("https://klasma.github.io/Logging_1381/klagomålsmail/A 5677-2022 FSC-klagomål mail.docx", "A 5677-2022")</f>
        <v/>
      </c>
      <c r="AC221">
        <f>HYPERLINK("https://klasma.github.io/Logging_1381/tillsyn/A 5677-2022 tillsynsbegäran.docx", "A 5677-2022")</f>
        <v/>
      </c>
      <c r="AD221">
        <f>HYPERLINK("https://klasma.github.io/Logging_1381/tillsynsmail/A 5677-2022 tillsynsbegäran mail.docx", "A 5677-2022")</f>
        <v/>
      </c>
    </row>
    <row r="222" ht="15" customHeight="1">
      <c r="A222" t="inlineStr">
        <is>
          <t>A 9527-2024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46265</v>
      </c>
      <c r="F222" t="inlineStr">
        <is>
          <t>HALLANDS LÄN</t>
        </is>
      </c>
      <c r="G222" t="inlineStr">
        <is>
          <t>KUNGSBACKA</t>
        </is>
      </c>
      <c r="H222" t="inlineStr">
        <is>
          <t>Kyrkan</t>
        </is>
      </c>
      <c r="I222" t="n">
        <v>0.6</v>
      </c>
      <c r="J222" t="n">
        <v>1</v>
      </c>
      <c r="K222" t="n">
        <v>0</v>
      </c>
      <c r="L222" t="n">
        <v>0</v>
      </c>
      <c r="M222" t="n">
        <v>0</v>
      </c>
      <c r="N222" t="n">
        <v>1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1</v>
      </c>
      <c r="V222" s="2" t="inlineStr">
        <is>
          <t>Backsvala</t>
        </is>
      </c>
      <c r="W222">
        <f>HYPERLINK("https://klasma.github.io/Logging_1384/artfynd/A 9527-2024 artfynd.xlsx", "A 9527-2024")</f>
        <v/>
      </c>
      <c r="X222">
        <f>HYPERLINK("https://klasma.github.io/Logging_1384/kartor/A 9527-2024 karta.png", "A 9527-2024")</f>
        <v/>
      </c>
      <c r="Y222">
        <f>HYPERLINK("https://klasma.github.io/Logging_1384/kartor_geotiff/A 9527-2024 georefererad karta.tif", "A 9527-2024")</f>
        <v/>
      </c>
      <c r="AA222">
        <f>HYPERLINK("https://klasma.github.io/Logging_1384/klagomål/A 9527-2024 FSC-klagomål.docx", "A 9527-2024")</f>
        <v/>
      </c>
      <c r="AB222">
        <f>HYPERLINK("https://klasma.github.io/Logging_1384/klagomålsmail/A 9527-2024 FSC-klagomål mail.docx", "A 9527-2024")</f>
        <v/>
      </c>
      <c r="AC222">
        <f>HYPERLINK("https://klasma.github.io/Logging_1384/tillsyn/A 9527-2024 tillsynsbegäran.docx", "A 9527-2024")</f>
        <v/>
      </c>
      <c r="AD222">
        <f>HYPERLINK("https://klasma.github.io/Logging_1384/tillsynsmail/A 9527-2024 tillsynsbegäran mail.docx", "A 9527-2024")</f>
        <v/>
      </c>
    </row>
    <row r="223" ht="15" customHeight="1">
      <c r="A223" t="inlineStr">
        <is>
          <t>A 58534-2022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44902</v>
      </c>
      <c r="E223" s="1" t="n">
        <v>46265</v>
      </c>
      <c r="F223" t="inlineStr">
        <is>
          <t>HALLANDS LÄN</t>
        </is>
      </c>
      <c r="G223" t="inlineStr">
        <is>
          <t>FALKENBERG</t>
        </is>
      </c>
      <c r="I223" t="n">
        <v>1.4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Hasselmus</t>
        </is>
      </c>
      <c r="W223">
        <f>HYPERLINK("https://klasma.github.io/Logging_1382/artfynd/A 58534-2022 artfynd.xlsx", "A 58534-2022")</f>
        <v/>
      </c>
      <c r="X223">
        <f>HYPERLINK("https://klasma.github.io/Logging_1382/kartor/A 58534-2022 karta.png", "A 58534-2022")</f>
        <v/>
      </c>
      <c r="Y223">
        <f>HYPERLINK("https://klasma.github.io/Logging_1382/kartor_geotiff/A 58534-2022 georefererad karta.tif", "A 58534-2022")</f>
        <v/>
      </c>
      <c r="AA223">
        <f>HYPERLINK("https://klasma.github.io/Logging_1382/klagomål/A 58534-2022 FSC-klagomål.docx", "A 58534-2022")</f>
        <v/>
      </c>
      <c r="AB223">
        <f>HYPERLINK("https://klasma.github.io/Logging_1382/klagomålsmail/A 58534-2022 FSC-klagomål mail.docx", "A 58534-2022")</f>
        <v/>
      </c>
      <c r="AC223">
        <f>HYPERLINK("https://klasma.github.io/Logging_1382/tillsyn/A 58534-2022 tillsynsbegäran.docx", "A 58534-2022")</f>
        <v/>
      </c>
      <c r="AD223">
        <f>HYPERLINK("https://klasma.github.io/Logging_1382/tillsynsmail/A 58534-2022 tillsynsbegäran mail.docx", "A 58534-2022")</f>
        <v/>
      </c>
    </row>
    <row r="224" ht="15" customHeight="1">
      <c r="A224" t="inlineStr">
        <is>
          <t>A 21721-2023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45065</v>
      </c>
      <c r="E224" s="1" t="n">
        <v>46265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Knärot</t>
        </is>
      </c>
      <c r="W224">
        <f>HYPERLINK("https://klasma.github.io/Logging_1384/artfynd/A 21721-2023 artfynd.xlsx", "A 21721-2023")</f>
        <v/>
      </c>
      <c r="X224">
        <f>HYPERLINK("https://klasma.github.io/Logging_1384/kartor/A 21721-2023 karta.png", "A 21721-2023")</f>
        <v/>
      </c>
      <c r="Y224">
        <f>HYPERLINK("https://klasma.github.io/Logging_1384/kartor_geotiff/A 21721-2023 georefererad karta.tif", "A 21721-2023")</f>
        <v/>
      </c>
      <c r="Z224">
        <f>HYPERLINK("https://klasma.github.io/Logging_1384/knärot/A 21721-2023 karta knärot.png", "A 21721-2023")</f>
        <v/>
      </c>
      <c r="AA224">
        <f>HYPERLINK("https://klasma.github.io/Logging_1384/klagomål/A 21721-2023 FSC-klagomål.docx", "A 21721-2023")</f>
        <v/>
      </c>
      <c r="AB224">
        <f>HYPERLINK("https://klasma.github.io/Logging_1384/klagomålsmail/A 21721-2023 FSC-klagomål mail.docx", "A 21721-2023")</f>
        <v/>
      </c>
      <c r="AC224">
        <f>HYPERLINK("https://klasma.github.io/Logging_1384/tillsyn/A 21721-2023 tillsynsbegäran.docx", "A 21721-2023")</f>
        <v/>
      </c>
      <c r="AD224">
        <f>HYPERLINK("https://klasma.github.io/Logging_1384/tillsynsmail/A 21721-2023 tillsynsbegäran mail.docx", "A 21721-2023")</f>
        <v/>
      </c>
    </row>
    <row r="225" ht="15" customHeight="1">
      <c r="A225" t="inlineStr">
        <is>
          <t>A 43634-2023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45186</v>
      </c>
      <c r="E225" s="1" t="n">
        <v>46265</v>
      </c>
      <c r="F225" t="inlineStr">
        <is>
          <t>HALLANDS LÄN</t>
        </is>
      </c>
      <c r="G225" t="inlineStr">
        <is>
          <t>HYLTE</t>
        </is>
      </c>
      <c r="I225" t="n">
        <v>1.7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2</v>
      </c>
      <c r="U225" t="n">
        <v>2</v>
      </c>
      <c r="V225" s="2" t="inlineStr">
        <is>
          <t>Åkerkulla</t>
        </is>
      </c>
      <c r="W225">
        <f>HYPERLINK("https://klasma.github.io/Logging_1315/artfynd/A 43634-2023 artfynd.xlsx", "A 43634-2023")</f>
        <v/>
      </c>
      <c r="X225">
        <f>HYPERLINK("https://klasma.github.io/Logging_1315/kartor/A 43634-2023 karta.png", "A 43634-2023")</f>
        <v/>
      </c>
      <c r="Y225">
        <f>HYPERLINK("https://klasma.github.io/Logging_1315/kartor_geotiff/A 43634-2023 georefererad karta.tif", "A 43634-2023")</f>
        <v/>
      </c>
      <c r="AA225">
        <f>HYPERLINK("https://klasma.github.io/Logging_1315/klagomål/A 43634-2023 FSC-klagomål.docx", "A 43634-2023")</f>
        <v/>
      </c>
      <c r="AB225">
        <f>HYPERLINK("https://klasma.github.io/Logging_1315/klagomålsmail/A 43634-2023 FSC-klagomål mail.docx", "A 43634-2023")</f>
        <v/>
      </c>
      <c r="AC225">
        <f>HYPERLINK("https://klasma.github.io/Logging_1315/tillsyn/A 43634-2023 tillsynsbegäran.docx", "A 43634-2023")</f>
        <v/>
      </c>
      <c r="AD225">
        <f>HYPERLINK("https://klasma.github.io/Logging_1315/tillsynsmail/A 43634-2023 tillsynsbegäran mail.docx", "A 43634-2023")</f>
        <v/>
      </c>
    </row>
    <row r="226" ht="15" customHeight="1">
      <c r="A226" t="inlineStr">
        <is>
          <t>A 58679-2023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45251</v>
      </c>
      <c r="E226" s="1" t="n">
        <v>46265</v>
      </c>
      <c r="F226" t="inlineStr">
        <is>
          <t>HALLANDS LÄN</t>
        </is>
      </c>
      <c r="G226" t="inlineStr">
        <is>
          <t>VARBERG</t>
        </is>
      </c>
      <c r="I226" t="n">
        <v>7.8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HYPERLINK("https://klasma.github.io/Logging_1383/artfynd/A 58679-2023 artfynd.xlsx", "A 58679-2023")</f>
        <v/>
      </c>
      <c r="X226">
        <f>HYPERLINK("https://klasma.github.io/Logging_1383/kartor/A 58679-2023 karta.png", "A 58679-2023")</f>
        <v/>
      </c>
      <c r="Y226">
        <f>HYPERLINK("https://klasma.github.io/Logging_1383/kartor_geotiff/A 58679-2023 georefererad karta.tif", "A 58679-2023")</f>
        <v/>
      </c>
      <c r="AA226">
        <f>HYPERLINK("https://klasma.github.io/Logging_1383/klagomål/A 58679-2023 FSC-klagomål.docx", "A 58679-2023")</f>
        <v/>
      </c>
      <c r="AB226">
        <f>HYPERLINK("https://klasma.github.io/Logging_1383/klagomålsmail/A 58679-2023 FSC-klagomål mail.docx", "A 58679-2023")</f>
        <v/>
      </c>
      <c r="AC226">
        <f>HYPERLINK("https://klasma.github.io/Logging_1383/tillsyn/A 58679-2023 tillsynsbegäran.docx", "A 58679-2023")</f>
        <v/>
      </c>
      <c r="AD226">
        <f>HYPERLINK("https://klasma.github.io/Logging_1383/tillsynsmail/A 58679-2023 tillsynsbegäran mail.docx", "A 58679-2023")</f>
        <v/>
      </c>
    </row>
    <row r="227" ht="15" customHeight="1">
      <c r="A227" t="inlineStr">
        <is>
          <t>A 57230-2023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46265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Västlig hakmossa</t>
        </is>
      </c>
      <c r="W227">
        <f>HYPERLINK("https://klasma.github.io/Logging_1315/artfynd/A 57230-2023 artfynd.xlsx", "A 57230-2023")</f>
        <v/>
      </c>
      <c r="X227">
        <f>HYPERLINK("https://klasma.github.io/Logging_1315/kartor/A 57230-2023 karta.png", "A 57230-2023")</f>
        <v/>
      </c>
      <c r="Y227">
        <f>HYPERLINK("https://klasma.github.io/Logging_1315/kartor_geotiff/A 57230-2023 georefererad karta.tif", "A 57230-2023")</f>
        <v/>
      </c>
      <c r="AA227">
        <f>HYPERLINK("https://klasma.github.io/Logging_1315/klagomål/A 57230-2023 FSC-klagomål.docx", "A 57230-2023")</f>
        <v/>
      </c>
      <c r="AB227">
        <f>HYPERLINK("https://klasma.github.io/Logging_1315/klagomålsmail/A 57230-2023 FSC-klagomål mail.docx", "A 57230-2023")</f>
        <v/>
      </c>
      <c r="AC227">
        <f>HYPERLINK("https://klasma.github.io/Logging_1315/tillsyn/A 57230-2023 tillsynsbegäran.docx", "A 57230-2023")</f>
        <v/>
      </c>
      <c r="AD227">
        <f>HYPERLINK("https://klasma.github.io/Logging_1315/tillsynsmail/A 57230-2023 tillsynsbegäran mail.docx", "A 57230-2023")</f>
        <v/>
      </c>
    </row>
    <row r="228" ht="15" customHeight="1">
      <c r="A228" t="inlineStr">
        <is>
          <t>A 53915-2021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46265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Entita</t>
        </is>
      </c>
      <c r="W228">
        <f>HYPERLINK("https://klasma.github.io/Logging_1383/artfynd/A 53915-2021 artfynd.xlsx", "A 53915-2021")</f>
        <v/>
      </c>
      <c r="X228">
        <f>HYPERLINK("https://klasma.github.io/Logging_1383/kartor/A 53915-2021 karta.png", "A 53915-2021")</f>
        <v/>
      </c>
      <c r="Y228">
        <f>HYPERLINK("https://klasma.github.io/Logging_1383/kartor_geotiff/A 53915-2021 georefererad karta.tif", "A 53915-2021")</f>
        <v/>
      </c>
      <c r="AA228">
        <f>HYPERLINK("https://klasma.github.io/Logging_1383/klagomål/A 53915-2021 FSC-klagomål.docx", "A 53915-2021")</f>
        <v/>
      </c>
      <c r="AB228">
        <f>HYPERLINK("https://klasma.github.io/Logging_1383/klagomålsmail/A 53915-2021 FSC-klagomål mail.docx", "A 53915-2021")</f>
        <v/>
      </c>
      <c r="AC228">
        <f>HYPERLINK("https://klasma.github.io/Logging_1383/tillsyn/A 53915-2021 tillsynsbegäran.docx", "A 53915-2021")</f>
        <v/>
      </c>
      <c r="AD228">
        <f>HYPERLINK("https://klasma.github.io/Logging_1383/tillsynsmail/A 53915-2021 tillsynsbegäran mail.docx", "A 53915-2021")</f>
        <v/>
      </c>
      <c r="AE228">
        <f>HYPERLINK("https://klasma.github.io/Logging_1383/fåglar/A 53915-2021 prioriterade fågelarter.docx", "A 53915-2021")</f>
        <v/>
      </c>
    </row>
    <row r="229" ht="15" customHeight="1">
      <c r="A229" t="inlineStr">
        <is>
          <t>A 35453-2023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46265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Svinrot</t>
        </is>
      </c>
      <c r="W229">
        <f>HYPERLINK("https://klasma.github.io/Logging_1381/artfynd/A 35453-2023 artfynd.xlsx", "A 35453-2023")</f>
        <v/>
      </c>
      <c r="X229">
        <f>HYPERLINK("https://klasma.github.io/Logging_1381/kartor/A 35453-2023 karta.png", "A 35453-2023")</f>
        <v/>
      </c>
      <c r="Y229">
        <f>HYPERLINK("https://klasma.github.io/Logging_1381/kartor_geotiff/A 35453-2023 georefererad karta.tif", "A 35453-2023")</f>
        <v/>
      </c>
      <c r="AA229">
        <f>HYPERLINK("https://klasma.github.io/Logging_1381/klagomål/A 35453-2023 FSC-klagomål.docx", "A 35453-2023")</f>
        <v/>
      </c>
      <c r="AB229">
        <f>HYPERLINK("https://klasma.github.io/Logging_1381/klagomålsmail/A 35453-2023 FSC-klagomål mail.docx", "A 35453-2023")</f>
        <v/>
      </c>
      <c r="AC229">
        <f>HYPERLINK("https://klasma.github.io/Logging_1381/tillsyn/A 35453-2023 tillsynsbegäran.docx", "A 35453-2023")</f>
        <v/>
      </c>
      <c r="AD229">
        <f>HYPERLINK("https://klasma.github.io/Logging_1381/tillsynsmail/A 35453-2023 tillsynsbegäran mail.docx", "A 35453-2023")</f>
        <v/>
      </c>
    </row>
    <row r="230" ht="15" customHeight="1">
      <c r="A230" t="inlineStr">
        <is>
          <t>A 3481-2025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46265</v>
      </c>
      <c r="F230" t="inlineStr">
        <is>
          <t>HALLANDS LÄN</t>
        </is>
      </c>
      <c r="G230" t="inlineStr">
        <is>
          <t>VARBERG</t>
        </is>
      </c>
      <c r="I230" t="n">
        <v>8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Bivråk</t>
        </is>
      </c>
      <c r="W230">
        <f>HYPERLINK("https://klasma.github.io/Logging_1383/artfynd/A 3481-2025 artfynd.xlsx", "A 3481-2025")</f>
        <v/>
      </c>
      <c r="X230">
        <f>HYPERLINK("https://klasma.github.io/Logging_1383/kartor/A 3481-2025 karta.png", "A 3481-2025")</f>
        <v/>
      </c>
      <c r="Y230">
        <f>HYPERLINK("https://klasma.github.io/Logging_1383/kartor_geotiff/A 3481-2025 georefererad karta.tif", "A 3481-2025")</f>
        <v/>
      </c>
      <c r="AA230">
        <f>HYPERLINK("https://klasma.github.io/Logging_1383/klagomål/A 3481-2025 FSC-klagomål.docx", "A 3481-2025")</f>
        <v/>
      </c>
      <c r="AB230">
        <f>HYPERLINK("https://klasma.github.io/Logging_1383/klagomålsmail/A 3481-2025 FSC-klagomål mail.docx", "A 3481-2025")</f>
        <v/>
      </c>
      <c r="AC230">
        <f>HYPERLINK("https://klasma.github.io/Logging_1383/tillsyn/A 3481-2025 tillsynsbegäran.docx", "A 3481-2025")</f>
        <v/>
      </c>
      <c r="AD230">
        <f>HYPERLINK("https://klasma.github.io/Logging_1383/tillsynsmail/A 3481-2025 tillsynsbegäran mail.docx", "A 3481-2025")</f>
        <v/>
      </c>
      <c r="AE230">
        <f>HYPERLINK("https://klasma.github.io/Logging_1383/fåglar/A 3481-2025 prioriterade fågelarter.docx", "A 3481-2025")</f>
        <v/>
      </c>
    </row>
    <row r="231" ht="15" customHeight="1">
      <c r="A231" t="inlineStr">
        <is>
          <t>A 1765-2023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46265</v>
      </c>
      <c r="F231" t="inlineStr">
        <is>
          <t>HALLANDS LÄN</t>
        </is>
      </c>
      <c r="G231" t="inlineStr">
        <is>
          <t>KUNGSBACKA</t>
        </is>
      </c>
      <c r="I231" t="n">
        <v>7.3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Blomkålssvamp</t>
        </is>
      </c>
      <c r="W231">
        <f>HYPERLINK("https://klasma.github.io/Logging_1384/artfynd/A 1765-2023 artfynd.xlsx", "A 1765-2023")</f>
        <v/>
      </c>
      <c r="X231">
        <f>HYPERLINK("https://klasma.github.io/Logging_1384/kartor/A 1765-2023 karta.png", "A 1765-2023")</f>
        <v/>
      </c>
      <c r="Y231">
        <f>HYPERLINK("https://klasma.github.io/Logging_1384/kartor_geotiff/A 1765-2023 georefererad karta.tif", "A 1765-2023")</f>
        <v/>
      </c>
      <c r="AA231">
        <f>HYPERLINK("https://klasma.github.io/Logging_1384/klagomål/A 1765-2023 FSC-klagomål.docx", "A 1765-2023")</f>
        <v/>
      </c>
      <c r="AB231">
        <f>HYPERLINK("https://klasma.github.io/Logging_1384/klagomålsmail/A 1765-2023 FSC-klagomål mail.docx", "A 1765-2023")</f>
        <v/>
      </c>
      <c r="AC231">
        <f>HYPERLINK("https://klasma.github.io/Logging_1384/tillsyn/A 1765-2023 tillsynsbegäran.docx", "A 1765-2023")</f>
        <v/>
      </c>
      <c r="AD231">
        <f>HYPERLINK("https://klasma.github.io/Logging_1384/tillsynsmail/A 1765-2023 tillsynsbegäran mail.docx", "A 1765-2023")</f>
        <v/>
      </c>
    </row>
    <row r="232" ht="15" customHeight="1">
      <c r="A232" t="inlineStr">
        <is>
          <t>A 9548-2024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45359</v>
      </c>
      <c r="E232" s="1" t="n">
        <v>46265</v>
      </c>
      <c r="F232" t="inlineStr">
        <is>
          <t>HALLANDS LÄN</t>
        </is>
      </c>
      <c r="G232" t="inlineStr">
        <is>
          <t>KUNGSBACKA</t>
        </is>
      </c>
      <c r="I232" t="n">
        <v>0.3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Stor aspticka</t>
        </is>
      </c>
      <c r="W232">
        <f>HYPERLINK("https://klasma.github.io/Logging_1384/artfynd/A 9548-2024 artfynd.xlsx", "A 9548-2024")</f>
        <v/>
      </c>
      <c r="X232">
        <f>HYPERLINK("https://klasma.github.io/Logging_1384/kartor/A 9548-2024 karta.png", "A 9548-2024")</f>
        <v/>
      </c>
      <c r="Y232">
        <f>HYPERLINK("https://klasma.github.io/Logging_1384/kartor_geotiff/A 9548-2024 georefererad karta.tif", "A 9548-2024")</f>
        <v/>
      </c>
      <c r="AA232">
        <f>HYPERLINK("https://klasma.github.io/Logging_1384/klagomål/A 9548-2024 FSC-klagomål.docx", "A 9548-2024")</f>
        <v/>
      </c>
      <c r="AB232">
        <f>HYPERLINK("https://klasma.github.io/Logging_1384/klagomålsmail/A 9548-2024 FSC-klagomål mail.docx", "A 9548-2024")</f>
        <v/>
      </c>
      <c r="AC232">
        <f>HYPERLINK("https://klasma.github.io/Logging_1384/tillsyn/A 9548-2024 tillsynsbegäran.docx", "A 9548-2024")</f>
        <v/>
      </c>
      <c r="AD232">
        <f>HYPERLINK("https://klasma.github.io/Logging_1384/tillsynsmail/A 9548-2024 tillsynsbegäran mail.docx", "A 9548-2024")</f>
        <v/>
      </c>
    </row>
    <row r="233" ht="15" customHeight="1">
      <c r="A233" t="inlineStr">
        <is>
          <t>A 41802-2024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46265</v>
      </c>
      <c r="F233" t="inlineStr">
        <is>
          <t>HALLANDS LÄN</t>
        </is>
      </c>
      <c r="G233" t="inlineStr">
        <is>
          <t>FALKENBERG</t>
        </is>
      </c>
      <c r="I233" t="n">
        <v>1.6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Korallrot</t>
        </is>
      </c>
      <c r="W233">
        <f>HYPERLINK("https://klasma.github.io/Logging_1382/artfynd/A 41802-2024 artfynd.xlsx", "A 41802-2024")</f>
        <v/>
      </c>
      <c r="X233">
        <f>HYPERLINK("https://klasma.github.io/Logging_1382/kartor/A 41802-2024 karta.png", "A 41802-2024")</f>
        <v/>
      </c>
      <c r="Y233">
        <f>HYPERLINK("https://klasma.github.io/Logging_1382/kartor_geotiff/A 41802-2024 georefererad karta.tif", "A 41802-2024")</f>
        <v/>
      </c>
      <c r="AA233">
        <f>HYPERLINK("https://klasma.github.io/Logging_1382/klagomål/A 41802-2024 FSC-klagomål.docx", "A 41802-2024")</f>
        <v/>
      </c>
      <c r="AB233">
        <f>HYPERLINK("https://klasma.github.io/Logging_1382/klagomålsmail/A 41802-2024 FSC-klagomål mail.docx", "A 41802-2024")</f>
        <v/>
      </c>
      <c r="AC233">
        <f>HYPERLINK("https://klasma.github.io/Logging_1382/tillsyn/A 41802-2024 tillsynsbegäran.docx", "A 41802-2024")</f>
        <v/>
      </c>
      <c r="AD233">
        <f>HYPERLINK("https://klasma.github.io/Logging_1382/tillsynsmail/A 41802-2024 tillsynsbegäran mail.docx", "A 41802-2024")</f>
        <v/>
      </c>
    </row>
    <row r="234" ht="15" customHeight="1">
      <c r="A234" t="inlineStr">
        <is>
          <t>A 1610-2024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46265</v>
      </c>
      <c r="F234" t="inlineStr">
        <is>
          <t>HALLANDS LÄN</t>
        </is>
      </c>
      <c r="G234" t="inlineStr">
        <is>
          <t>HALMSTAD</t>
        </is>
      </c>
      <c r="I234" t="n">
        <v>0.8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Månlåsbräken</t>
        </is>
      </c>
      <c r="W234">
        <f>HYPERLINK("https://klasma.github.io/Logging_1380/artfynd/A 1610-2024 artfynd.xlsx", "A 1610-2024")</f>
        <v/>
      </c>
      <c r="X234">
        <f>HYPERLINK("https://klasma.github.io/Logging_1380/kartor/A 1610-2024 karta.png", "A 1610-2024")</f>
        <v/>
      </c>
      <c r="Y234">
        <f>HYPERLINK("https://klasma.github.io/Logging_1380/kartor_geotiff/A 1610-2024 georefererad karta.tif", "A 1610-2024")</f>
        <v/>
      </c>
      <c r="AA234">
        <f>HYPERLINK("https://klasma.github.io/Logging_1380/klagomål/A 1610-2024 FSC-klagomål.docx", "A 1610-2024")</f>
        <v/>
      </c>
      <c r="AB234">
        <f>HYPERLINK("https://klasma.github.io/Logging_1380/klagomålsmail/A 1610-2024 FSC-klagomål mail.docx", "A 1610-2024")</f>
        <v/>
      </c>
      <c r="AC234">
        <f>HYPERLINK("https://klasma.github.io/Logging_1380/tillsyn/A 1610-2024 tillsynsbegäran.docx", "A 1610-2024")</f>
        <v/>
      </c>
      <c r="AD234">
        <f>HYPERLINK("https://klasma.github.io/Logging_1380/tillsynsmail/A 1610-2024 tillsynsbegäran mail.docx", "A 1610-2024")</f>
        <v/>
      </c>
    </row>
    <row r="235" ht="15" customHeight="1">
      <c r="A235" t="inlineStr">
        <is>
          <t>A 22842-2022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44715</v>
      </c>
      <c r="E235" s="1" t="n">
        <v>46265</v>
      </c>
      <c r="F235" t="inlineStr">
        <is>
          <t>HALLANDS LÄN</t>
        </is>
      </c>
      <c r="G235" t="inlineStr">
        <is>
          <t>HALMSTAD</t>
        </is>
      </c>
      <c r="I235" t="n">
        <v>6.1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4</v>
      </c>
      <c r="U235" t="n">
        <v>4</v>
      </c>
      <c r="V235" s="2" t="inlineStr">
        <is>
          <t>Spillkråka</t>
        </is>
      </c>
      <c r="W235">
        <f>HYPERLINK("https://klasma.github.io/Logging_1380/artfynd/A 22842-2022 artfynd.xlsx", "A 22842-2022")</f>
        <v/>
      </c>
      <c r="X235">
        <f>HYPERLINK("https://klasma.github.io/Logging_1380/kartor/A 22842-2022 karta.png", "A 22842-2022")</f>
        <v/>
      </c>
      <c r="Y235">
        <f>HYPERLINK("https://klasma.github.io/Logging_1380/kartor_geotiff/A 22842-2022 georefererad karta.tif", "A 22842-2022")</f>
        <v/>
      </c>
      <c r="AA235">
        <f>HYPERLINK("https://klasma.github.io/Logging_1380/klagomål/A 22842-2022 FSC-klagomål.docx", "A 22842-2022")</f>
        <v/>
      </c>
      <c r="AB235">
        <f>HYPERLINK("https://klasma.github.io/Logging_1380/klagomålsmail/A 22842-2022 FSC-klagomål mail.docx", "A 22842-2022")</f>
        <v/>
      </c>
      <c r="AC235">
        <f>HYPERLINK("https://klasma.github.io/Logging_1380/tillsyn/A 22842-2022 tillsynsbegäran.docx", "A 22842-2022")</f>
        <v/>
      </c>
      <c r="AD235">
        <f>HYPERLINK("https://klasma.github.io/Logging_1380/tillsynsmail/A 22842-2022 tillsynsbegäran mail.docx", "A 22842-2022")</f>
        <v/>
      </c>
      <c r="AE235">
        <f>HYPERLINK("https://klasma.github.io/Logging_1380/fåglar/A 22842-2022 prioriterade fågelarter.docx", "A 22842-2022")</f>
        <v/>
      </c>
    </row>
    <row r="236" ht="15" customHeight="1">
      <c r="A236" t="inlineStr">
        <is>
          <t>A 46059-2023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46265</v>
      </c>
      <c r="F236" t="inlineStr">
        <is>
          <t>HALLANDS LÄN</t>
        </is>
      </c>
      <c r="G236" t="inlineStr">
        <is>
          <t>FALKENBERG</t>
        </is>
      </c>
      <c r="I236" t="n">
        <v>1.7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Loppstarr</t>
        </is>
      </c>
      <c r="W236">
        <f>HYPERLINK("https://klasma.github.io/Logging_1382/artfynd/A 46059-2023 artfynd.xlsx", "A 46059-2023")</f>
        <v/>
      </c>
      <c r="X236">
        <f>HYPERLINK("https://klasma.github.io/Logging_1382/kartor/A 46059-2023 karta.png", "A 46059-2023")</f>
        <v/>
      </c>
      <c r="Y236">
        <f>HYPERLINK("https://klasma.github.io/Logging_1382/kartor_geotiff/A 46059-2023 georefererad karta.tif", "A 46059-2023")</f>
        <v/>
      </c>
      <c r="AA236">
        <f>HYPERLINK("https://klasma.github.io/Logging_1382/klagomål/A 46059-2023 FSC-klagomål.docx", "A 46059-2023")</f>
        <v/>
      </c>
      <c r="AB236">
        <f>HYPERLINK("https://klasma.github.io/Logging_1382/klagomålsmail/A 46059-2023 FSC-klagomål mail.docx", "A 46059-2023")</f>
        <v/>
      </c>
      <c r="AC236">
        <f>HYPERLINK("https://klasma.github.io/Logging_1382/tillsyn/A 46059-2023 tillsynsbegäran.docx", "A 46059-2023")</f>
        <v/>
      </c>
      <c r="AD236">
        <f>HYPERLINK("https://klasma.github.io/Logging_1382/tillsynsmail/A 46059-2023 tillsynsbegäran mail.docx", "A 46059-2023")</f>
        <v/>
      </c>
    </row>
    <row r="237" ht="15" customHeight="1">
      <c r="A237" t="inlineStr">
        <is>
          <t>A 5530-2025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45692</v>
      </c>
      <c r="E237" s="1" t="n">
        <v>46265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3</v>
      </c>
      <c r="U237" t="n">
        <v>1</v>
      </c>
      <c r="V237" s="2" t="inlineStr">
        <is>
          <t>Igelkott</t>
        </is>
      </c>
      <c r="W237">
        <f>HYPERLINK("https://klasma.github.io/Logging_1380/artfynd/A 5530-2025 artfynd.xlsx", "A 5530-2025")</f>
        <v/>
      </c>
      <c r="X237">
        <f>HYPERLINK("https://klasma.github.io/Logging_1380/kartor/A 5530-2025 karta.png", "A 5530-2025")</f>
        <v/>
      </c>
      <c r="Y237">
        <f>HYPERLINK("https://klasma.github.io/Logging_1380/kartor_geotiff/A 5530-2025 georefererad karta.tif", "A 5530-2025")</f>
        <v/>
      </c>
      <c r="AA237">
        <f>HYPERLINK("https://klasma.github.io/Logging_1380/klagomål/A 5530-2025 FSC-klagomål.docx", "A 5530-2025")</f>
        <v/>
      </c>
      <c r="AB237">
        <f>HYPERLINK("https://klasma.github.io/Logging_1380/klagomålsmail/A 5530-2025 FSC-klagomål mail.docx", "A 5530-2025")</f>
        <v/>
      </c>
      <c r="AC237">
        <f>HYPERLINK("https://klasma.github.io/Logging_1380/tillsyn/A 5530-2025 tillsynsbegäran.docx", "A 5530-2025")</f>
        <v/>
      </c>
      <c r="AD237">
        <f>HYPERLINK("https://klasma.github.io/Logging_1380/tillsynsmail/A 5530-2025 tillsynsbegäran mail.docx", "A 5530-2025")</f>
        <v/>
      </c>
    </row>
    <row r="238" ht="15" customHeight="1">
      <c r="A238" t="inlineStr">
        <is>
          <t>A 11154-2022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44629</v>
      </c>
      <c r="E238" s="1" t="n">
        <v>46265</v>
      </c>
      <c r="F238" t="inlineStr">
        <is>
          <t>HALLANDS LÄN</t>
        </is>
      </c>
      <c r="G238" t="inlineStr">
        <is>
          <t>KUNGSBACKA</t>
        </is>
      </c>
      <c r="I238" t="n">
        <v>2.6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Röd glada</t>
        </is>
      </c>
      <c r="W238">
        <f>HYPERLINK("https://klasma.github.io/Logging_1384/artfynd/A 11154-2022 artfynd.xlsx", "A 11154-2022")</f>
        <v/>
      </c>
      <c r="X238">
        <f>HYPERLINK("https://klasma.github.io/Logging_1384/kartor/A 11154-2022 karta.png", "A 11154-2022")</f>
        <v/>
      </c>
      <c r="Y238">
        <f>HYPERLINK("https://klasma.github.io/Logging_1384/kartor_geotiff/A 11154-2022 georefererad karta.tif", "A 11154-2022")</f>
        <v/>
      </c>
      <c r="AA238">
        <f>HYPERLINK("https://klasma.github.io/Logging_1384/klagomål/A 11154-2022 FSC-klagomål.docx", "A 11154-2022")</f>
        <v/>
      </c>
      <c r="AB238">
        <f>HYPERLINK("https://klasma.github.io/Logging_1384/klagomålsmail/A 11154-2022 FSC-klagomål mail.docx", "A 11154-2022")</f>
        <v/>
      </c>
      <c r="AC238">
        <f>HYPERLINK("https://klasma.github.io/Logging_1384/tillsyn/A 11154-2022 tillsynsbegäran.docx", "A 11154-2022")</f>
        <v/>
      </c>
      <c r="AD238">
        <f>HYPERLINK("https://klasma.github.io/Logging_1384/tillsynsmail/A 11154-2022 tillsynsbegäran mail.docx", "A 11154-2022")</f>
        <v/>
      </c>
      <c r="AE238">
        <f>HYPERLINK("https://klasma.github.io/Logging_1384/fåglar/A 11154-2022 prioriterade fågelarter.docx", "A 11154-2022")</f>
        <v/>
      </c>
    </row>
    <row r="239" ht="15" customHeight="1">
      <c r="A239" t="inlineStr">
        <is>
          <t>A 3691-2024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45321</v>
      </c>
      <c r="E239" s="1" t="n">
        <v>46265</v>
      </c>
      <c r="F239" t="inlineStr">
        <is>
          <t>HALLANDS LÄN</t>
        </is>
      </c>
      <c r="G239" t="inlineStr">
        <is>
          <t>LAHOLM</t>
        </is>
      </c>
      <c r="I239" t="n">
        <v>6.6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Revlummer</t>
        </is>
      </c>
      <c r="W239">
        <f>HYPERLINK("https://klasma.github.io/Logging_1381/artfynd/A 3691-2024 artfynd.xlsx", "A 3691-2024")</f>
        <v/>
      </c>
      <c r="X239">
        <f>HYPERLINK("https://klasma.github.io/Logging_1381/kartor/A 3691-2024 karta.png", "A 3691-2024")</f>
        <v/>
      </c>
      <c r="Y239">
        <f>HYPERLINK("https://klasma.github.io/Logging_1381/kartor_geotiff/A 3691-2024 georefererad karta.tif", "A 3691-2024")</f>
        <v/>
      </c>
      <c r="AA239">
        <f>HYPERLINK("https://klasma.github.io/Logging_1381/klagomål/A 3691-2024 FSC-klagomål.docx", "A 3691-2024")</f>
        <v/>
      </c>
      <c r="AB239">
        <f>HYPERLINK("https://klasma.github.io/Logging_1381/klagomålsmail/A 3691-2024 FSC-klagomål mail.docx", "A 3691-2024")</f>
        <v/>
      </c>
      <c r="AC239">
        <f>HYPERLINK("https://klasma.github.io/Logging_1381/tillsyn/A 3691-2024 tillsynsbegäran.docx", "A 3691-2024")</f>
        <v/>
      </c>
      <c r="AD239">
        <f>HYPERLINK("https://klasma.github.io/Logging_1381/tillsynsmail/A 3691-2024 tillsynsbegäran mail.docx", "A 3691-2024")</f>
        <v/>
      </c>
    </row>
    <row r="240" ht="15" customHeight="1">
      <c r="A240" t="inlineStr">
        <is>
          <t>A 21483-2024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46265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21483-2024 artfynd.xlsx", "A 21483-2024")</f>
        <v/>
      </c>
      <c r="X240">
        <f>HYPERLINK("https://klasma.github.io/Logging_1380/kartor/A 21483-2024 karta.png", "A 21483-2024")</f>
        <v/>
      </c>
      <c r="Y240">
        <f>HYPERLINK("https://klasma.github.io/Logging_1380/kartor_geotiff/A 21483-2024 georefererad karta.tif", "A 21483-2024")</f>
        <v/>
      </c>
      <c r="AA240">
        <f>HYPERLINK("https://klasma.github.io/Logging_1380/klagomål/A 21483-2024 FSC-klagomål.docx", "A 21483-2024")</f>
        <v/>
      </c>
      <c r="AB240">
        <f>HYPERLINK("https://klasma.github.io/Logging_1380/klagomålsmail/A 21483-2024 FSC-klagomål mail.docx", "A 21483-2024")</f>
        <v/>
      </c>
      <c r="AC240">
        <f>HYPERLINK("https://klasma.github.io/Logging_1380/tillsyn/A 21483-2024 tillsynsbegäran.docx", "A 21483-2024")</f>
        <v/>
      </c>
      <c r="AD240">
        <f>HYPERLINK("https://klasma.github.io/Logging_1380/tillsynsmail/A 21483-2024 tillsynsbegäran mail.docx", "A 21483-2024")</f>
        <v/>
      </c>
    </row>
    <row r="241" ht="15" customHeight="1">
      <c r="A241" t="inlineStr">
        <is>
          <t>A 21626-2026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46265</v>
      </c>
      <c r="F241" t="inlineStr">
        <is>
          <t>HALLANDS LÄN</t>
        </is>
      </c>
      <c r="G241" t="inlineStr">
        <is>
          <t>HALMSTAD</t>
        </is>
      </c>
      <c r="I241" t="n">
        <v>9.6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21626-2026 artfynd.xlsx", "A 21626-2026")</f>
        <v/>
      </c>
      <c r="X241">
        <f>HYPERLINK("https://klasma.github.io/Logging_1380/kartor/A 21626-2026 karta.png", "A 21626-2026")</f>
        <v/>
      </c>
      <c r="Y241">
        <f>HYPERLINK("https://klasma.github.io/Logging_1380/kartor_geotiff/A 21626-2026 georefererad karta.tif", "A 21626-2026")</f>
        <v/>
      </c>
      <c r="AA241">
        <f>HYPERLINK("https://klasma.github.io/Logging_1380/klagomål/A 21626-2026 FSC-klagomål.docx", "A 21626-2026")</f>
        <v/>
      </c>
      <c r="AB241">
        <f>HYPERLINK("https://klasma.github.io/Logging_1380/klagomålsmail/A 21626-2026 FSC-klagomål mail.docx", "A 21626-2026")</f>
        <v/>
      </c>
      <c r="AC241">
        <f>HYPERLINK("https://klasma.github.io/Logging_1380/tillsyn/A 21626-2026 tillsynsbegäran.docx", "A 21626-2026")</f>
        <v/>
      </c>
      <c r="AD241">
        <f>HYPERLINK("https://klasma.github.io/Logging_1380/tillsynsmail/A 21626-2026 tillsynsbegäran mail.docx", "A 21626-2026")</f>
        <v/>
      </c>
    </row>
    <row r="242" ht="15" customHeight="1">
      <c r="A242" t="inlineStr">
        <is>
          <t>A 48503-2024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45593</v>
      </c>
      <c r="E242" s="1" t="n">
        <v>46265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HYPERLINK("https://klasma.github.io/Logging_1315/artfynd/A 48503-2024 artfynd.xlsx", "A 48503-2024")</f>
        <v/>
      </c>
      <c r="X242">
        <f>HYPERLINK("https://klasma.github.io/Logging_1315/kartor/A 48503-2024 karta.png", "A 48503-2024")</f>
        <v/>
      </c>
      <c r="Y242">
        <f>HYPERLINK("https://klasma.github.io/Logging_1315/kartor_geotiff/A 48503-2024 georefererad karta.tif", "A 48503-2024")</f>
        <v/>
      </c>
      <c r="AA242">
        <f>HYPERLINK("https://klasma.github.io/Logging_1315/klagomål/A 48503-2024 FSC-klagomål.docx", "A 48503-2024")</f>
        <v/>
      </c>
      <c r="AB242">
        <f>HYPERLINK("https://klasma.github.io/Logging_1315/klagomålsmail/A 48503-2024 FSC-klagomål mail.docx", "A 48503-2024")</f>
        <v/>
      </c>
      <c r="AC242">
        <f>HYPERLINK("https://klasma.github.io/Logging_1315/tillsyn/A 48503-2024 tillsynsbegäran.docx", "A 48503-2024")</f>
        <v/>
      </c>
      <c r="AD242">
        <f>HYPERLINK("https://klasma.github.io/Logging_1315/tillsynsmail/A 48503-2024 tillsynsbegäran mail.docx", "A 48503-2024")</f>
        <v/>
      </c>
    </row>
    <row r="243" ht="15" customHeight="1">
      <c r="A243" t="inlineStr">
        <is>
          <t>A 57134-2023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46265</v>
      </c>
      <c r="F243" t="inlineStr">
        <is>
          <t>HALLANDS LÄN</t>
        </is>
      </c>
      <c r="G243" t="inlineStr">
        <is>
          <t>HYLTE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Vildris</t>
        </is>
      </c>
      <c r="W243">
        <f>HYPERLINK("https://klasma.github.io/Logging_1315/artfynd/A 57134-2023 artfynd.xlsx", "A 57134-2023")</f>
        <v/>
      </c>
      <c r="X243">
        <f>HYPERLINK("https://klasma.github.io/Logging_1315/kartor/A 57134-2023 karta.png", "A 57134-2023")</f>
        <v/>
      </c>
      <c r="Y243">
        <f>HYPERLINK("https://klasma.github.io/Logging_1315/kartor_geotiff/A 57134-2023 georefererad karta.tif", "A 57134-2023")</f>
        <v/>
      </c>
      <c r="AA243">
        <f>HYPERLINK("https://klasma.github.io/Logging_1315/klagomål/A 57134-2023 FSC-klagomål.docx", "A 57134-2023")</f>
        <v/>
      </c>
      <c r="AB243">
        <f>HYPERLINK("https://klasma.github.io/Logging_1315/klagomålsmail/A 57134-2023 FSC-klagomål mail.docx", "A 57134-2023")</f>
        <v/>
      </c>
      <c r="AC243">
        <f>HYPERLINK("https://klasma.github.io/Logging_1315/tillsyn/A 57134-2023 tillsynsbegäran.docx", "A 57134-2023")</f>
        <v/>
      </c>
      <c r="AD243">
        <f>HYPERLINK("https://klasma.github.io/Logging_1315/tillsynsmail/A 57134-2023 tillsynsbegäran mail.docx", "A 57134-2023")</f>
        <v/>
      </c>
    </row>
    <row r="244" ht="15" customHeight="1">
      <c r="A244" t="inlineStr">
        <is>
          <t>A 37556-2023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46265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5</v>
      </c>
      <c r="U244" t="n">
        <v>2</v>
      </c>
      <c r="V244" s="2" t="inlineStr">
        <is>
          <t>Vildris</t>
        </is>
      </c>
      <c r="W244">
        <f>HYPERLINK("https://klasma.github.io/Logging_1381/artfynd/A 37556-2023 artfynd.xlsx", "A 37556-2023")</f>
        <v/>
      </c>
      <c r="X244">
        <f>HYPERLINK("https://klasma.github.io/Logging_1381/kartor/A 37556-2023 karta.png", "A 37556-2023")</f>
        <v/>
      </c>
      <c r="Y244">
        <f>HYPERLINK("https://klasma.github.io/Logging_1381/kartor_geotiff/A 37556-2023 georefererad karta.tif", "A 37556-2023")</f>
        <v/>
      </c>
      <c r="AA244">
        <f>HYPERLINK("https://klasma.github.io/Logging_1381/klagomål/A 37556-2023 FSC-klagomål.docx", "A 37556-2023")</f>
        <v/>
      </c>
      <c r="AB244">
        <f>HYPERLINK("https://klasma.github.io/Logging_1381/klagomålsmail/A 37556-2023 FSC-klagomål mail.docx", "A 37556-2023")</f>
        <v/>
      </c>
      <c r="AC244">
        <f>HYPERLINK("https://klasma.github.io/Logging_1381/tillsyn/A 37556-2023 tillsynsbegäran.docx", "A 37556-2023")</f>
        <v/>
      </c>
      <c r="AD244">
        <f>HYPERLINK("https://klasma.github.io/Logging_1381/tillsynsmail/A 37556-2023 tillsynsbegäran mail.docx", "A 37556-2023")</f>
        <v/>
      </c>
    </row>
    <row r="245" ht="15" customHeight="1">
      <c r="A245" t="inlineStr">
        <is>
          <t>A 1274-2025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46265</v>
      </c>
      <c r="F245" t="inlineStr">
        <is>
          <t>HALLANDS LÄN</t>
        </is>
      </c>
      <c r="G245" t="inlineStr">
        <is>
          <t>FALKENBERG</t>
        </is>
      </c>
      <c r="I245" t="n">
        <v>7.7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HYPERLINK("https://klasma.github.io/Logging_1382/artfynd/A 1274-2025 artfynd.xlsx", "A 1274-2025")</f>
        <v/>
      </c>
      <c r="X245">
        <f>HYPERLINK("https://klasma.github.io/Logging_1382/kartor/A 1274-2025 karta.png", "A 1274-2025")</f>
        <v/>
      </c>
      <c r="Y245">
        <f>HYPERLINK("https://klasma.github.io/Logging_1382/kartor_geotiff/A 1274-2025 georefererad karta.tif", "A 1274-2025")</f>
        <v/>
      </c>
      <c r="AA245">
        <f>HYPERLINK("https://klasma.github.io/Logging_1382/klagomål/A 1274-2025 FSC-klagomål.docx", "A 1274-2025")</f>
        <v/>
      </c>
      <c r="AB245">
        <f>HYPERLINK("https://klasma.github.io/Logging_1382/klagomålsmail/A 1274-2025 FSC-klagomål mail.docx", "A 1274-2025")</f>
        <v/>
      </c>
      <c r="AC245">
        <f>HYPERLINK("https://klasma.github.io/Logging_1382/tillsyn/A 1274-2025 tillsynsbegäran.docx", "A 1274-2025")</f>
        <v/>
      </c>
      <c r="AD245">
        <f>HYPERLINK("https://klasma.github.io/Logging_1382/tillsynsmail/A 1274-2025 tillsynsbegäran mail.docx", "A 1274-2025")</f>
        <v/>
      </c>
    </row>
    <row r="246" ht="15" customHeight="1">
      <c r="A246" t="inlineStr">
        <is>
          <t>A 23305-2026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46265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23305-2026 artfynd.xlsx", "A 23305-2026")</f>
        <v/>
      </c>
      <c r="X246">
        <f>HYPERLINK("https://klasma.github.io/Logging_1380/kartor/A 23305-2026 karta.png", "A 23305-2026")</f>
        <v/>
      </c>
      <c r="Y246">
        <f>HYPERLINK("https://klasma.github.io/Logging_1380/kartor_geotiff/A 23305-2026 georefererad karta.tif", "A 23305-2026")</f>
        <v/>
      </c>
      <c r="AA246">
        <f>HYPERLINK("https://klasma.github.io/Logging_1380/klagomål/A 23305-2026 FSC-klagomål.docx", "A 23305-2026")</f>
        <v/>
      </c>
      <c r="AB246">
        <f>HYPERLINK("https://klasma.github.io/Logging_1380/klagomålsmail/A 23305-2026 FSC-klagomål mail.docx", "A 23305-2026")</f>
        <v/>
      </c>
      <c r="AC246">
        <f>HYPERLINK("https://klasma.github.io/Logging_1380/tillsyn/A 23305-2026 tillsynsbegäran.docx", "A 23305-2026")</f>
        <v/>
      </c>
      <c r="AD246">
        <f>HYPERLINK("https://klasma.github.io/Logging_1380/tillsynsmail/A 23305-2026 tillsynsbegäran mail.docx", "A 23305-2026")</f>
        <v/>
      </c>
    </row>
    <row r="247" ht="15" customHeight="1">
      <c r="A247" t="inlineStr">
        <is>
          <t>A 9045-2026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46265</v>
      </c>
      <c r="F247" t="inlineStr">
        <is>
          <t>HALLANDS LÄN</t>
        </is>
      </c>
      <c r="G247" t="inlineStr">
        <is>
          <t>HALMSTAD</t>
        </is>
      </c>
      <c r="I247" t="n">
        <v>3.8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Grönvit nattviol</t>
        </is>
      </c>
      <c r="W247">
        <f>HYPERLINK("https://klasma.github.io/Logging_1380/artfynd/A 9045-2026 artfynd.xlsx", "A 9045-2026")</f>
        <v/>
      </c>
      <c r="X247">
        <f>HYPERLINK("https://klasma.github.io/Logging_1380/kartor/A 9045-2026 karta.png", "A 9045-2026")</f>
        <v/>
      </c>
      <c r="Y247">
        <f>HYPERLINK("https://klasma.github.io/Logging_1380/kartor_geotiff/A 9045-2026 georefererad karta.tif", "A 9045-2026")</f>
        <v/>
      </c>
      <c r="AA247">
        <f>HYPERLINK("https://klasma.github.io/Logging_1380/klagomål/A 9045-2026 FSC-klagomål.docx", "A 9045-2026")</f>
        <v/>
      </c>
      <c r="AB247">
        <f>HYPERLINK("https://klasma.github.io/Logging_1380/klagomålsmail/A 9045-2026 FSC-klagomål mail.docx", "A 9045-2026")</f>
        <v/>
      </c>
      <c r="AC247">
        <f>HYPERLINK("https://klasma.github.io/Logging_1380/tillsyn/A 9045-2026 tillsynsbegäran.docx", "A 9045-2026")</f>
        <v/>
      </c>
      <c r="AD247">
        <f>HYPERLINK("https://klasma.github.io/Logging_1380/tillsynsmail/A 9045-2026 tillsynsbegäran mail.docx", "A 9045-2026")</f>
        <v/>
      </c>
    </row>
    <row r="248" ht="15" customHeight="1">
      <c r="A248" t="inlineStr">
        <is>
          <t>A 25055-2026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46265</v>
      </c>
      <c r="F248" t="inlineStr">
        <is>
          <t>HALLANDS LÄN</t>
        </is>
      </c>
      <c r="G248" t="inlineStr">
        <is>
          <t>VARBERG</t>
        </is>
      </c>
      <c r="I248" t="n">
        <v>2.3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Skogsödla</t>
        </is>
      </c>
      <c r="W248">
        <f>HYPERLINK("https://klasma.github.io/Logging_1383/artfynd/A 25055-2026 artfynd.xlsx", "A 25055-2026")</f>
        <v/>
      </c>
      <c r="X248">
        <f>HYPERLINK("https://klasma.github.io/Logging_1383/kartor/A 25055-2026 karta.png", "A 25055-2026")</f>
        <v/>
      </c>
      <c r="Y248">
        <f>HYPERLINK("https://klasma.github.io/Logging_1383/kartor_geotiff/A 25055-2026 georefererad karta.tif", "A 25055-2026")</f>
        <v/>
      </c>
      <c r="AA248">
        <f>HYPERLINK("https://klasma.github.io/Logging_1383/klagomål/A 25055-2026 FSC-klagomål.docx", "A 25055-2026")</f>
        <v/>
      </c>
      <c r="AB248">
        <f>HYPERLINK("https://klasma.github.io/Logging_1383/klagomålsmail/A 25055-2026 FSC-klagomål mail.docx", "A 25055-2026")</f>
        <v/>
      </c>
      <c r="AC248">
        <f>HYPERLINK("https://klasma.github.io/Logging_1383/tillsyn/A 25055-2026 tillsynsbegäran.docx", "A 25055-2026")</f>
        <v/>
      </c>
      <c r="AD248">
        <f>HYPERLINK("https://klasma.github.io/Logging_1383/tillsynsmail/A 25055-2026 tillsynsbegäran mail.docx", "A 25055-2026")</f>
        <v/>
      </c>
    </row>
    <row r="249" ht="15" customHeight="1">
      <c r="A249" t="inlineStr">
        <is>
          <t>A 25382-2026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46265</v>
      </c>
      <c r="F249" t="inlineStr">
        <is>
          <t>HALLANDS LÄN</t>
        </is>
      </c>
      <c r="G249" t="inlineStr">
        <is>
          <t>HALMSTAD</t>
        </is>
      </c>
      <c r="I249" t="n">
        <v>10.9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Svinrot</t>
        </is>
      </c>
      <c r="W249">
        <f>HYPERLINK("https://klasma.github.io/Logging_1380/artfynd/A 25382-2026 artfynd.xlsx", "A 25382-2026")</f>
        <v/>
      </c>
      <c r="X249">
        <f>HYPERLINK("https://klasma.github.io/Logging_1380/kartor/A 25382-2026 karta.png", "A 25382-2026")</f>
        <v/>
      </c>
      <c r="Y249">
        <f>HYPERLINK("https://klasma.github.io/Logging_1380/kartor_geotiff/A 25382-2026 georefererad karta.tif", "A 25382-2026")</f>
        <v/>
      </c>
      <c r="AA249">
        <f>HYPERLINK("https://klasma.github.io/Logging_1380/klagomål/A 25382-2026 FSC-klagomål.docx", "A 25382-2026")</f>
        <v/>
      </c>
      <c r="AB249">
        <f>HYPERLINK("https://klasma.github.io/Logging_1380/klagomålsmail/A 25382-2026 FSC-klagomål mail.docx", "A 25382-2026")</f>
        <v/>
      </c>
      <c r="AC249">
        <f>HYPERLINK("https://klasma.github.io/Logging_1380/tillsyn/A 25382-2026 tillsynsbegäran.docx", "A 25382-2026")</f>
        <v/>
      </c>
      <c r="AD249">
        <f>HYPERLINK("https://klasma.github.io/Logging_1380/tillsynsmail/A 25382-2026 tillsynsbegäran mail.docx", "A 25382-2026")</f>
        <v/>
      </c>
    </row>
    <row r="250" ht="15" customHeight="1">
      <c r="A250" t="inlineStr">
        <is>
          <t>A 46505-2025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46265</v>
      </c>
      <c r="F250" t="inlineStr">
        <is>
          <t>HALLANDS LÄN</t>
        </is>
      </c>
      <c r="G250" t="inlineStr">
        <is>
          <t>HALMSTAD</t>
        </is>
      </c>
      <c r="I250" t="n">
        <v>9.1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Kambräken</t>
        </is>
      </c>
      <c r="W250">
        <f>HYPERLINK("https://klasma.github.io/Logging_1380/artfynd/A 46505-2025 artfynd.xlsx", "A 46505-2025")</f>
        <v/>
      </c>
      <c r="X250">
        <f>HYPERLINK("https://klasma.github.io/Logging_1380/kartor/A 46505-2025 karta.png", "A 46505-2025")</f>
        <v/>
      </c>
      <c r="Y250">
        <f>HYPERLINK("https://klasma.github.io/Logging_1380/kartor_geotiff/A 46505-2025 georefererad karta.tif", "A 46505-2025")</f>
        <v/>
      </c>
      <c r="AA250">
        <f>HYPERLINK("https://klasma.github.io/Logging_1380/klagomål/A 46505-2025 FSC-klagomål.docx", "A 46505-2025")</f>
        <v/>
      </c>
      <c r="AB250">
        <f>HYPERLINK("https://klasma.github.io/Logging_1380/klagomålsmail/A 46505-2025 FSC-klagomål mail.docx", "A 46505-2025")</f>
        <v/>
      </c>
      <c r="AC250">
        <f>HYPERLINK("https://klasma.github.io/Logging_1380/tillsyn/A 46505-2025 tillsynsbegäran.docx", "A 46505-2025")</f>
        <v/>
      </c>
      <c r="AD250">
        <f>HYPERLINK("https://klasma.github.io/Logging_1380/tillsynsmail/A 46505-2025 tillsynsbegäran mail.docx", "A 46505-2025")</f>
        <v/>
      </c>
    </row>
    <row r="251" ht="15" customHeight="1">
      <c r="A251" t="inlineStr">
        <is>
          <t>A 25887-2026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46265</v>
      </c>
      <c r="F251" t="inlineStr">
        <is>
          <t>HALLANDS LÄN</t>
        </is>
      </c>
      <c r="G251" t="inlineStr">
        <is>
          <t>HALMSTAD</t>
        </is>
      </c>
      <c r="I251" t="n">
        <v>14.9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HYPERLINK("https://klasma.github.io/Logging_1380/artfynd/A 25887-2026 artfynd.xlsx", "A 25887-2026")</f>
        <v/>
      </c>
      <c r="X251">
        <f>HYPERLINK("https://klasma.github.io/Logging_1380/kartor/A 25887-2026 karta.png", "A 25887-2026")</f>
        <v/>
      </c>
      <c r="Y251">
        <f>HYPERLINK("https://klasma.github.io/Logging_1380/kartor_geotiff/A 25887-2026 georefererad karta.tif", "A 25887-2026")</f>
        <v/>
      </c>
      <c r="AA251">
        <f>HYPERLINK("https://klasma.github.io/Logging_1380/klagomål/A 25887-2026 FSC-klagomål.docx", "A 25887-2026")</f>
        <v/>
      </c>
      <c r="AB251">
        <f>HYPERLINK("https://klasma.github.io/Logging_1380/klagomålsmail/A 25887-2026 FSC-klagomål mail.docx", "A 25887-2026")</f>
        <v/>
      </c>
      <c r="AC251">
        <f>HYPERLINK("https://klasma.github.io/Logging_1380/tillsyn/A 25887-2026 tillsynsbegäran.docx", "A 25887-2026")</f>
        <v/>
      </c>
      <c r="AD251">
        <f>HYPERLINK("https://klasma.github.io/Logging_1380/tillsynsmail/A 25887-2026 tillsynsbegäran mail.docx", "A 25887-2026")</f>
        <v/>
      </c>
    </row>
    <row r="252" ht="15" customHeight="1">
      <c r="A252" t="inlineStr">
        <is>
          <t>A 26330-2026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46265</v>
      </c>
      <c r="F252" t="inlineStr">
        <is>
          <t>HALLANDS LÄN</t>
        </is>
      </c>
      <c r="G252" t="inlineStr">
        <is>
          <t>HALMSTAD</t>
        </is>
      </c>
      <c r="I252" t="n">
        <v>9.1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Revlummer</t>
        </is>
      </c>
      <c r="W252">
        <f>HYPERLINK("https://klasma.github.io/Logging_1380/artfynd/A 26330-2026 artfynd.xlsx", "A 26330-2026")</f>
        <v/>
      </c>
      <c r="X252">
        <f>HYPERLINK("https://klasma.github.io/Logging_1380/kartor/A 26330-2026 karta.png", "A 26330-2026")</f>
        <v/>
      </c>
      <c r="Y252">
        <f>HYPERLINK("https://klasma.github.io/Logging_1380/kartor_geotiff/A 26330-2026 georefererad karta.tif", "A 26330-2026")</f>
        <v/>
      </c>
      <c r="AA252">
        <f>HYPERLINK("https://klasma.github.io/Logging_1380/klagomål/A 26330-2026 FSC-klagomål.docx", "A 26330-2026")</f>
        <v/>
      </c>
      <c r="AB252">
        <f>HYPERLINK("https://klasma.github.io/Logging_1380/klagomålsmail/A 26330-2026 FSC-klagomål mail.docx", "A 26330-2026")</f>
        <v/>
      </c>
      <c r="AC252">
        <f>HYPERLINK("https://klasma.github.io/Logging_1380/tillsyn/A 26330-2026 tillsynsbegäran.docx", "A 26330-2026")</f>
        <v/>
      </c>
      <c r="AD252">
        <f>HYPERLINK("https://klasma.github.io/Logging_1380/tillsynsmail/A 26330-2026 tillsynsbegäran mail.docx", "A 26330-2026")</f>
        <v/>
      </c>
    </row>
    <row r="253" ht="15" customHeight="1">
      <c r="A253" t="inlineStr">
        <is>
          <t>A 27103-2026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46188</v>
      </c>
      <c r="E253" s="1" t="n">
        <v>46265</v>
      </c>
      <c r="F253" t="inlineStr">
        <is>
          <t>HALLANDS LÄN</t>
        </is>
      </c>
      <c r="G253" t="inlineStr">
        <is>
          <t>VARBERG</t>
        </is>
      </c>
      <c r="I253" t="n">
        <v>1.9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Skogsödla</t>
        </is>
      </c>
      <c r="W253">
        <f>HYPERLINK("https://klasma.github.io/Logging_1383/artfynd/A 27103-2026 artfynd.xlsx", "A 27103-2026")</f>
        <v/>
      </c>
      <c r="X253">
        <f>HYPERLINK("https://klasma.github.io/Logging_1383/kartor/A 27103-2026 karta.png", "A 27103-2026")</f>
        <v/>
      </c>
      <c r="Y253">
        <f>HYPERLINK("https://klasma.github.io/Logging_1383/kartor_geotiff/A 27103-2026 georefererad karta.tif", "A 27103-2026")</f>
        <v/>
      </c>
      <c r="AA253">
        <f>HYPERLINK("https://klasma.github.io/Logging_1383/klagomål/A 27103-2026 FSC-klagomål.docx", "A 27103-2026")</f>
        <v/>
      </c>
      <c r="AB253">
        <f>HYPERLINK("https://klasma.github.io/Logging_1383/klagomålsmail/A 27103-2026 FSC-klagomål mail.docx", "A 27103-2026")</f>
        <v/>
      </c>
      <c r="AC253">
        <f>HYPERLINK("https://klasma.github.io/Logging_1383/tillsyn/A 27103-2026 tillsynsbegäran.docx", "A 27103-2026")</f>
        <v/>
      </c>
      <c r="AD253">
        <f>HYPERLINK("https://klasma.github.io/Logging_1383/tillsynsmail/A 27103-2026 tillsynsbegäran mail.docx", "A 27103-2026")</f>
        <v/>
      </c>
    </row>
    <row r="254" ht="15" customHeight="1">
      <c r="A254" t="inlineStr">
        <is>
          <t>A 6775-2026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46265</v>
      </c>
      <c r="F254" t="inlineStr">
        <is>
          <t>HALLANDS LÄN</t>
        </is>
      </c>
      <c r="G254" t="inlineStr">
        <is>
          <t>HALMSTAD</t>
        </is>
      </c>
      <c r="I254" t="n">
        <v>8.199999999999999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Barbastell</t>
        </is>
      </c>
      <c r="W254">
        <f>HYPERLINK("https://klasma.github.io/Logging_1380/artfynd/A 6775-2026 artfynd.xlsx", "A 6775-2026")</f>
        <v/>
      </c>
      <c r="X254">
        <f>HYPERLINK("https://klasma.github.io/Logging_1380/kartor/A 6775-2026 karta.png", "A 6775-2026")</f>
        <v/>
      </c>
      <c r="Y254">
        <f>HYPERLINK("https://klasma.github.io/Logging_1380/kartor_geotiff/A 6775-2026 georefererad karta.tif", "A 6775-2026")</f>
        <v/>
      </c>
      <c r="AA254">
        <f>HYPERLINK("https://klasma.github.io/Logging_1380/klagomål/A 6775-2026 FSC-klagomål.docx", "A 6775-2026")</f>
        <v/>
      </c>
      <c r="AB254">
        <f>HYPERLINK("https://klasma.github.io/Logging_1380/klagomålsmail/A 6775-2026 FSC-klagomål mail.docx", "A 6775-2026")</f>
        <v/>
      </c>
      <c r="AC254">
        <f>HYPERLINK("https://klasma.github.io/Logging_1380/tillsyn/A 6775-2026 tillsynsbegäran.docx", "A 6775-2026")</f>
        <v/>
      </c>
      <c r="AD254">
        <f>HYPERLINK("https://klasma.github.io/Logging_1380/tillsynsmail/A 6775-2026 tillsynsbegäran mail.docx", "A 6775-2026")</f>
        <v/>
      </c>
    </row>
    <row r="255" ht="15" customHeight="1">
      <c r="A255" t="inlineStr">
        <is>
          <t>A 33086-2026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46265</v>
      </c>
      <c r="F255" t="inlineStr">
        <is>
          <t>HALLANDS LÄN</t>
        </is>
      </c>
      <c r="G255" t="inlineStr">
        <is>
          <t>LAHOLM</t>
        </is>
      </c>
      <c r="I255" t="n">
        <v>2.1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Blå taggsvamp</t>
        </is>
      </c>
      <c r="W255">
        <f>HYPERLINK("https://klasma.github.io/Logging_1381/artfynd/A 33086-2026 artfynd.xlsx", "A 33086-2026")</f>
        <v/>
      </c>
      <c r="X255">
        <f>HYPERLINK("https://klasma.github.io/Logging_1381/kartor/A 33086-2026 karta.png", "A 33086-2026")</f>
        <v/>
      </c>
      <c r="Y255">
        <f>HYPERLINK("https://klasma.github.io/Logging_1381/kartor_geotiff/A 33086-2026 georefererad karta.tif", "A 33086-2026")</f>
        <v/>
      </c>
      <c r="AA255">
        <f>HYPERLINK("https://klasma.github.io/Logging_1381/klagomål/A 33086-2026 FSC-klagomål.docx", "A 33086-2026")</f>
        <v/>
      </c>
      <c r="AB255">
        <f>HYPERLINK("https://klasma.github.io/Logging_1381/klagomålsmail/A 33086-2026 FSC-klagomål mail.docx", "A 33086-2026")</f>
        <v/>
      </c>
      <c r="AC255">
        <f>HYPERLINK("https://klasma.github.io/Logging_1381/tillsyn/A 33086-2026 tillsynsbegäran.docx", "A 33086-2026")</f>
        <v/>
      </c>
      <c r="AD255">
        <f>HYPERLINK("https://klasma.github.io/Logging_1381/tillsynsmail/A 33086-2026 tillsynsbegäran mail.docx", "A 33086-2026")</f>
        <v/>
      </c>
    </row>
    <row r="256" ht="15" customHeight="1">
      <c r="A256" t="inlineStr">
        <is>
          <t>A 35165-2026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46265</v>
      </c>
      <c r="F256" t="inlineStr">
        <is>
          <t>HALLANDS LÄN</t>
        </is>
      </c>
      <c r="G256" t="inlineStr">
        <is>
          <t>KUNGSBACKA</t>
        </is>
      </c>
      <c r="I256" t="n">
        <v>6.3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Kungsfågel</t>
        </is>
      </c>
      <c r="W256">
        <f>HYPERLINK("https://klasma.github.io/Logging_1384/artfynd/A 35165-2026 artfynd.xlsx", "A 35165-2026")</f>
        <v/>
      </c>
      <c r="X256">
        <f>HYPERLINK("https://klasma.github.io/Logging_1384/kartor/A 35165-2026 karta.png", "A 35165-2026")</f>
        <v/>
      </c>
      <c r="Y256">
        <f>HYPERLINK("https://klasma.github.io/Logging_1384/kartor_geotiff/A 35165-2026 georefererad karta.tif", "A 35165-2026")</f>
        <v/>
      </c>
      <c r="AA256">
        <f>HYPERLINK("https://klasma.github.io/Logging_1384/klagomål/A 35165-2026 FSC-klagomål.docx", "A 35165-2026")</f>
        <v/>
      </c>
      <c r="AB256">
        <f>HYPERLINK("https://klasma.github.io/Logging_1384/klagomålsmail/A 35165-2026 FSC-klagomål mail.docx", "A 35165-2026")</f>
        <v/>
      </c>
      <c r="AC256">
        <f>HYPERLINK("https://klasma.github.io/Logging_1384/tillsyn/A 35165-2026 tillsynsbegäran.docx", "A 35165-2026")</f>
        <v/>
      </c>
      <c r="AD256">
        <f>HYPERLINK("https://klasma.github.io/Logging_1384/tillsynsmail/A 35165-2026 tillsynsbegäran mail.docx", "A 35165-2026")</f>
        <v/>
      </c>
    </row>
    <row r="257" ht="15" customHeight="1">
      <c r="A257" t="inlineStr">
        <is>
          <t>A 33663-2026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46248</v>
      </c>
      <c r="E257" s="1" t="n">
        <v>46265</v>
      </c>
      <c r="F257" t="inlineStr">
        <is>
          <t>HALLANDS LÄN</t>
        </is>
      </c>
      <c r="G257" t="inlineStr">
        <is>
          <t>FALKENBERG</t>
        </is>
      </c>
      <c r="I257" t="n">
        <v>0.7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Bokvårtlav</t>
        </is>
      </c>
      <c r="W257">
        <f>HYPERLINK("https://klasma.github.io/Logging_1382/artfynd/A 33663-2026 artfynd.xlsx", "A 33663-2026")</f>
        <v/>
      </c>
      <c r="X257">
        <f>HYPERLINK("https://klasma.github.io/Logging_1382/kartor/A 33663-2026 karta.png", "A 33663-2026")</f>
        <v/>
      </c>
      <c r="Y257">
        <f>HYPERLINK("https://klasma.github.io/Logging_1382/kartor_geotiff/A 33663-2026 georefererad karta.tif", "A 33663-2026")</f>
        <v/>
      </c>
      <c r="AA257">
        <f>HYPERLINK("https://klasma.github.io/Logging_1382/klagomål/A 33663-2026 FSC-klagomål.docx", "A 33663-2026")</f>
        <v/>
      </c>
      <c r="AB257">
        <f>HYPERLINK("https://klasma.github.io/Logging_1382/klagomålsmail/A 33663-2026 FSC-klagomål mail.docx", "A 33663-2026")</f>
        <v/>
      </c>
      <c r="AC257">
        <f>HYPERLINK("https://klasma.github.io/Logging_1382/tillsyn/A 33663-2026 tillsynsbegäran.docx", "A 33663-2026")</f>
        <v/>
      </c>
      <c r="AD257">
        <f>HYPERLINK("https://klasma.github.io/Logging_1382/tillsynsmail/A 33663-2026 tillsynsbegäran mail.docx", "A 33663-2026")</f>
        <v/>
      </c>
    </row>
    <row r="258" ht="15" customHeight="1">
      <c r="A258" t="inlineStr">
        <is>
          <t>S 1760-2022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44655</v>
      </c>
      <c r="E258" s="1" t="n">
        <v>46265</v>
      </c>
      <c r="F258" t="inlineStr">
        <is>
          <t>HALLANDS LÄN</t>
        </is>
      </c>
      <c r="G258" t="inlineStr">
        <is>
          <t>VARBERG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Ask</t>
        </is>
      </c>
      <c r="W258">
        <f>HYPERLINK("https://klasma.github.io/Logging_1383/artfynd/S 1760-2022 artfynd.xlsx", "S 1760-2022")</f>
        <v/>
      </c>
      <c r="X258">
        <f>HYPERLINK("https://klasma.github.io/Logging_1383/kartor/S 1760-2022 karta.png", "S 1760-2022")</f>
        <v/>
      </c>
      <c r="Y258">
        <f>HYPERLINK("https://klasma.github.io/Logging_1383/kartor_geotiff/S 1760-2022 georefererad karta.tif", "S 1760-2022")</f>
        <v/>
      </c>
      <c r="AA258">
        <f>HYPERLINK("https://klasma.github.io/Logging_1383/klagomål/S 1760-2022 FSC-klagomål.docx", "S 1760-2022")</f>
        <v/>
      </c>
      <c r="AB258">
        <f>HYPERLINK("https://klasma.github.io/Logging_1383/klagomålsmail/S 1760-2022 FSC-klagomål mail.docx", "S 1760-2022")</f>
        <v/>
      </c>
      <c r="AC258">
        <f>HYPERLINK("https://klasma.github.io/Logging_1383/tillsyn/S 1760-2022 tillsynsbegäran.docx", "S 1760-2022")</f>
        <v/>
      </c>
      <c r="AD258">
        <f>HYPERLINK("https://klasma.github.io/Logging_1383/tillsynsmail/S 1760-2022 tillsynsbegäran mail.docx", "S 1760-2022")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46265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46265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46265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46265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46265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46265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46265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46265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46265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46265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45324</v>
      </c>
      <c r="E269" s="1" t="n">
        <v>46265</v>
      </c>
      <c r="F269" t="inlineStr">
        <is>
          <t>HALLANDS LÄN</t>
        </is>
      </c>
      <c r="G269" t="inlineStr">
        <is>
          <t>VARBERG</t>
        </is>
      </c>
      <c r="I269" t="n">
        <v>18.7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Sparvuggla</t>
        </is>
      </c>
      <c r="W269">
        <f>HYPERLINK("https://klasma.github.io/Logging_1383/artfynd/S 295-2024 artfynd.xlsx", "S 295-2024")</f>
        <v/>
      </c>
      <c r="X269">
        <f>HYPERLINK("https://klasma.github.io/Logging_1383/kartor/S 295-2024 karta.png", "S 295-2024")</f>
        <v/>
      </c>
      <c r="Y269">
        <f>HYPERLINK("https://klasma.github.io/Logging_1383/kartor_geotiff/S 295-2024 georefererad karta.tif", "S 295-2024")</f>
        <v/>
      </c>
      <c r="AA269">
        <f>HYPERLINK("https://klasma.github.io/Logging_1383/klagomål/S 295-2024 FSC-klagomål.docx", "S 295-2024")</f>
        <v/>
      </c>
      <c r="AB269">
        <f>HYPERLINK("https://klasma.github.io/Logging_1383/klagomålsmail/S 295-2024 FSC-klagomål mail.docx", "S 295-2024")</f>
        <v/>
      </c>
      <c r="AC269">
        <f>HYPERLINK("https://klasma.github.io/Logging_1383/tillsyn/S 295-2024 tillsynsbegäran.docx", "S 295-2024")</f>
        <v/>
      </c>
      <c r="AD269">
        <f>HYPERLINK("https://klasma.github.io/Logging_1383/tillsynsmail/S 295-2024 tillsynsbegäran mail.docx", "S 295-2024")</f>
        <v/>
      </c>
      <c r="AE269">
        <f>HYPERLINK("https://klasma.github.io/Logging_1383/fåglar/S 295-2024 prioriterade fågelarter.docx", "S 295-2024")</f>
        <v/>
      </c>
    </row>
    <row r="270" ht="15" customHeight="1">
      <c r="A270" t="inlineStr">
        <is>
          <t>S 365-2024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45330</v>
      </c>
      <c r="E270" s="1" t="n">
        <v>46265</v>
      </c>
      <c r="F270" t="inlineStr">
        <is>
          <t>HALLANDS LÄN</t>
        </is>
      </c>
      <c r="G270" t="inlineStr">
        <is>
          <t>FALKENBERG</t>
        </is>
      </c>
      <c r="I270" t="n">
        <v>4.6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Nattskärra</t>
        </is>
      </c>
      <c r="W270">
        <f>HYPERLINK("https://klasma.github.io/Logging_1382/artfynd/S 365-2024 artfynd.xlsx", "S 365-2024")</f>
        <v/>
      </c>
      <c r="X270">
        <f>HYPERLINK("https://klasma.github.io/Logging_1382/kartor/S 365-2024 karta.png", "S 365-2024")</f>
        <v/>
      </c>
      <c r="Y270">
        <f>HYPERLINK("https://klasma.github.io/Logging_1382/kartor_geotiff/S 365-2024 georefererad karta.tif", "S 365-2024")</f>
        <v/>
      </c>
      <c r="AA270">
        <f>HYPERLINK("https://klasma.github.io/Logging_1382/klagomål/S 365-2024 FSC-klagomål.docx", "S 365-2024")</f>
        <v/>
      </c>
      <c r="AB270">
        <f>HYPERLINK("https://klasma.github.io/Logging_1382/klagomålsmail/S 365-2024 FSC-klagomål mail.docx", "S 365-2024")</f>
        <v/>
      </c>
      <c r="AC270">
        <f>HYPERLINK("https://klasma.github.io/Logging_1382/tillsyn/S 365-2024 tillsynsbegäran.docx", "S 365-2024")</f>
        <v/>
      </c>
      <c r="AD270">
        <f>HYPERLINK("https://klasma.github.io/Logging_1382/tillsynsmail/S 365-2024 tillsynsbegäran mail.docx", "S 365-2024")</f>
        <v/>
      </c>
      <c r="AE270">
        <f>HYPERLINK("https://klasma.github.io/Logging_1382/fåglar/S 365-2024 prioriterade fågelarter.docx", "S 365-2024")</f>
        <v/>
      </c>
    </row>
    <row r="271" ht="15" customHeight="1">
      <c r="A271" t="inlineStr">
        <is>
          <t>S 1120-2025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45754</v>
      </c>
      <c r="E271" s="1" t="n">
        <v>46265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HYPERLINK("https://klasma.github.io/Logging_1315/artfynd/S 1120-2025 artfynd.xlsx", "S 1120-2025")</f>
        <v/>
      </c>
      <c r="X271">
        <f>HYPERLINK("https://klasma.github.io/Logging_1315/kartor/S 1120-2025 karta.png", "S 1120-2025")</f>
        <v/>
      </c>
      <c r="Y271">
        <f>HYPERLINK("https://klasma.github.io/Logging_1315/kartor_geotiff/S 1120-2025 georefererad karta.tif", "S 1120-2025")</f>
        <v/>
      </c>
      <c r="AA271">
        <f>HYPERLINK("https://klasma.github.io/Logging_1315/klagomål/S 1120-2025 FSC-klagomål.docx", "S 1120-2025")</f>
        <v/>
      </c>
      <c r="AB271">
        <f>HYPERLINK("https://klasma.github.io/Logging_1315/klagomålsmail/S 1120-2025 FSC-klagomål mail.docx", "S 1120-2025")</f>
        <v/>
      </c>
      <c r="AC271">
        <f>HYPERLINK("https://klasma.github.io/Logging_1315/tillsyn/S 1120-2025 tillsynsbegäran.docx", "S 1120-2025")</f>
        <v/>
      </c>
      <c r="AD271">
        <f>HYPERLINK("https://klasma.github.io/Logging_1315/tillsynsmail/S 1120-2025 tillsynsbegäran mail.docx", "S 1120-2025")</f>
        <v/>
      </c>
    </row>
    <row r="272" ht="15" customHeight="1">
      <c r="A272" t="inlineStr">
        <is>
          <t>S 770-2025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45727</v>
      </c>
      <c r="E272" s="1" t="n">
        <v>46265</v>
      </c>
      <c r="F272" t="inlineStr">
        <is>
          <t>HALLANDS LÄN</t>
        </is>
      </c>
      <c r="G272" t="inlineStr">
        <is>
          <t>LAHOLM</t>
        </is>
      </c>
      <c r="I272" t="n">
        <v>31.1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Armadillidium opacum</t>
        </is>
      </c>
      <c r="W272">
        <f>HYPERLINK("https://klasma.github.io/Logging_1381/artfynd/S 770-2025 artfynd.xlsx", "S 770-2025")</f>
        <v/>
      </c>
      <c r="X272">
        <f>HYPERLINK("https://klasma.github.io/Logging_1381/kartor/S 770-2025 karta.png", "S 770-2025")</f>
        <v/>
      </c>
      <c r="Y272">
        <f>HYPERLINK("https://klasma.github.io/Logging_1381/kartor_geotiff/S 770-2025 georefererad karta.tif", "S 770-2025")</f>
        <v/>
      </c>
      <c r="AA272">
        <f>HYPERLINK("https://klasma.github.io/Logging_1381/klagomål/S 770-2025 FSC-klagomål.docx", "S 770-2025")</f>
        <v/>
      </c>
      <c r="AB272">
        <f>HYPERLINK("https://klasma.github.io/Logging_1381/klagomålsmail/S 770-2025 FSC-klagomål mail.docx", "S 770-2025")</f>
        <v/>
      </c>
      <c r="AC272">
        <f>HYPERLINK("https://klasma.github.io/Logging_1381/tillsyn/S 770-2025 tillsynsbegäran.docx", "S 770-2025")</f>
        <v/>
      </c>
      <c r="AD272">
        <f>HYPERLINK("https://klasma.github.io/Logging_1381/tillsynsmail/S 770-2025 tillsynsbegäran mail.docx", "S 770-2025")</f>
        <v/>
      </c>
    </row>
    <row r="273" ht="15" customHeight="1">
      <c r="A273" t="inlineStr">
        <is>
          <t>S 9701-2021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44526</v>
      </c>
      <c r="E273" s="1" t="n">
        <v>46265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Röd glada</t>
        </is>
      </c>
      <c r="W273">
        <f>HYPERLINK("https://klasma.github.io/Logging_1381/artfynd/S 9701-2021 artfynd.xlsx", "S 9701-2021")</f>
        <v/>
      </c>
      <c r="X273">
        <f>HYPERLINK("https://klasma.github.io/Logging_1381/kartor/S 9701-2021 karta.png", "S 9701-2021")</f>
        <v/>
      </c>
      <c r="Y273">
        <f>HYPERLINK("https://klasma.github.io/Logging_1381/kartor_geotiff/S 9701-2021 georefererad karta.tif", "S 9701-2021")</f>
        <v/>
      </c>
      <c r="AA273">
        <f>HYPERLINK("https://klasma.github.io/Logging_1381/klagomål/S 9701-2021 FSC-klagomål.docx", "S 9701-2021")</f>
        <v/>
      </c>
      <c r="AB273">
        <f>HYPERLINK("https://klasma.github.io/Logging_1381/klagomålsmail/S 9701-2021 FSC-klagomål mail.docx", "S 9701-2021")</f>
        <v/>
      </c>
      <c r="AC273">
        <f>HYPERLINK("https://klasma.github.io/Logging_1381/tillsyn/S 9701-2021 tillsynsbegäran.docx", "S 9701-2021")</f>
        <v/>
      </c>
      <c r="AD273">
        <f>HYPERLINK("https://klasma.github.io/Logging_1381/tillsynsmail/S 9701-2021 tillsynsbegäran mail.docx", "S 9701-2021")</f>
        <v/>
      </c>
      <c r="AE273">
        <f>HYPERLINK("https://klasma.github.io/Logging_1381/fåglar/S 9701-2021 prioriterade fågelarter.docx", "S 9701-2021")</f>
        <v/>
      </c>
    </row>
    <row r="274" ht="15" customHeight="1">
      <c r="A274" t="inlineStr">
        <is>
          <t>S 2301-2025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45880</v>
      </c>
      <c r="E274" s="1" t="n">
        <v>46265</v>
      </c>
      <c r="F274" t="inlineStr">
        <is>
          <t>HALLANDS LÄN</t>
        </is>
      </c>
      <c r="G274" t="inlineStr">
        <is>
          <t>LAHOLM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HYPERLINK("https://klasma.github.io/Logging_1381/artfynd/S 2301-2025 artfynd.xlsx", "S 2301-2025")</f>
        <v/>
      </c>
      <c r="X274">
        <f>HYPERLINK("https://klasma.github.io/Logging_1381/kartor/S 2301-2025 karta.png", "S 2301-2025")</f>
        <v/>
      </c>
      <c r="Y274">
        <f>HYPERLINK("https://klasma.github.io/Logging_1381/kartor_geotiff/S 2301-2025 georefererad karta.tif", "S 2301-2025")</f>
        <v/>
      </c>
      <c r="AA274">
        <f>HYPERLINK("https://klasma.github.io/Logging_1381/klagomål/S 2301-2025 FSC-klagomål.docx", "S 2301-2025")</f>
        <v/>
      </c>
      <c r="AB274">
        <f>HYPERLINK("https://klasma.github.io/Logging_1381/klagomålsmail/S 2301-2025 FSC-klagomål mail.docx", "S 2301-2025")</f>
        <v/>
      </c>
      <c r="AC274">
        <f>HYPERLINK("https://klasma.github.io/Logging_1381/tillsyn/S 2301-2025 tillsynsbegäran.docx", "S 2301-2025")</f>
        <v/>
      </c>
      <c r="AD274">
        <f>HYPERLINK("https://klasma.github.io/Logging_1381/tillsynsmail/S 2301-2025 tillsynsbegäran mail.docx", "S 2301-2025")</f>
        <v/>
      </c>
    </row>
    <row r="275" ht="15" customHeight="1">
      <c r="A275" t="inlineStr">
        <is>
          <t>S 2587-2025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45915</v>
      </c>
      <c r="E275" s="1" t="n">
        <v>46265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14.8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Lungrot</t>
        </is>
      </c>
      <c r="W275">
        <f>HYPERLINK("https://klasma.github.io/Logging_1380/artfynd/S 2587-2025 artfynd.xlsx", "S 2587-2025")</f>
        <v/>
      </c>
      <c r="X275">
        <f>HYPERLINK("https://klasma.github.io/Logging_1380/kartor/S 2587-2025 karta.png", "S 2587-2025")</f>
        <v/>
      </c>
      <c r="Y275">
        <f>HYPERLINK("https://klasma.github.io/Logging_1380/kartor_geotiff/S 2587-2025 georefererad karta.tif", "S 2587-2025")</f>
        <v/>
      </c>
      <c r="AA275">
        <f>HYPERLINK("https://klasma.github.io/Logging_1380/klagomål/S 2587-2025 FSC-klagomål.docx", "S 2587-2025")</f>
        <v/>
      </c>
      <c r="AB275">
        <f>HYPERLINK("https://klasma.github.io/Logging_1380/klagomålsmail/S 2587-2025 FSC-klagomål mail.docx", "S 2587-2025")</f>
        <v/>
      </c>
      <c r="AC275">
        <f>HYPERLINK("https://klasma.github.io/Logging_1380/tillsyn/S 2587-2025 tillsynsbegäran.docx", "S 2587-2025")</f>
        <v/>
      </c>
      <c r="AD275">
        <f>HYPERLINK("https://klasma.github.io/Logging_1380/tillsynsmail/S 2587-2025 tillsynsbegäran mail.docx", "S 2587-2025")</f>
        <v/>
      </c>
    </row>
    <row r="276" ht="15" customHeight="1">
      <c r="A276" t="inlineStr">
        <is>
          <t>S 2876-2025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45945</v>
      </c>
      <c r="E276" s="1" t="n">
        <v>46265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21</v>
      </c>
      <c r="U276" t="n">
        <v>0</v>
      </c>
      <c r="V276" s="2" t="inlineStr">
        <is>
          <t>Ask</t>
        </is>
      </c>
      <c r="W276">
        <f>HYPERLINK("https://klasma.github.io/Logging_1382/artfynd/S 2876-2025 artfynd.xlsx", "S 2876-2025")</f>
        <v/>
      </c>
      <c r="X276">
        <f>HYPERLINK("https://klasma.github.io/Logging_1382/kartor/S 2876-2025 karta.png", "S 2876-2025")</f>
        <v/>
      </c>
      <c r="Y276">
        <f>HYPERLINK("https://klasma.github.io/Logging_1382/kartor_geotiff/S 2876-2025 georefererad karta.tif", "S 2876-2025")</f>
        <v/>
      </c>
      <c r="AA276">
        <f>HYPERLINK("https://klasma.github.io/Logging_1382/klagomål/S 2876-2025 FSC-klagomål.docx", "S 2876-2025")</f>
        <v/>
      </c>
      <c r="AB276">
        <f>HYPERLINK("https://klasma.github.io/Logging_1382/klagomålsmail/S 2876-2025 FSC-klagomål mail.docx", "S 2876-2025")</f>
        <v/>
      </c>
      <c r="AC276">
        <f>HYPERLINK("https://klasma.github.io/Logging_1382/tillsyn/S 2876-2025 tillsynsbegäran.docx", "S 2876-2025")</f>
        <v/>
      </c>
      <c r="AD276">
        <f>HYPERLINK("https://klasma.github.io/Logging_1382/tillsynsmail/S 2876-2025 tillsynsbegäran mail.docx", "S 2876-2025")</f>
        <v/>
      </c>
    </row>
    <row r="277" ht="15" customHeight="1">
      <c r="A277" t="inlineStr">
        <is>
          <t>S 324-2026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46062</v>
      </c>
      <c r="E277" s="1" t="n">
        <v>46265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Skogsalm</t>
        </is>
      </c>
      <c r="W277">
        <f>HYPERLINK("https://klasma.github.io/Logging_1381/artfynd/S 324-2026 artfynd.xlsx", "S 324-2026")</f>
        <v/>
      </c>
      <c r="X277">
        <f>HYPERLINK("https://klasma.github.io/Logging_1381/kartor/S 324-2026 karta.png", "S 324-2026")</f>
        <v/>
      </c>
      <c r="Y277">
        <f>HYPERLINK("https://klasma.github.io/Logging_1381/kartor_geotiff/S 324-2026 georefererad karta.tif", "S 324-2026")</f>
        <v/>
      </c>
      <c r="AA277">
        <f>HYPERLINK("https://klasma.github.io/Logging_1381/klagomål/S 324-2026 FSC-klagomål.docx", "S 324-2026")</f>
        <v/>
      </c>
      <c r="AB277">
        <f>HYPERLINK("https://klasma.github.io/Logging_1381/klagomålsmail/S 324-2026 FSC-klagomål mail.docx", "S 324-2026")</f>
        <v/>
      </c>
      <c r="AC277">
        <f>HYPERLINK("https://klasma.github.io/Logging_1381/tillsyn/S 324-2026 tillsynsbegäran.docx", "S 324-2026")</f>
        <v/>
      </c>
      <c r="AD277">
        <f>HYPERLINK("https://klasma.github.io/Logging_1381/tillsynsmail/S 324-2026 tillsynsbegäran mail.docx", "S 324-2026")</f>
        <v/>
      </c>
    </row>
    <row r="278" ht="15" customHeight="1">
      <c r="A278" t="inlineStr">
        <is>
          <t>S 781-2026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46099</v>
      </c>
      <c r="E278" s="1" t="n">
        <v>46265</v>
      </c>
      <c r="F278" t="inlineStr">
        <is>
          <t>HALLANDS LÄN</t>
        </is>
      </c>
      <c r="G278" t="inlineStr">
        <is>
          <t>FALKENBERG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4</v>
      </c>
      <c r="U278" t="n">
        <v>0</v>
      </c>
      <c r="V278" s="2" t="inlineStr">
        <is>
          <t>Ask</t>
        </is>
      </c>
      <c r="W278">
        <f>HYPERLINK("https://klasma.github.io/Logging_1382/artfynd/S 781-2026 artfynd.xlsx", "S 781-2026")</f>
        <v/>
      </c>
      <c r="X278">
        <f>HYPERLINK("https://klasma.github.io/Logging_1382/kartor/S 781-2026 karta.png", "S 781-2026")</f>
        <v/>
      </c>
      <c r="Y278">
        <f>HYPERLINK("https://klasma.github.io/Logging_1382/kartor_geotiff/S 781-2026 georefererad karta.tif", "S 781-2026")</f>
        <v/>
      </c>
      <c r="AA278">
        <f>HYPERLINK("https://klasma.github.io/Logging_1382/klagomål/S 781-2026 FSC-klagomål.docx", "S 781-2026")</f>
        <v/>
      </c>
      <c r="AB278">
        <f>HYPERLINK("https://klasma.github.io/Logging_1382/klagomålsmail/S 781-2026 FSC-klagomål mail.docx", "S 781-2026")</f>
        <v/>
      </c>
      <c r="AC278">
        <f>HYPERLINK("https://klasma.github.io/Logging_1382/tillsyn/S 781-2026 tillsynsbegäran.docx", "S 781-2026")</f>
        <v/>
      </c>
      <c r="AD278">
        <f>HYPERLINK("https://klasma.github.io/Logging_1382/tillsynsmail/S 781-2026 tillsynsbegäran mail.docx", "S 781-2026")</f>
        <v/>
      </c>
    </row>
    <row r="279" ht="15" customHeight="1">
      <c r="A279" t="inlineStr">
        <is>
          <t>S 1001-2026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46120</v>
      </c>
      <c r="E279" s="1" t="n">
        <v>46265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Öring</t>
        </is>
      </c>
      <c r="W279">
        <f>HYPERLINK("https://klasma.github.io/Logging_1381/artfynd/S 1001-2026 artfynd.xlsx", "S 1001-2026")</f>
        <v/>
      </c>
      <c r="X279">
        <f>HYPERLINK("https://klasma.github.io/Logging_1381/kartor/S 1001-2026 karta.png", "S 1001-2026")</f>
        <v/>
      </c>
      <c r="Y279">
        <f>HYPERLINK("https://klasma.github.io/Logging_1381/kartor_geotiff/S 1001-2026 georefererad karta.tif", "S 1001-2026")</f>
        <v/>
      </c>
      <c r="AA279">
        <f>HYPERLINK("https://klasma.github.io/Logging_1381/klagomål/S 1001-2026 FSC-klagomål.docx", "S 1001-2026")</f>
        <v/>
      </c>
      <c r="AB279">
        <f>HYPERLINK("https://klasma.github.io/Logging_1381/klagomålsmail/S 1001-2026 FSC-klagomål mail.docx", "S 1001-2026")</f>
        <v/>
      </c>
      <c r="AC279">
        <f>HYPERLINK("https://klasma.github.io/Logging_1381/tillsyn/S 1001-2026 tillsynsbegäran.docx", "S 1001-2026")</f>
        <v/>
      </c>
      <c r="AD279">
        <f>HYPERLINK("https://klasma.github.io/Logging_1381/tillsynsmail/S 1001-2026 tillsynsbegäran mail.docx", "S 1001-2026")</f>
        <v/>
      </c>
    </row>
    <row r="280" ht="15" customHeight="1">
      <c r="A280" t="inlineStr">
        <is>
          <t>S 1115-2026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46134</v>
      </c>
      <c r="E280" s="1" t="n">
        <v>46265</v>
      </c>
      <c r="F280" t="inlineStr">
        <is>
          <t>HALLANDS LÄN</t>
        </is>
      </c>
      <c r="G280" t="inlineStr">
        <is>
          <t>LAHOLM</t>
        </is>
      </c>
      <c r="I280" t="n">
        <v>20.2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Gröngöling</t>
        </is>
      </c>
      <c r="W280">
        <f>HYPERLINK("https://klasma.github.io/Logging_1381/artfynd/S 1115-2026 artfynd.xlsx", "S 1115-2026")</f>
        <v/>
      </c>
      <c r="X280">
        <f>HYPERLINK("https://klasma.github.io/Logging_1381/kartor/S 1115-2026 karta.png", "S 1115-2026")</f>
        <v/>
      </c>
      <c r="Y280">
        <f>HYPERLINK("https://klasma.github.io/Logging_1381/kartor_geotiff/S 1115-2026 georefererad karta.tif", "S 1115-2026")</f>
        <v/>
      </c>
      <c r="AA280">
        <f>HYPERLINK("https://klasma.github.io/Logging_1381/klagomål/S 1115-2026 FSC-klagomål.docx", "S 1115-2026")</f>
        <v/>
      </c>
      <c r="AB280">
        <f>HYPERLINK("https://klasma.github.io/Logging_1381/klagomålsmail/S 1115-2026 FSC-klagomål mail.docx", "S 1115-2026")</f>
        <v/>
      </c>
      <c r="AC280">
        <f>HYPERLINK("https://klasma.github.io/Logging_1381/tillsyn/S 1115-2026 tillsynsbegäran.docx", "S 1115-2026")</f>
        <v/>
      </c>
      <c r="AD280">
        <f>HYPERLINK("https://klasma.github.io/Logging_1381/tillsynsmail/S 1115-2026 tillsynsbegäran mail.docx", "S 1115-2026")</f>
        <v/>
      </c>
    </row>
    <row r="281" ht="15" customHeight="1">
      <c r="A281" t="inlineStr">
        <is>
          <t>S 1213-2026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46141</v>
      </c>
      <c r="E281" s="1" t="n">
        <v>46265</v>
      </c>
      <c r="F281" t="inlineStr">
        <is>
          <t>HALLANDS LÄN</t>
        </is>
      </c>
      <c r="G281" t="inlineStr">
        <is>
          <t>HALMSTAD</t>
        </is>
      </c>
      <c r="I281" t="n">
        <v>50.7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Borsttåg</t>
        </is>
      </c>
      <c r="W281">
        <f>HYPERLINK("https://klasma.github.io/Logging_1380/artfynd/S 1213-2026 artfynd.xlsx", "S 1213-2026")</f>
        <v/>
      </c>
      <c r="X281">
        <f>HYPERLINK("https://klasma.github.io/Logging_1380/kartor/S 1213-2026 karta.png", "S 1213-2026")</f>
        <v/>
      </c>
      <c r="Y281">
        <f>HYPERLINK("https://klasma.github.io/Logging_1380/kartor_geotiff/S 1213-2026 georefererad karta.tif", "S 1213-2026")</f>
        <v/>
      </c>
      <c r="AA281">
        <f>HYPERLINK("https://klasma.github.io/Logging_1380/klagomål/S 1213-2026 FSC-klagomål.docx", "S 1213-2026")</f>
        <v/>
      </c>
      <c r="AB281">
        <f>HYPERLINK("https://klasma.github.io/Logging_1380/klagomålsmail/S 1213-2026 FSC-klagomål mail.docx", "S 1213-2026")</f>
        <v/>
      </c>
      <c r="AC281">
        <f>HYPERLINK("https://klasma.github.io/Logging_1380/tillsyn/S 1213-2026 tillsynsbegäran.docx", "S 1213-2026")</f>
        <v/>
      </c>
      <c r="AD281">
        <f>HYPERLINK("https://klasma.github.io/Logging_1380/tillsynsmail/S 1213-2026 tillsynsbegäran mail.docx", "S 1213-2026")</f>
        <v/>
      </c>
    </row>
    <row r="282" ht="15" customHeight="1">
      <c r="A282" t="inlineStr">
        <is>
          <t>S 2184-2026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46253</v>
      </c>
      <c r="E282" s="1" t="n">
        <v>46265</v>
      </c>
      <c r="F282" t="inlineStr">
        <is>
          <t>HALLANDS LÄN</t>
        </is>
      </c>
      <c r="G282" t="inlineStr">
        <is>
          <t>HYLTE</t>
        </is>
      </c>
      <c r="H282" t="inlineStr">
        <is>
          <t>Bergvik skog väst AB</t>
        </is>
      </c>
      <c r="I282" t="n">
        <v>29.6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Hasselmus</t>
        </is>
      </c>
      <c r="W282">
        <f>HYPERLINK("https://klasma.github.io/Logging_1315/artfynd/S 2184-2026 artfynd.xlsx", "S 2184-2026")</f>
        <v/>
      </c>
      <c r="X282">
        <f>HYPERLINK("https://klasma.github.io/Logging_1315/kartor/S 2184-2026 karta.png", "S 2184-2026")</f>
        <v/>
      </c>
      <c r="Y282">
        <f>HYPERLINK("https://klasma.github.io/Logging_1315/kartor_geotiff/S 2184-2026 georefererad karta.tif", "S 2184-2026")</f>
        <v/>
      </c>
      <c r="AA282">
        <f>HYPERLINK("https://klasma.github.io/Logging_1315/klagomål/S 2184-2026 FSC-klagomål.docx", "S 2184-2026")</f>
        <v/>
      </c>
      <c r="AB282">
        <f>HYPERLINK("https://klasma.github.io/Logging_1315/klagomålsmail/S 2184-2026 FSC-klagomål mail.docx", "S 2184-2026")</f>
        <v/>
      </c>
      <c r="AC282">
        <f>HYPERLINK("https://klasma.github.io/Logging_1315/tillsyn/S 2184-2026 tillsynsbegäran.docx", "S 2184-2026")</f>
        <v/>
      </c>
      <c r="AD282">
        <f>HYPERLINK("https://klasma.github.io/Logging_1315/tillsynsmail/S 2184-2026 tillsynsbegäran mail.docx", "S 2184-2026")</f>
        <v/>
      </c>
    </row>
    <row r="283" ht="15" customHeight="1">
      <c r="A283" t="inlineStr">
        <is>
          <t>A 29839-2022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46265</v>
      </c>
      <c r="F283" t="inlineStr">
        <is>
          <t>HALLANDS LÄN</t>
        </is>
      </c>
      <c r="G283" t="inlineStr">
        <is>
          <t>HALMSTAD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46265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46265</v>
      </c>
      <c r="F285" t="inlineStr">
        <is>
          <t>HALLANDS LÄN</t>
        </is>
      </c>
      <c r="G285" t="inlineStr">
        <is>
          <t>KUNGSBACKA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46265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46265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46265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46265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46265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46265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46265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46265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46265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46265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46265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46101-2021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44442</v>
      </c>
      <c r="E297" s="1" t="n">
        <v>46265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46265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46265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49390-2021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44454</v>
      </c>
      <c r="E300" s="1" t="n">
        <v>46265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70634-2021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44537</v>
      </c>
      <c r="E301" s="1" t="n">
        <v>46265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46265</v>
      </c>
      <c r="F302" t="inlineStr">
        <is>
          <t>HALLANDS LÄN</t>
        </is>
      </c>
      <c r="G302" t="inlineStr">
        <is>
          <t>HYLTE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68652-2021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44529</v>
      </c>
      <c r="E303" s="1" t="n">
        <v>46265</v>
      </c>
      <c r="F303" t="inlineStr">
        <is>
          <t>HALLANDS LÄN</t>
        </is>
      </c>
      <c r="G303" t="inlineStr">
        <is>
          <t>HYLTE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44557</v>
      </c>
      <c r="E304" s="1" t="n">
        <v>46265</v>
      </c>
      <c r="F304" t="inlineStr">
        <is>
          <t>HALLANDS LÄN</t>
        </is>
      </c>
      <c r="G304" t="inlineStr">
        <is>
          <t>HYLTE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46265</v>
      </c>
      <c r="F305" t="inlineStr">
        <is>
          <t>HALLANDS LÄN</t>
        </is>
      </c>
      <c r="G305" t="inlineStr">
        <is>
          <t>FALKENBERG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46265</v>
      </c>
      <c r="F306" t="inlineStr">
        <is>
          <t>HALLANDS LÄN</t>
        </is>
      </c>
      <c r="G306" t="inlineStr">
        <is>
          <t>VARBERG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17067-2022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44677</v>
      </c>
      <c r="E307" s="1" t="n">
        <v>46265</v>
      </c>
      <c r="F307" t="inlineStr">
        <is>
          <t>HALLANDS LÄN</t>
        </is>
      </c>
      <c r="G307" t="inlineStr">
        <is>
          <t>HALMSTAD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44796</v>
      </c>
      <c r="E308" s="1" t="n">
        <v>46265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46465-2021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44445</v>
      </c>
      <c r="E309" s="1" t="n">
        <v>46265</v>
      </c>
      <c r="F309" t="inlineStr">
        <is>
          <t>HALLANDS LÄN</t>
        </is>
      </c>
      <c r="G309" t="inlineStr">
        <is>
          <t>HALMSTAD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51295-2021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44461</v>
      </c>
      <c r="E310" s="1" t="n">
        <v>46265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46265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57437-2021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44483</v>
      </c>
      <c r="E312" s="1" t="n">
        <v>46265</v>
      </c>
      <c r="F312" t="inlineStr">
        <is>
          <t>HALLANDS LÄN</t>
        </is>
      </c>
      <c r="G312" t="inlineStr">
        <is>
          <t>HYLTE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54342-2021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46265</v>
      </c>
      <c r="F313" t="inlineStr">
        <is>
          <t>HALLANDS LÄN</t>
        </is>
      </c>
      <c r="G313" t="inlineStr">
        <is>
          <t>VARBERG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51054-2022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44868</v>
      </c>
      <c r="E314" s="1" t="n">
        <v>46265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46265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46265</v>
      </c>
      <c r="F316" t="inlineStr">
        <is>
          <t>HALLANDS LÄN</t>
        </is>
      </c>
      <c r="G316" t="inlineStr">
        <is>
          <t>HYLTE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46265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58499-2021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44488</v>
      </c>
      <c r="E318" s="1" t="n">
        <v>46265</v>
      </c>
      <c r="F318" t="inlineStr">
        <is>
          <t>HALLANDS LÄN</t>
        </is>
      </c>
      <c r="G318" t="inlineStr">
        <is>
          <t>HYLTE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46265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46265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46265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44873</v>
      </c>
      <c r="E322" s="1" t="n">
        <v>46265</v>
      </c>
      <c r="F322" t="inlineStr">
        <is>
          <t>HALLANDS LÄN</t>
        </is>
      </c>
      <c r="G322" t="inlineStr">
        <is>
          <t>LAHOLM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46265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46265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46265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44812</v>
      </c>
      <c r="E326" s="1" t="n">
        <v>46265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46265</v>
      </c>
      <c r="F327" t="inlineStr">
        <is>
          <t>HALLANDS LÄN</t>
        </is>
      </c>
      <c r="G327" t="inlineStr">
        <is>
          <t>HYLTE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46265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44466</v>
      </c>
      <c r="E329" s="1" t="n">
        <v>46265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47763-2021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44448</v>
      </c>
      <c r="E330" s="1" t="n">
        <v>46265</v>
      </c>
      <c r="F330" t="inlineStr">
        <is>
          <t>HALLANDS LÄN</t>
        </is>
      </c>
      <c r="G330" t="inlineStr">
        <is>
          <t>FALKENBERG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44680</v>
      </c>
      <c r="E331" s="1" t="n">
        <v>46265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61226-2021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44498</v>
      </c>
      <c r="E332" s="1" t="n">
        <v>46265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44600</v>
      </c>
      <c r="E333" s="1" t="n">
        <v>46265</v>
      </c>
      <c r="F333" t="inlineStr">
        <is>
          <t>HALLANDS LÄN</t>
        </is>
      </c>
      <c r="G333" t="inlineStr">
        <is>
          <t>FALKENBERG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44845</v>
      </c>
      <c r="E334" s="1" t="n">
        <v>46265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44868</v>
      </c>
      <c r="E335" s="1" t="n">
        <v>46265</v>
      </c>
      <c r="F335" t="inlineStr">
        <is>
          <t>HALLANDS LÄN</t>
        </is>
      </c>
      <c r="G335" t="inlineStr">
        <is>
          <t>FALKENBERG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63613-2021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44509</v>
      </c>
      <c r="E336" s="1" t="n">
        <v>46265</v>
      </c>
      <c r="F336" t="inlineStr">
        <is>
          <t>HALLANDS LÄN</t>
        </is>
      </c>
      <c r="G336" t="inlineStr">
        <is>
          <t>VARBERG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44575</v>
      </c>
      <c r="E337" s="1" t="n">
        <v>46265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65528-2021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44516</v>
      </c>
      <c r="E338" s="1" t="n">
        <v>46265</v>
      </c>
      <c r="F338" t="inlineStr">
        <is>
          <t>HALLANDS LÄN</t>
        </is>
      </c>
      <c r="G338" t="inlineStr">
        <is>
          <t>HALMSTAD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70731-2021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44537</v>
      </c>
      <c r="E339" s="1" t="n">
        <v>46265</v>
      </c>
      <c r="F339" t="inlineStr">
        <is>
          <t>HALLANDS LÄN</t>
        </is>
      </c>
      <c r="G339" t="inlineStr">
        <is>
          <t>HALMSTAD</t>
        </is>
      </c>
      <c r="H339" t="inlineStr">
        <is>
          <t>Kyrkan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38804-2022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44816</v>
      </c>
      <c r="E340" s="1" t="n">
        <v>46265</v>
      </c>
      <c r="F340" t="inlineStr">
        <is>
          <t>HALLANDS LÄN</t>
        </is>
      </c>
      <c r="G340" t="inlineStr">
        <is>
          <t>FALKENBERG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46265</v>
      </c>
      <c r="F341" t="inlineStr">
        <is>
          <t>HALLANDS LÄN</t>
        </is>
      </c>
      <c r="G341" t="inlineStr">
        <is>
          <t>FALKENBERG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49697-2022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44862</v>
      </c>
      <c r="E342" s="1" t="n">
        <v>46265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18774-2022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44689</v>
      </c>
      <c r="E343" s="1" t="n">
        <v>46265</v>
      </c>
      <c r="F343" t="inlineStr">
        <is>
          <t>HALLANDS LÄN</t>
        </is>
      </c>
      <c r="G343" t="inlineStr">
        <is>
          <t>FALKENBERG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46265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62059-2021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44504</v>
      </c>
      <c r="E345" s="1" t="n">
        <v>46265</v>
      </c>
      <c r="F345" t="inlineStr">
        <is>
          <t>HALLANDS LÄN</t>
        </is>
      </c>
      <c r="G345" t="inlineStr">
        <is>
          <t>VARBERG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57267-2021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44483</v>
      </c>
      <c r="E346" s="1" t="n">
        <v>46265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74365-2021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44559</v>
      </c>
      <c r="E347" s="1" t="n">
        <v>46265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44578</v>
      </c>
      <c r="E348" s="1" t="n">
        <v>46265</v>
      </c>
      <c r="F348" t="inlineStr">
        <is>
          <t>HALLANDS LÄN</t>
        </is>
      </c>
      <c r="G348" t="inlineStr">
        <is>
          <t>HYLTE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46265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46265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44581</v>
      </c>
      <c r="E351" s="1" t="n">
        <v>46265</v>
      </c>
      <c r="F351" t="inlineStr">
        <is>
          <t>HALLANDS LÄN</t>
        </is>
      </c>
      <c r="G351" t="inlineStr">
        <is>
          <t>VARBERG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70335-2021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46265</v>
      </c>
      <c r="F352" t="inlineStr">
        <is>
          <t>HALLANDS LÄN</t>
        </is>
      </c>
      <c r="G352" t="inlineStr">
        <is>
          <t>HALMSTAD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9364-2022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46265</v>
      </c>
      <c r="F353" t="inlineStr">
        <is>
          <t>HALLANDS LÄN</t>
        </is>
      </c>
      <c r="G353" t="inlineStr">
        <is>
          <t>FALKENBERG</t>
        </is>
      </c>
      <c r="H353" t="inlineStr">
        <is>
          <t>Kommuner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17395-2022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44678</v>
      </c>
      <c r="E354" s="1" t="n">
        <v>46265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51285-2022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44868</v>
      </c>
      <c r="E355" s="1" t="n">
        <v>46265</v>
      </c>
      <c r="F355" t="inlineStr">
        <is>
          <t>HALLANDS LÄN</t>
        </is>
      </c>
      <c r="G355" t="inlineStr">
        <is>
          <t>VARBERG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69587-2021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46265</v>
      </c>
      <c r="F356" t="inlineStr">
        <is>
          <t>HALLANDS LÄN</t>
        </is>
      </c>
      <c r="G356" t="inlineStr">
        <is>
          <t>LAHOLM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46265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44834</v>
      </c>
      <c r="E358" s="1" t="n">
        <v>46265</v>
      </c>
      <c r="F358" t="inlineStr">
        <is>
          <t>HALLANDS LÄN</t>
        </is>
      </c>
      <c r="G358" t="inlineStr">
        <is>
          <t>VARBERG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9323-2022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44616</v>
      </c>
      <c r="E359" s="1" t="n">
        <v>46265</v>
      </c>
      <c r="F359" t="inlineStr">
        <is>
          <t>HALLANDS LÄN</t>
        </is>
      </c>
      <c r="G359" t="inlineStr">
        <is>
          <t>FALKENBERG</t>
        </is>
      </c>
      <c r="H359" t="inlineStr">
        <is>
          <t>Kommuner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46265</v>
      </c>
      <c r="F360" t="inlineStr">
        <is>
          <t>HALLANDS LÄN</t>
        </is>
      </c>
      <c r="G360" t="inlineStr">
        <is>
          <t>KUNGSBACKA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46265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46265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51535-2021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44462</v>
      </c>
      <c r="E363" s="1" t="n">
        <v>46265</v>
      </c>
      <c r="F363" t="inlineStr">
        <is>
          <t>HALLANDS LÄN</t>
        </is>
      </c>
      <c r="G363" t="inlineStr">
        <is>
          <t>KUNGSBACKA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46265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61681-2021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46265</v>
      </c>
      <c r="F365" t="inlineStr">
        <is>
          <t>HALLANDS LÄN</t>
        </is>
      </c>
      <c r="G365" t="inlineStr">
        <is>
          <t>HYLTE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44872</v>
      </c>
      <c r="E366" s="1" t="n">
        <v>46265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72906-2021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44547</v>
      </c>
      <c r="E367" s="1" t="n">
        <v>46265</v>
      </c>
      <c r="F367" t="inlineStr">
        <is>
          <t>HALLANDS LÄN</t>
        </is>
      </c>
      <c r="G367" t="inlineStr">
        <is>
          <t>FALKENBERG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44599</v>
      </c>
      <c r="E368" s="1" t="n">
        <v>46265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46265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46265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46265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46265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46265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46265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46265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46265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46265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66395-2021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44518</v>
      </c>
      <c r="E378" s="1" t="n">
        <v>46265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46265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46265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70834-2021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44538</v>
      </c>
      <c r="E381" s="1" t="n">
        <v>46265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46265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46265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46265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46265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46265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46265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46265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46265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46265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46265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11088-2022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44628</v>
      </c>
      <c r="E392" s="1" t="n">
        <v>46265</v>
      </c>
      <c r="F392" t="inlineStr">
        <is>
          <t>HALLANDS LÄN</t>
        </is>
      </c>
      <c r="G392" t="inlineStr">
        <is>
          <t>HALMSTAD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46265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46265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46265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44600</v>
      </c>
      <c r="E396" s="1" t="n">
        <v>46265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44649</v>
      </c>
      <c r="E397" s="1" t="n">
        <v>46265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46265</v>
      </c>
      <c r="F398" t="inlineStr">
        <is>
          <t>HALLANDS LÄN</t>
        </is>
      </c>
      <c r="G398" t="inlineStr">
        <is>
          <t>KUNGSBACKA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57327-2021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46265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46265</v>
      </c>
      <c r="F400" t="inlineStr">
        <is>
          <t>HALLANDS LÄN</t>
        </is>
      </c>
      <c r="G400" t="inlineStr">
        <is>
          <t>LAHOLM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58836-2021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44489</v>
      </c>
      <c r="E401" s="1" t="n">
        <v>46265</v>
      </c>
      <c r="F401" t="inlineStr">
        <is>
          <t>HALLANDS LÄN</t>
        </is>
      </c>
      <c r="G401" t="inlineStr">
        <is>
          <t>HYLTE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46265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71711-2021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46265</v>
      </c>
      <c r="F403" t="inlineStr">
        <is>
          <t>HALLANDS LÄN</t>
        </is>
      </c>
      <c r="G403" t="inlineStr">
        <is>
          <t>FALKENBERG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71765-2021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46265</v>
      </c>
      <c r="F404" t="inlineStr">
        <is>
          <t>HALLANDS LÄN</t>
        </is>
      </c>
      <c r="G404" t="inlineStr">
        <is>
          <t>FALKENBERG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46265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46265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14991-2022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46265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46265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46265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46265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44841</v>
      </c>
      <c r="E411" s="1" t="n">
        <v>46265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72468-2021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44545</v>
      </c>
      <c r="E412" s="1" t="n">
        <v>46265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46905-2021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44446</v>
      </c>
      <c r="E413" s="1" t="n">
        <v>46265</v>
      </c>
      <c r="F413" t="inlineStr">
        <is>
          <t>HALLANDS LÄN</t>
        </is>
      </c>
      <c r="G413" t="inlineStr">
        <is>
          <t>FALKENBERG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46265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46265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46265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46265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46265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46265</v>
      </c>
      <c r="F419" t="inlineStr">
        <is>
          <t>HALLANDS LÄN</t>
        </is>
      </c>
      <c r="G419" t="inlineStr">
        <is>
          <t>LAHOLM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44466</v>
      </c>
      <c r="E420" s="1" t="n">
        <v>46265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46265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46265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44699</v>
      </c>
      <c r="E423" s="1" t="n">
        <v>46265</v>
      </c>
      <c r="F423" t="inlineStr">
        <is>
          <t>HALLANDS LÄN</t>
        </is>
      </c>
      <c r="G423" t="inlineStr">
        <is>
          <t>VARBERG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44719</v>
      </c>
      <c r="E424" s="1" t="n">
        <v>46265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44469</v>
      </c>
      <c r="E425" s="1" t="n">
        <v>46265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46265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46265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46265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46265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46265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46265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46265</v>
      </c>
      <c r="F432" t="inlineStr">
        <is>
          <t>HALLANDS LÄN</t>
        </is>
      </c>
      <c r="G432" t="inlineStr">
        <is>
          <t>VARBERG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11567-2022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44631</v>
      </c>
      <c r="E433" s="1" t="n">
        <v>46265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53268-2022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44876</v>
      </c>
      <c r="E434" s="1" t="n">
        <v>46265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44659</v>
      </c>
      <c r="E435" s="1" t="n">
        <v>46265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44593</v>
      </c>
      <c r="E436" s="1" t="n">
        <v>46265</v>
      </c>
      <c r="F436" t="inlineStr">
        <is>
          <t>HALLANDS LÄN</t>
        </is>
      </c>
      <c r="G436" t="inlineStr">
        <is>
          <t>FALKENBERG</t>
        </is>
      </c>
      <c r="H436" t="inlineStr">
        <is>
          <t>Kyrkan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52772-2021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44467</v>
      </c>
      <c r="E437" s="1" t="n">
        <v>46265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46265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44767</v>
      </c>
      <c r="E439" s="1" t="n">
        <v>46265</v>
      </c>
      <c r="F439" t="inlineStr">
        <is>
          <t>HALLANDS LÄN</t>
        </is>
      </c>
      <c r="G439" t="inlineStr">
        <is>
          <t>KUNGSBACKA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65342-2021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44515</v>
      </c>
      <c r="E440" s="1" t="n">
        <v>46265</v>
      </c>
      <c r="F440" t="inlineStr">
        <is>
          <t>HALLANDS LÄN</t>
        </is>
      </c>
      <c r="G440" t="inlineStr">
        <is>
          <t>HYLTE</t>
        </is>
      </c>
      <c r="H440" t="inlineStr">
        <is>
          <t>Bergvik skog väst AB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70607-2021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44537</v>
      </c>
      <c r="E441" s="1" t="n">
        <v>46265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52771-2021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46265</v>
      </c>
      <c r="F442" t="inlineStr">
        <is>
          <t>HALLANDS LÄN</t>
        </is>
      </c>
      <c r="G442" t="inlineStr">
        <is>
          <t>FALKENBERG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53076-2021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46265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32049-2022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44778</v>
      </c>
      <c r="E444" s="1" t="n">
        <v>46265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59576-2021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46265</v>
      </c>
      <c r="F445" t="inlineStr">
        <is>
          <t>HALLANDS LÄN</t>
        </is>
      </c>
      <c r="G445" t="inlineStr">
        <is>
          <t>LAHOLM</t>
        </is>
      </c>
      <c r="H445" t="inlineStr">
        <is>
          <t>Övriga statliga verk och myndigheter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48126-2021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44449</v>
      </c>
      <c r="E446" s="1" t="n">
        <v>46265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46265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44865</v>
      </c>
      <c r="E448" s="1" t="n">
        <v>46265</v>
      </c>
      <c r="F448" t="inlineStr">
        <is>
          <t>HALLANDS LÄN</t>
        </is>
      </c>
      <c r="G448" t="inlineStr">
        <is>
          <t>HALMSTAD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46265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44482</v>
      </c>
      <c r="E450" s="1" t="n">
        <v>46265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46265</v>
      </c>
      <c r="F451" t="inlineStr">
        <is>
          <t>HALLANDS LÄN</t>
        </is>
      </c>
      <c r="G451" t="inlineStr">
        <is>
          <t>KUNGSBACKA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70897-2021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44538</v>
      </c>
      <c r="E452" s="1" t="n">
        <v>46265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46265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44867</v>
      </c>
      <c r="E454" s="1" t="n">
        <v>46265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44803</v>
      </c>
      <c r="E455" s="1" t="n">
        <v>46265</v>
      </c>
      <c r="F455" t="inlineStr">
        <is>
          <t>HALLANDS LÄN</t>
        </is>
      </c>
      <c r="G455" t="inlineStr">
        <is>
          <t>FALKENBERG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52358-2022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44874</v>
      </c>
      <c r="E456" s="1" t="n">
        <v>46265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63107-2021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44505</v>
      </c>
      <c r="E457" s="1" t="n">
        <v>46265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8902-2022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44614</v>
      </c>
      <c r="E458" s="1" t="n">
        <v>46265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44634</v>
      </c>
      <c r="E459" s="1" t="n">
        <v>46265</v>
      </c>
      <c r="F459" t="inlineStr">
        <is>
          <t>HALLANDS LÄN</t>
        </is>
      </c>
      <c r="G459" t="inlineStr">
        <is>
          <t>HYLTE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63966-2021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44509</v>
      </c>
      <c r="E460" s="1" t="n">
        <v>46265</v>
      </c>
      <c r="F460" t="inlineStr">
        <is>
          <t>HALLANDS LÄN</t>
        </is>
      </c>
      <c r="G460" t="inlineStr">
        <is>
          <t>KUNGSBACKA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28922-2022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44749</v>
      </c>
      <c r="E461" s="1" t="n">
        <v>46265</v>
      </c>
      <c r="F461" t="inlineStr">
        <is>
          <t>HALLANDS LÄN</t>
        </is>
      </c>
      <c r="G461" t="inlineStr">
        <is>
          <t>LAHOLM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70724-2021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44537</v>
      </c>
      <c r="E462" s="1" t="n">
        <v>46265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44596</v>
      </c>
      <c r="E463" s="1" t="n">
        <v>46265</v>
      </c>
      <c r="F463" t="inlineStr">
        <is>
          <t>HALLANDS LÄN</t>
        </is>
      </c>
      <c r="G463" t="inlineStr">
        <is>
          <t>FALKENBERG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18214-2022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44685</v>
      </c>
      <c r="E464" s="1" t="n">
        <v>46265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18078-2022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44684</v>
      </c>
      <c r="E465" s="1" t="n">
        <v>46265</v>
      </c>
      <c r="F465" t="inlineStr">
        <is>
          <t>HALLANDS LÄN</t>
        </is>
      </c>
      <c r="G465" t="inlineStr">
        <is>
          <t>VARBERG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46265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20204-2022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44698</v>
      </c>
      <c r="E467" s="1" t="n">
        <v>46265</v>
      </c>
      <c r="F467" t="inlineStr">
        <is>
          <t>HALLANDS LÄN</t>
        </is>
      </c>
      <c r="G467" t="inlineStr">
        <is>
          <t>LAHOLM</t>
        </is>
      </c>
      <c r="H467" t="inlineStr">
        <is>
          <t>Kyrkan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44579</v>
      </c>
      <c r="E468" s="1" t="n">
        <v>46265</v>
      </c>
      <c r="F468" t="inlineStr">
        <is>
          <t>HALLANDS LÄN</t>
        </is>
      </c>
      <c r="G468" t="inlineStr">
        <is>
          <t>HALMSTAD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40582-2022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44819</v>
      </c>
      <c r="E469" s="1" t="n">
        <v>46265</v>
      </c>
      <c r="F469" t="inlineStr">
        <is>
          <t>HALLANDS LÄN</t>
        </is>
      </c>
      <c r="G469" t="inlineStr">
        <is>
          <t>KUNGSBACKA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44638</v>
      </c>
      <c r="E470" s="1" t="n">
        <v>46265</v>
      </c>
      <c r="F470" t="inlineStr">
        <is>
          <t>HALLANDS LÄN</t>
        </is>
      </c>
      <c r="G470" t="inlineStr">
        <is>
          <t>FALKENBERG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23773-2022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44722</v>
      </c>
      <c r="E471" s="1" t="n">
        <v>46265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44441</v>
      </c>
      <c r="E472" s="1" t="n">
        <v>46265</v>
      </c>
      <c r="F472" t="inlineStr">
        <is>
          <t>HALLANDS LÄN</t>
        </is>
      </c>
      <c r="G472" t="inlineStr">
        <is>
          <t>HALMSTAD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44494</v>
      </c>
      <c r="E473" s="1" t="n">
        <v>46265</v>
      </c>
      <c r="F473" t="inlineStr">
        <is>
          <t>HALLANDS LÄN</t>
        </is>
      </c>
      <c r="G473" t="inlineStr">
        <is>
          <t>HALMSTAD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44728</v>
      </c>
      <c r="E474" s="1" t="n">
        <v>46265</v>
      </c>
      <c r="F474" t="inlineStr">
        <is>
          <t>HALLANDS LÄN</t>
        </is>
      </c>
      <c r="G474" t="inlineStr">
        <is>
          <t>HYLTE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44714</v>
      </c>
      <c r="E475" s="1" t="n">
        <v>46265</v>
      </c>
      <c r="F475" t="inlineStr">
        <is>
          <t>HALLANDS LÄN</t>
        </is>
      </c>
      <c r="G475" t="inlineStr">
        <is>
          <t>HYLTE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52113-2022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46265</v>
      </c>
      <c r="F476" t="inlineStr">
        <is>
          <t>HALLANDS LÄN</t>
        </is>
      </c>
      <c r="G476" t="inlineStr">
        <is>
          <t>LAHOLM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46265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52106-2022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44873</v>
      </c>
      <c r="E478" s="1" t="n">
        <v>46265</v>
      </c>
      <c r="F478" t="inlineStr">
        <is>
          <t>HALLANDS LÄN</t>
        </is>
      </c>
      <c r="G478" t="inlineStr">
        <is>
          <t>LAHOLM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46265</v>
      </c>
      <c r="F479" t="inlineStr">
        <is>
          <t>HALLANDS LÄN</t>
        </is>
      </c>
      <c r="G479" t="inlineStr">
        <is>
          <t>VARBERG</t>
        </is>
      </c>
      <c r="I479" t="n">
        <v>8.6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71703-2021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44539</v>
      </c>
      <c r="E480" s="1" t="n">
        <v>46265</v>
      </c>
      <c r="F480" t="inlineStr">
        <is>
          <t>HALLANDS LÄN</t>
        </is>
      </c>
      <c r="G480" t="inlineStr">
        <is>
          <t>FALKENBERG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46265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70904-2021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44538</v>
      </c>
      <c r="E482" s="1" t="n">
        <v>46265</v>
      </c>
      <c r="F482" t="inlineStr">
        <is>
          <t>HALLANDS LÄN</t>
        </is>
      </c>
      <c r="G482" t="inlineStr">
        <is>
          <t>KUNGSBACKA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49217-2021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44454</v>
      </c>
      <c r="E483" s="1" t="n">
        <v>46265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52477-2021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44466</v>
      </c>
      <c r="E484" s="1" t="n">
        <v>46265</v>
      </c>
      <c r="F484" t="inlineStr">
        <is>
          <t>HALLANDS LÄN</t>
        </is>
      </c>
      <c r="G484" t="inlineStr">
        <is>
          <t>FALKENBERG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70733-2021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44537</v>
      </c>
      <c r="E485" s="1" t="n">
        <v>46265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34628-2022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44795</v>
      </c>
      <c r="E486" s="1" t="n">
        <v>46265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44628</v>
      </c>
      <c r="E487" s="1" t="n">
        <v>46265</v>
      </c>
      <c r="F487" t="inlineStr">
        <is>
          <t>HALLANDS LÄN</t>
        </is>
      </c>
      <c r="G487" t="inlineStr">
        <is>
          <t>FALKENBERG</t>
        </is>
      </c>
      <c r="H487" t="inlineStr">
        <is>
          <t>Bergvik skog väst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44818</v>
      </c>
      <c r="E488" s="1" t="n">
        <v>46265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46265</v>
      </c>
      <c r="F489" t="inlineStr">
        <is>
          <t>HALLANDS LÄN</t>
        </is>
      </c>
      <c r="G489" t="inlineStr">
        <is>
          <t>VARBERG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53693-2021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44469</v>
      </c>
      <c r="E490" s="1" t="n">
        <v>46265</v>
      </c>
      <c r="F490" t="inlineStr">
        <is>
          <t>HALLANDS LÄN</t>
        </is>
      </c>
      <c r="G490" t="inlineStr">
        <is>
          <t>LAHOLM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44801</v>
      </c>
      <c r="E491" s="1" t="n">
        <v>46265</v>
      </c>
      <c r="F491" t="inlineStr">
        <is>
          <t>HALLANDS LÄN</t>
        </is>
      </c>
      <c r="G491" t="inlineStr">
        <is>
          <t>HYLTE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46265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15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44600</v>
      </c>
      <c r="E493" s="1" t="n">
        <v>46265</v>
      </c>
      <c r="F493" t="inlineStr">
        <is>
          <t>HALLANDS LÄN</t>
        </is>
      </c>
      <c r="G493" t="inlineStr">
        <is>
          <t>LAHOLM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6244-2022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44600</v>
      </c>
      <c r="E494" s="1" t="n">
        <v>46265</v>
      </c>
      <c r="F494" t="inlineStr">
        <is>
          <t>HALLANDS LÄN</t>
        </is>
      </c>
      <c r="G494" t="inlineStr">
        <is>
          <t>LAHOLM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56775-2021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44481</v>
      </c>
      <c r="E495" s="1" t="n">
        <v>46265</v>
      </c>
      <c r="F495" t="inlineStr">
        <is>
          <t>HALLANDS LÄN</t>
        </is>
      </c>
      <c r="G495" t="inlineStr">
        <is>
          <t>FALKENBERG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71740-2021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46265</v>
      </c>
      <c r="F496" t="inlineStr">
        <is>
          <t>HALLANDS LÄN</t>
        </is>
      </c>
      <c r="G496" t="inlineStr">
        <is>
          <t>FALKENBERG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13159-2022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44644</v>
      </c>
      <c r="E497" s="1" t="n">
        <v>46265</v>
      </c>
      <c r="F497" t="inlineStr">
        <is>
          <t>HALLANDS LÄN</t>
        </is>
      </c>
      <c r="G497" t="inlineStr">
        <is>
          <t>HYLTE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71743-2021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44539</v>
      </c>
      <c r="E498" s="1" t="n">
        <v>46265</v>
      </c>
      <c r="F498" t="inlineStr">
        <is>
          <t>HALLANDS LÄN</t>
        </is>
      </c>
      <c r="G498" t="inlineStr">
        <is>
          <t>FALKENBERG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67290-2021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44523</v>
      </c>
      <c r="E499" s="1" t="n">
        <v>46265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61380-2021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44500</v>
      </c>
      <c r="E500" s="1" t="n">
        <v>46265</v>
      </c>
      <c r="F500" t="inlineStr">
        <is>
          <t>HALLANDS LÄN</t>
        </is>
      </c>
      <c r="G500" t="inlineStr">
        <is>
          <t>HYLTE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44800-2021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44438</v>
      </c>
      <c r="E501" s="1" t="n">
        <v>46265</v>
      </c>
      <c r="F501" t="inlineStr">
        <is>
          <t>HALLANDS LÄN</t>
        </is>
      </c>
      <c r="G501" t="inlineStr">
        <is>
          <t>FALKENBERG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24593-2022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44727</v>
      </c>
      <c r="E502" s="1" t="n">
        <v>46265</v>
      </c>
      <c r="F502" t="inlineStr">
        <is>
          <t>HALLANDS LÄN</t>
        </is>
      </c>
      <c r="G502" t="inlineStr">
        <is>
          <t>LAHOLM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24626-2022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44727</v>
      </c>
      <c r="E503" s="1" t="n">
        <v>46265</v>
      </c>
      <c r="F503" t="inlineStr">
        <is>
          <t>HALLANDS LÄN</t>
        </is>
      </c>
      <c r="G503" t="inlineStr">
        <is>
          <t>HYLTE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18080-2022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44684</v>
      </c>
      <c r="E504" s="1" t="n">
        <v>46265</v>
      </c>
      <c r="F504" t="inlineStr">
        <is>
          <t>HALLANDS LÄN</t>
        </is>
      </c>
      <c r="G504" t="inlineStr">
        <is>
          <t>VARBERG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21308-2022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44705</v>
      </c>
      <c r="E505" s="1" t="n">
        <v>46265</v>
      </c>
      <c r="F505" t="inlineStr">
        <is>
          <t>HALLANDS LÄN</t>
        </is>
      </c>
      <c r="G505" t="inlineStr">
        <is>
          <t>HYLTE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72139-2021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44544</v>
      </c>
      <c r="E506" s="1" t="n">
        <v>46265</v>
      </c>
      <c r="F506" t="inlineStr">
        <is>
          <t>HALLANDS LÄN</t>
        </is>
      </c>
      <c r="G506" t="inlineStr">
        <is>
          <t>HALMSTAD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15322-2022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44659</v>
      </c>
      <c r="E507" s="1" t="n">
        <v>46265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15328-2022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44659</v>
      </c>
      <c r="E508" s="1" t="n">
        <v>46265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64672-2021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44512</v>
      </c>
      <c r="E509" s="1" t="n">
        <v>46265</v>
      </c>
      <c r="F509" t="inlineStr">
        <is>
          <t>HALLANDS LÄN</t>
        </is>
      </c>
      <c r="G509" t="inlineStr">
        <is>
          <t>LAHOLM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59948-2021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46265</v>
      </c>
      <c r="F510" t="inlineStr">
        <is>
          <t>HALLANDS LÄN</t>
        </is>
      </c>
      <c r="G510" t="inlineStr">
        <is>
          <t>HYLTE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30169-2022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44757</v>
      </c>
      <c r="E511" s="1" t="n">
        <v>46265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44811</v>
      </c>
      <c r="E512" s="1" t="n">
        <v>46265</v>
      </c>
      <c r="F512" t="inlineStr">
        <is>
          <t>HALLANDS LÄN</t>
        </is>
      </c>
      <c r="G512" t="inlineStr">
        <is>
          <t>VARBERG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63404-2021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44508</v>
      </c>
      <c r="E513" s="1" t="n">
        <v>46265</v>
      </c>
      <c r="F513" t="inlineStr">
        <is>
          <t>HALLANDS LÄN</t>
        </is>
      </c>
      <c r="G513" t="inlineStr">
        <is>
          <t>LAHOLM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60221-2021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44495</v>
      </c>
      <c r="E514" s="1" t="n">
        <v>46265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71732-2021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44539</v>
      </c>
      <c r="E515" s="1" t="n">
        <v>46265</v>
      </c>
      <c r="F515" t="inlineStr">
        <is>
          <t>HALLANDS LÄN</t>
        </is>
      </c>
      <c r="G515" t="inlineStr">
        <is>
          <t>FALKENBERG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13212-2025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46265</v>
      </c>
      <c r="F516" t="inlineStr">
        <is>
          <t>HALLANDS LÄN</t>
        </is>
      </c>
      <c r="G516" t="inlineStr">
        <is>
          <t>HALMSTAD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56664-2024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45625</v>
      </c>
      <c r="E517" s="1" t="n">
        <v>46265</v>
      </c>
      <c r="F517" t="inlineStr">
        <is>
          <t>HALLANDS LÄN</t>
        </is>
      </c>
      <c r="G517" t="inlineStr">
        <is>
          <t>LAHOLM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45627</v>
      </c>
      <c r="E518" s="1" t="n">
        <v>46265</v>
      </c>
      <c r="F518" t="inlineStr">
        <is>
          <t>HALLANDS LÄN</t>
        </is>
      </c>
      <c r="G518" t="inlineStr">
        <is>
          <t>FALKENBERG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50791-2023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45217</v>
      </c>
      <c r="E519" s="1" t="n">
        <v>46265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13086-2025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45734</v>
      </c>
      <c r="E520" s="1" t="n">
        <v>46265</v>
      </c>
      <c r="F520" t="inlineStr">
        <is>
          <t>HALLANDS LÄN</t>
        </is>
      </c>
      <c r="G520" t="inlineStr">
        <is>
          <t>LAHOLM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45042</v>
      </c>
      <c r="E521" s="1" t="n">
        <v>46265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45212</v>
      </c>
      <c r="E522" s="1" t="n">
        <v>46265</v>
      </c>
      <c r="F522" t="inlineStr">
        <is>
          <t>HALLANDS LÄN</t>
        </is>
      </c>
      <c r="G522" t="inlineStr">
        <is>
          <t>FALKENBERG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46265</v>
      </c>
      <c r="F523" t="inlineStr">
        <is>
          <t>HALLANDS LÄN</t>
        </is>
      </c>
      <c r="G523" t="inlineStr">
        <is>
          <t>FALKENBERG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31316-2022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44774</v>
      </c>
      <c r="E524" s="1" t="n">
        <v>46265</v>
      </c>
      <c r="F524" t="inlineStr">
        <is>
          <t>HALLANDS LÄN</t>
        </is>
      </c>
      <c r="G524" t="inlineStr">
        <is>
          <t>VARBERG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46265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4766-2025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45688</v>
      </c>
      <c r="E526" s="1" t="n">
        <v>46265</v>
      </c>
      <c r="F526" t="inlineStr">
        <is>
          <t>HALLANDS LÄN</t>
        </is>
      </c>
      <c r="G526" t="inlineStr">
        <is>
          <t>LAHOLM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45195</v>
      </c>
      <c r="E527" s="1" t="n">
        <v>46265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45327</v>
      </c>
      <c r="E528" s="1" t="n">
        <v>46265</v>
      </c>
      <c r="F528" t="inlineStr">
        <is>
          <t>HALLANDS LÄN</t>
        </is>
      </c>
      <c r="G528" t="inlineStr">
        <is>
          <t>LAHOLM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4527-2024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45327</v>
      </c>
      <c r="E529" s="1" t="n">
        <v>46265</v>
      </c>
      <c r="F529" t="inlineStr">
        <is>
          <t>HALLANDS LÄN</t>
        </is>
      </c>
      <c r="G529" t="inlineStr">
        <is>
          <t>HYLTE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46265</v>
      </c>
      <c r="F530" t="inlineStr">
        <is>
          <t>HALLANDS LÄN</t>
        </is>
      </c>
      <c r="G530" t="inlineStr">
        <is>
          <t>FALKENBERG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46265</v>
      </c>
      <c r="F531" t="inlineStr">
        <is>
          <t>HALLANDS LÄN</t>
        </is>
      </c>
      <c r="G531" t="inlineStr">
        <is>
          <t>VARBERG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7516-2025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45705</v>
      </c>
      <c r="E532" s="1" t="n">
        <v>46265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46265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45377</v>
      </c>
      <c r="E534" s="1" t="n">
        <v>46265</v>
      </c>
      <c r="F534" t="inlineStr">
        <is>
          <t>HALLANDS LÄN</t>
        </is>
      </c>
      <c r="G534" t="inlineStr">
        <is>
          <t>FALKENBERG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45300</v>
      </c>
      <c r="E535" s="1" t="n">
        <v>46265</v>
      </c>
      <c r="F535" t="inlineStr">
        <is>
          <t>HALLANDS LÄN</t>
        </is>
      </c>
      <c r="G535" t="inlineStr">
        <is>
          <t>VARBERG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49549-2023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45211</v>
      </c>
      <c r="E536" s="1" t="n">
        <v>46265</v>
      </c>
      <c r="F536" t="inlineStr">
        <is>
          <t>HALLANDS LÄN</t>
        </is>
      </c>
      <c r="G536" t="inlineStr">
        <is>
          <t>LAHOLM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44922</v>
      </c>
      <c r="E537" s="1" t="n">
        <v>46265</v>
      </c>
      <c r="F537" t="inlineStr">
        <is>
          <t>HALLANDS LÄN</t>
        </is>
      </c>
      <c r="G537" t="inlineStr">
        <is>
          <t>HALMSTAD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45299</v>
      </c>
      <c r="E538" s="1" t="n">
        <v>46265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48682-2023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45208</v>
      </c>
      <c r="E539" s="1" t="n">
        <v>46265</v>
      </c>
      <c r="F539" t="inlineStr">
        <is>
          <t>HALLANDS LÄN</t>
        </is>
      </c>
      <c r="G539" t="inlineStr">
        <is>
          <t>LAHOLM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31547-2022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44775</v>
      </c>
      <c r="E540" s="1" t="n">
        <v>46265</v>
      </c>
      <c r="F540" t="inlineStr">
        <is>
          <t>HALLANDS LÄN</t>
        </is>
      </c>
      <c r="G540" t="inlineStr">
        <is>
          <t>HALMSTAD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46265</v>
      </c>
      <c r="F541" t="inlineStr">
        <is>
          <t>HALLANDS LÄN</t>
        </is>
      </c>
      <c r="G541" t="inlineStr">
        <is>
          <t>HYLTE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45411</v>
      </c>
      <c r="E542" s="1" t="n">
        <v>46265</v>
      </c>
      <c r="F542" t="inlineStr">
        <is>
          <t>HALLANDS LÄN</t>
        </is>
      </c>
      <c r="G542" t="inlineStr">
        <is>
          <t>VARBERG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10137-2025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45719</v>
      </c>
      <c r="E543" s="1" t="n">
        <v>46265</v>
      </c>
      <c r="F543" t="inlineStr">
        <is>
          <t>HALLANDS LÄN</t>
        </is>
      </c>
      <c r="G543" t="inlineStr">
        <is>
          <t>KUNGSBACKA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50452-2022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44866</v>
      </c>
      <c r="E544" s="1" t="n">
        <v>46265</v>
      </c>
      <c r="F544" t="inlineStr">
        <is>
          <t>HALLANDS LÄN</t>
        </is>
      </c>
      <c r="G544" t="inlineStr">
        <is>
          <t>HYLTE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57946-2022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44900</v>
      </c>
      <c r="E545" s="1" t="n">
        <v>46265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45195</v>
      </c>
      <c r="E546" s="1" t="n">
        <v>46265</v>
      </c>
      <c r="F546" t="inlineStr">
        <is>
          <t>HALLANDS LÄN</t>
        </is>
      </c>
      <c r="G546" t="inlineStr">
        <is>
          <t>LAHOLM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57938-2022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44900</v>
      </c>
      <c r="E547" s="1" t="n">
        <v>46265</v>
      </c>
      <c r="F547" t="inlineStr">
        <is>
          <t>HALLANDS LÄN</t>
        </is>
      </c>
      <c r="G547" t="inlineStr">
        <is>
          <t>HYLTE</t>
        </is>
      </c>
      <c r="I547" t="n">
        <v>11.6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44827</v>
      </c>
      <c r="E548" s="1" t="n">
        <v>46265</v>
      </c>
      <c r="F548" t="inlineStr">
        <is>
          <t>HALLANDS LÄN</t>
        </is>
      </c>
      <c r="G548" t="inlineStr">
        <is>
          <t>LAHOLM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45364</v>
      </c>
      <c r="E549" s="1" t="n">
        <v>46265</v>
      </c>
      <c r="F549" t="inlineStr">
        <is>
          <t>HALLANDS LÄN</t>
        </is>
      </c>
      <c r="G549" t="inlineStr">
        <is>
          <t>LAHOLM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59626-2023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46265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45363</v>
      </c>
      <c r="E551" s="1" t="n">
        <v>46265</v>
      </c>
      <c r="F551" t="inlineStr">
        <is>
          <t>HALLANDS LÄN</t>
        </is>
      </c>
      <c r="G551" t="inlineStr">
        <is>
          <t>FALKENBERG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53605-2023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46265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53642-2023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45230</v>
      </c>
      <c r="E553" s="1" t="n">
        <v>46265</v>
      </c>
      <c r="F553" t="inlineStr">
        <is>
          <t>HALLANDS LÄN</t>
        </is>
      </c>
      <c r="G553" t="inlineStr">
        <is>
          <t>HALMSTAD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5436-2024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45331</v>
      </c>
      <c r="E554" s="1" t="n">
        <v>46265</v>
      </c>
      <c r="F554" t="inlineStr">
        <is>
          <t>HALLANDS LÄN</t>
        </is>
      </c>
      <c r="G554" t="inlineStr">
        <is>
          <t>HYLTE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36980-2022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44806</v>
      </c>
      <c r="E555" s="1" t="n">
        <v>46265</v>
      </c>
      <c r="F555" t="inlineStr">
        <is>
          <t>HALLANDS LÄN</t>
        </is>
      </c>
      <c r="G555" t="inlineStr">
        <is>
          <t>FALKENBERG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46251-2022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44847</v>
      </c>
      <c r="E556" s="1" t="n">
        <v>46265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46265</v>
      </c>
      <c r="F557" t="inlineStr">
        <is>
          <t>HALLANDS LÄN</t>
        </is>
      </c>
      <c r="G557" t="inlineStr">
        <is>
          <t>VARBERG</t>
        </is>
      </c>
      <c r="H557" t="inlineStr">
        <is>
          <t>Kyrkan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59421-2023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46265</v>
      </c>
      <c r="F558" t="inlineStr">
        <is>
          <t>HALLANDS LÄN</t>
        </is>
      </c>
      <c r="G558" t="inlineStr">
        <is>
          <t>HYLTE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59423-2023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45254</v>
      </c>
      <c r="E559" s="1" t="n">
        <v>46265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51131-2023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45219</v>
      </c>
      <c r="E560" s="1" t="n">
        <v>46265</v>
      </c>
      <c r="F560" t="inlineStr">
        <is>
          <t>HALLANDS LÄN</t>
        </is>
      </c>
      <c r="G560" t="inlineStr">
        <is>
          <t>LAHOLM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46265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44771</v>
      </c>
      <c r="E562" s="1" t="n">
        <v>46265</v>
      </c>
      <c r="F562" t="inlineStr">
        <is>
          <t>HALLANDS LÄN</t>
        </is>
      </c>
      <c r="G562" t="inlineStr">
        <is>
          <t>LAHOLM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46265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9694-2024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45362</v>
      </c>
      <c r="E564" s="1" t="n">
        <v>46265</v>
      </c>
      <c r="F564" t="inlineStr">
        <is>
          <t>HALLANDS LÄN</t>
        </is>
      </c>
      <c r="G564" t="inlineStr">
        <is>
          <t>LAHOLM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45359</v>
      </c>
      <c r="E565" s="1" t="n">
        <v>46265</v>
      </c>
      <c r="F565" t="inlineStr">
        <is>
          <t>HALLANDS LÄN</t>
        </is>
      </c>
      <c r="G565" t="inlineStr">
        <is>
          <t>VARBERG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51332-2022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44869</v>
      </c>
      <c r="E566" s="1" t="n">
        <v>46265</v>
      </c>
      <c r="F566" t="inlineStr">
        <is>
          <t>HALLANDS LÄN</t>
        </is>
      </c>
      <c r="G566" t="inlineStr">
        <is>
          <t>KUNGSBACKA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51943-2022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44872</v>
      </c>
      <c r="E567" s="1" t="n">
        <v>46265</v>
      </c>
      <c r="F567" t="inlineStr">
        <is>
          <t>HALLANDS LÄN</t>
        </is>
      </c>
      <c r="G567" t="inlineStr">
        <is>
          <t>HYLTE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45330</v>
      </c>
      <c r="E568" s="1" t="n">
        <v>46265</v>
      </c>
      <c r="F568" t="inlineStr">
        <is>
          <t>HALLANDS LÄN</t>
        </is>
      </c>
      <c r="G568" t="inlineStr">
        <is>
          <t>KUNGSBACKA</t>
        </is>
      </c>
      <c r="I568" t="n">
        <v>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46265</v>
      </c>
      <c r="F569" t="inlineStr">
        <is>
          <t>HALLANDS LÄN</t>
        </is>
      </c>
      <c r="G569" t="inlineStr">
        <is>
          <t>VARBERG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60396-2023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45259</v>
      </c>
      <c r="E570" s="1" t="n">
        <v>46265</v>
      </c>
      <c r="F570" t="inlineStr">
        <is>
          <t>HALLANDS LÄN</t>
        </is>
      </c>
      <c r="G570" t="inlineStr">
        <is>
          <t>HALMSTAD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45588</v>
      </c>
      <c r="E571" s="1" t="n">
        <v>46265</v>
      </c>
      <c r="F571" t="inlineStr">
        <is>
          <t>HALLANDS LÄN</t>
        </is>
      </c>
      <c r="G571" t="inlineStr">
        <is>
          <t>HYLTE</t>
        </is>
      </c>
      <c r="H571" t="inlineStr">
        <is>
          <t>Kyrkan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49505-2021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44454</v>
      </c>
      <c r="E572" s="1" t="n">
        <v>46265</v>
      </c>
      <c r="F572" t="inlineStr">
        <is>
          <t>HALLANDS LÄN</t>
        </is>
      </c>
      <c r="G572" t="inlineStr">
        <is>
          <t>HYLTE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46265</v>
      </c>
      <c r="F573" t="inlineStr">
        <is>
          <t>HALLANDS LÄN</t>
        </is>
      </c>
      <c r="G573" t="inlineStr">
        <is>
          <t>LAHOLM</t>
        </is>
      </c>
      <c r="I573" t="n">
        <v>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45951</v>
      </c>
      <c r="E574" s="1" t="n">
        <v>46265</v>
      </c>
      <c r="F574" t="inlineStr">
        <is>
          <t>HALLANDS LÄN</t>
        </is>
      </c>
      <c r="G574" t="inlineStr">
        <is>
          <t>FALKENBERG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46265</v>
      </c>
      <c r="F575" t="inlineStr">
        <is>
          <t>HALLANDS LÄN</t>
        </is>
      </c>
      <c r="G575" t="inlineStr">
        <is>
          <t>FALKENBERG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45400</v>
      </c>
      <c r="E576" s="1" t="n">
        <v>46265</v>
      </c>
      <c r="F576" t="inlineStr">
        <is>
          <t>HALLANDS LÄN</t>
        </is>
      </c>
      <c r="G576" t="inlineStr">
        <is>
          <t>HYLTE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45952</v>
      </c>
      <c r="E577" s="1" t="n">
        <v>46265</v>
      </c>
      <c r="F577" t="inlineStr">
        <is>
          <t>HALLANDS LÄN</t>
        </is>
      </c>
      <c r="G577" t="inlineStr">
        <is>
          <t>FALKENBERG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46265</v>
      </c>
      <c r="F578" t="inlineStr">
        <is>
          <t>HALLANDS LÄN</t>
        </is>
      </c>
      <c r="G578" t="inlineStr">
        <is>
          <t>FALKENBERG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52013-2025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45952</v>
      </c>
      <c r="E579" s="1" t="n">
        <v>46265</v>
      </c>
      <c r="F579" t="inlineStr">
        <is>
          <t>HALLANDS LÄN</t>
        </is>
      </c>
      <c r="G579" t="inlineStr">
        <is>
          <t>HALMSTAD</t>
        </is>
      </c>
      <c r="H579" t="inlineStr">
        <is>
          <t>Bergvik skog väst AB</t>
        </is>
      </c>
      <c r="I579" t="n">
        <v>19.5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45884</v>
      </c>
      <c r="E580" s="1" t="n">
        <v>46265</v>
      </c>
      <c r="F580" t="inlineStr">
        <is>
          <t>HALLANDS LÄN</t>
        </is>
      </c>
      <c r="G580" t="inlineStr">
        <is>
          <t>VARBERG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52595-2025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46265</v>
      </c>
      <c r="F581" t="inlineStr">
        <is>
          <t>HALLANDS LÄN</t>
        </is>
      </c>
      <c r="G581" t="inlineStr">
        <is>
          <t>VARBERG</t>
        </is>
      </c>
      <c r="H581" t="inlineStr">
        <is>
          <t>Kyrkan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45278</v>
      </c>
      <c r="E582" s="1" t="n">
        <v>46265</v>
      </c>
      <c r="F582" t="inlineStr">
        <is>
          <t>HALLANDS LÄN</t>
        </is>
      </c>
      <c r="G582" t="inlineStr">
        <is>
          <t>FALKENBERG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52178-2025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45953</v>
      </c>
      <c r="E583" s="1" t="n">
        <v>46265</v>
      </c>
      <c r="F583" t="inlineStr">
        <is>
          <t>HALLANDS LÄN</t>
        </is>
      </c>
      <c r="G583" t="inlineStr">
        <is>
          <t>FALKENBERG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45616</v>
      </c>
      <c r="E584" s="1" t="n">
        <v>46265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52162-2025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45953</v>
      </c>
      <c r="E585" s="1" t="n">
        <v>46265</v>
      </c>
      <c r="F585" t="inlineStr">
        <is>
          <t>HALLANDS LÄN</t>
        </is>
      </c>
      <c r="G585" t="inlineStr">
        <is>
          <t>FALKENBERG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45443</v>
      </c>
      <c r="E586" s="1" t="n">
        <v>46265</v>
      </c>
      <c r="F586" t="inlineStr">
        <is>
          <t>HALLANDS LÄN</t>
        </is>
      </c>
      <c r="G586" t="inlineStr">
        <is>
          <t>HALMSTAD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18732-2024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45426</v>
      </c>
      <c r="E587" s="1" t="n">
        <v>46265</v>
      </c>
      <c r="F587" t="inlineStr">
        <is>
          <t>HALLANDS LÄN</t>
        </is>
      </c>
      <c r="G587" t="inlineStr">
        <is>
          <t>FALKENBERG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56320-2022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44890</v>
      </c>
      <c r="E588" s="1" t="n">
        <v>46265</v>
      </c>
      <c r="F588" t="inlineStr">
        <is>
          <t>HALLANDS LÄN</t>
        </is>
      </c>
      <c r="G588" t="inlineStr">
        <is>
          <t>VARBERG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46265</v>
      </c>
      <c r="F589" t="inlineStr">
        <is>
          <t>HALLANDS LÄN</t>
        </is>
      </c>
      <c r="G589" t="inlineStr">
        <is>
          <t>KUNGSBACKA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52428-2025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45954</v>
      </c>
      <c r="E590" s="1" t="n">
        <v>46265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53400-2023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45229</v>
      </c>
      <c r="E591" s="1" t="n">
        <v>46265</v>
      </c>
      <c r="F591" t="inlineStr">
        <is>
          <t>HALLANDS LÄN</t>
        </is>
      </c>
      <c r="G591" t="inlineStr">
        <is>
          <t>FALKENBERG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37725-2022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44810</v>
      </c>
      <c r="E592" s="1" t="n">
        <v>46265</v>
      </c>
      <c r="F592" t="inlineStr">
        <is>
          <t>HALLANDS LÄN</t>
        </is>
      </c>
      <c r="G592" t="inlineStr">
        <is>
          <t>LAHOLM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45321</v>
      </c>
      <c r="E593" s="1" t="n">
        <v>46265</v>
      </c>
      <c r="F593" t="inlineStr">
        <is>
          <t>HALLANDS LÄN</t>
        </is>
      </c>
      <c r="G593" t="inlineStr">
        <is>
          <t>HALMSTAD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45441</v>
      </c>
      <c r="E594" s="1" t="n">
        <v>46265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37705-2022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44810</v>
      </c>
      <c r="E595" s="1" t="n">
        <v>46265</v>
      </c>
      <c r="F595" t="inlineStr">
        <is>
          <t>HALLANDS LÄN</t>
        </is>
      </c>
      <c r="G595" t="inlineStr">
        <is>
          <t>LAHOLM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40418-2024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45555</v>
      </c>
      <c r="E596" s="1" t="n">
        <v>46265</v>
      </c>
      <c r="F596" t="inlineStr">
        <is>
          <t>HALLANDS LÄN</t>
        </is>
      </c>
      <c r="G596" t="inlineStr">
        <is>
          <t>HALMSTAD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59496-2023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46265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46265</v>
      </c>
      <c r="F598" t="inlineStr">
        <is>
          <t>HALLANDS LÄN</t>
        </is>
      </c>
      <c r="G598" t="inlineStr">
        <is>
          <t>HYLTE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46265</v>
      </c>
      <c r="F599" t="inlineStr">
        <is>
          <t>HALLANDS LÄN</t>
        </is>
      </c>
      <c r="G599" t="inlineStr">
        <is>
          <t>HYLTE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31907-2024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45510</v>
      </c>
      <c r="E600" s="1" t="n">
        <v>46265</v>
      </c>
      <c r="F600" t="inlineStr">
        <is>
          <t>HALLANDS LÄN</t>
        </is>
      </c>
      <c r="G600" t="inlineStr">
        <is>
          <t>HYLTE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45957</v>
      </c>
      <c r="E601" s="1" t="n">
        <v>46265</v>
      </c>
      <c r="F601" t="inlineStr">
        <is>
          <t>HALLANDS LÄN</t>
        </is>
      </c>
      <c r="G601" t="inlineStr">
        <is>
          <t>HYLTE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17212-2025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45756</v>
      </c>
      <c r="E602" s="1" t="n">
        <v>46265</v>
      </c>
      <c r="F602" t="inlineStr">
        <is>
          <t>HALLANDS LÄN</t>
        </is>
      </c>
      <c r="G602" t="inlineStr">
        <is>
          <t>KUNGSBACKA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16920-2025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45752</v>
      </c>
      <c r="E603" s="1" t="n">
        <v>46265</v>
      </c>
      <c r="F603" t="inlineStr">
        <is>
          <t>HALLANDS LÄN</t>
        </is>
      </c>
      <c r="G603" t="inlineStr">
        <is>
          <t>HYLTE</t>
        </is>
      </c>
      <c r="H603" t="inlineStr">
        <is>
          <t>Kyrkan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53303-2025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45959</v>
      </c>
      <c r="E604" s="1" t="n">
        <v>46265</v>
      </c>
      <c r="F604" t="inlineStr">
        <is>
          <t>HALLANDS LÄN</t>
        </is>
      </c>
      <c r="G604" t="inlineStr">
        <is>
          <t>FALKENBERG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51539-2025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45950</v>
      </c>
      <c r="E605" s="1" t="n">
        <v>46265</v>
      </c>
      <c r="F605" t="inlineStr">
        <is>
          <t>HALLANDS LÄN</t>
        </is>
      </c>
      <c r="G605" t="inlineStr">
        <is>
          <t>FALKENBERG</t>
        </is>
      </c>
      <c r="H605" t="inlineStr">
        <is>
          <t>Kyrkan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53579-2025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45960</v>
      </c>
      <c r="E606" s="1" t="n">
        <v>46265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53414-2025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45959</v>
      </c>
      <c r="E607" s="1" t="n">
        <v>46265</v>
      </c>
      <c r="F607" t="inlineStr">
        <is>
          <t>HALLANDS LÄN</t>
        </is>
      </c>
      <c r="G607" t="inlineStr">
        <is>
          <t>LAHOLM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53535-2025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45960</v>
      </c>
      <c r="E608" s="1" t="n">
        <v>46265</v>
      </c>
      <c r="F608" t="inlineStr">
        <is>
          <t>HALLANDS LÄN</t>
        </is>
      </c>
      <c r="G608" t="inlineStr">
        <is>
          <t>VARBERG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53669-2025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45960</v>
      </c>
      <c r="E609" s="1" t="n">
        <v>46265</v>
      </c>
      <c r="F609" t="inlineStr">
        <is>
          <t>HALLANDS LÄN</t>
        </is>
      </c>
      <c r="G609" t="inlineStr">
        <is>
          <t>VARBERG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12259-2024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45378</v>
      </c>
      <c r="E610" s="1" t="n">
        <v>46265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53304-2025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45959</v>
      </c>
      <c r="E611" s="1" t="n">
        <v>46265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53309-2025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45959</v>
      </c>
      <c r="E612" s="1" t="n">
        <v>46265</v>
      </c>
      <c r="F612" t="inlineStr">
        <is>
          <t>HALLANDS LÄN</t>
        </is>
      </c>
      <c r="G612" t="inlineStr">
        <is>
          <t>FALKENBERG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53547-2025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45960</v>
      </c>
      <c r="E613" s="1" t="n">
        <v>46265</v>
      </c>
      <c r="F613" t="inlineStr">
        <is>
          <t>HALLANDS LÄN</t>
        </is>
      </c>
      <c r="G613" t="inlineStr">
        <is>
          <t>VARBERG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21767-2025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46265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53734-2025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45960</v>
      </c>
      <c r="E615" s="1" t="n">
        <v>46265</v>
      </c>
      <c r="F615" t="inlineStr">
        <is>
          <t>HALLANDS LÄN</t>
        </is>
      </c>
      <c r="G615" t="inlineStr">
        <is>
          <t>FALKENBERG</t>
        </is>
      </c>
      <c r="H615" t="inlineStr">
        <is>
          <t>Kyrkan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45959</v>
      </c>
      <c r="E616" s="1" t="n">
        <v>46265</v>
      </c>
      <c r="F616" t="inlineStr">
        <is>
          <t>HALLANDS LÄN</t>
        </is>
      </c>
      <c r="G616" t="inlineStr">
        <is>
          <t>FALKENBERG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12608-2024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45382</v>
      </c>
      <c r="E617" s="1" t="n">
        <v>46265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16428-2025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45751</v>
      </c>
      <c r="E618" s="1" t="n">
        <v>46265</v>
      </c>
      <c r="F618" t="inlineStr">
        <is>
          <t>HALLANDS LÄN</t>
        </is>
      </c>
      <c r="G618" t="inlineStr">
        <is>
          <t>HYLTE</t>
        </is>
      </c>
      <c r="H618" t="inlineStr">
        <is>
          <t>Kyrkan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45616</v>
      </c>
      <c r="E619" s="1" t="n">
        <v>46265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53392-2025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45959</v>
      </c>
      <c r="E620" s="1" t="n">
        <v>46265</v>
      </c>
      <c r="F620" t="inlineStr">
        <is>
          <t>HALLANDS LÄN</t>
        </is>
      </c>
      <c r="G620" t="inlineStr">
        <is>
          <t>HALMSTAD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45960</v>
      </c>
      <c r="E621" s="1" t="n">
        <v>46265</v>
      </c>
      <c r="F621" t="inlineStr">
        <is>
          <t>HALLANDS LÄN</t>
        </is>
      </c>
      <c r="G621" t="inlineStr">
        <is>
          <t>FALKENBERG</t>
        </is>
      </c>
      <c r="H621" t="inlineStr">
        <is>
          <t>Kyrkan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53487-2025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45960</v>
      </c>
      <c r="E622" s="1" t="n">
        <v>46265</v>
      </c>
      <c r="F622" t="inlineStr">
        <is>
          <t>HALLANDS LÄN</t>
        </is>
      </c>
      <c r="G622" t="inlineStr">
        <is>
          <t>KUNGSBACKA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53801-2025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45960</v>
      </c>
      <c r="E623" s="1" t="n">
        <v>46265</v>
      </c>
      <c r="F623" t="inlineStr">
        <is>
          <t>HALLANDS LÄN</t>
        </is>
      </c>
      <c r="G623" t="inlineStr">
        <is>
          <t>FALKENBERG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22323-2025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45786</v>
      </c>
      <c r="E624" s="1" t="n">
        <v>46265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7.3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21088-2023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45061</v>
      </c>
      <c r="E625" s="1" t="n">
        <v>46265</v>
      </c>
      <c r="F625" t="inlineStr">
        <is>
          <t>HALLANDS LÄN</t>
        </is>
      </c>
      <c r="G625" t="inlineStr">
        <is>
          <t>HYLTE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46754-2024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45583</v>
      </c>
      <c r="E626" s="1" t="n">
        <v>46265</v>
      </c>
      <c r="F626" t="inlineStr">
        <is>
          <t>HALLANDS LÄN</t>
        </is>
      </c>
      <c r="G626" t="inlineStr">
        <is>
          <t>HALMSTAD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41340-2024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45559</v>
      </c>
      <c r="E627" s="1" t="n">
        <v>46265</v>
      </c>
      <c r="F627" t="inlineStr">
        <is>
          <t>HALLANDS LÄN</t>
        </is>
      </c>
      <c r="G627" t="inlineStr">
        <is>
          <t>HYLTE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54276-2025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45964</v>
      </c>
      <c r="E628" s="1" t="n">
        <v>46265</v>
      </c>
      <c r="F628" t="inlineStr">
        <is>
          <t>HALLANDS LÄN</t>
        </is>
      </c>
      <c r="G628" t="inlineStr">
        <is>
          <t>FALKENBERG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53945-2025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45961</v>
      </c>
      <c r="E629" s="1" t="n">
        <v>46265</v>
      </c>
      <c r="F629" t="inlineStr">
        <is>
          <t>HALLANDS LÄN</t>
        </is>
      </c>
      <c r="G629" t="inlineStr">
        <is>
          <t>HYLTE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16755-2024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45411</v>
      </c>
      <c r="E630" s="1" t="n">
        <v>46265</v>
      </c>
      <c r="F630" t="inlineStr">
        <is>
          <t>HALLANDS LÄN</t>
        </is>
      </c>
      <c r="G630" t="inlineStr">
        <is>
          <t>VARBERG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58361-2022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44901</v>
      </c>
      <c r="E631" s="1" t="n">
        <v>46265</v>
      </c>
      <c r="F631" t="inlineStr">
        <is>
          <t>HALLANDS LÄN</t>
        </is>
      </c>
      <c r="G631" t="inlineStr">
        <is>
          <t>LAHOLM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53939-2025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45961</v>
      </c>
      <c r="E632" s="1" t="n">
        <v>46265</v>
      </c>
      <c r="F632" t="inlineStr">
        <is>
          <t>HALLANDS LÄN</t>
        </is>
      </c>
      <c r="G632" t="inlineStr">
        <is>
          <t>HYLTE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45680</v>
      </c>
      <c r="E633" s="1" t="n">
        <v>46265</v>
      </c>
      <c r="F633" t="inlineStr">
        <is>
          <t>HALLANDS LÄN</t>
        </is>
      </c>
      <c r="G633" t="inlineStr">
        <is>
          <t>HYLTE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10949-2024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45370</v>
      </c>
      <c r="E634" s="1" t="n">
        <v>46265</v>
      </c>
      <c r="F634" t="inlineStr">
        <is>
          <t>HALLANDS LÄN</t>
        </is>
      </c>
      <c r="G634" t="inlineStr">
        <is>
          <t>KUNGSBACKA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52666-2023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45225</v>
      </c>
      <c r="E635" s="1" t="n">
        <v>46265</v>
      </c>
      <c r="F635" t="inlineStr">
        <is>
          <t>HALLANDS LÄN</t>
        </is>
      </c>
      <c r="G635" t="inlineStr">
        <is>
          <t>HYLTE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45246</v>
      </c>
      <c r="E636" s="1" t="n">
        <v>46265</v>
      </c>
      <c r="F636" t="inlineStr">
        <is>
          <t>HALLANDS LÄN</t>
        </is>
      </c>
      <c r="G636" t="inlineStr">
        <is>
          <t>LAHOLM</t>
        </is>
      </c>
      <c r="H636" t="inlineStr">
        <is>
          <t>Kommuner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47983-2024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45589</v>
      </c>
      <c r="E637" s="1" t="n">
        <v>46265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45618</v>
      </c>
      <c r="E638" s="1" t="n">
        <v>46265</v>
      </c>
      <c r="F638" t="inlineStr">
        <is>
          <t>HALLANDS LÄN</t>
        </is>
      </c>
      <c r="G638" t="inlineStr">
        <is>
          <t>HYLTE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45785</v>
      </c>
      <c r="E639" s="1" t="n">
        <v>46265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45420-2025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45922</v>
      </c>
      <c r="E640" s="1" t="n">
        <v>46265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24149-2024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45456</v>
      </c>
      <c r="E641" s="1" t="n">
        <v>46265</v>
      </c>
      <c r="F641" t="inlineStr">
        <is>
          <t>HALLANDS LÄN</t>
        </is>
      </c>
      <c r="G641" t="inlineStr">
        <is>
          <t>HYLTE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53887-2025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45961</v>
      </c>
      <c r="E642" s="1" t="n">
        <v>46265</v>
      </c>
      <c r="F642" t="inlineStr">
        <is>
          <t>HALLANDS LÄN</t>
        </is>
      </c>
      <c r="G642" t="inlineStr">
        <is>
          <t>FALKENBERG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30901-2022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44767</v>
      </c>
      <c r="E643" s="1" t="n">
        <v>46265</v>
      </c>
      <c r="F643" t="inlineStr">
        <is>
          <t>HALLANDS LÄN</t>
        </is>
      </c>
      <c r="G643" t="inlineStr">
        <is>
          <t>KUNGSBACKA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61498-2024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45646</v>
      </c>
      <c r="E644" s="1" t="n">
        <v>46265</v>
      </c>
      <c r="F644" t="inlineStr">
        <is>
          <t>HALLANDS LÄN</t>
        </is>
      </c>
      <c r="G644" t="inlineStr">
        <is>
          <t>LAHOLM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59130-2023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46265</v>
      </c>
      <c r="F645" t="inlineStr">
        <is>
          <t>HALLANDS LÄN</t>
        </is>
      </c>
      <c r="G645" t="inlineStr">
        <is>
          <t>HYLTE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54583-2025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45965</v>
      </c>
      <c r="E646" s="1" t="n">
        <v>46265</v>
      </c>
      <c r="F646" t="inlineStr">
        <is>
          <t>HALLANDS LÄN</t>
        </is>
      </c>
      <c r="G646" t="inlineStr">
        <is>
          <t>FALKENBERG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11461-2025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45726</v>
      </c>
      <c r="E647" s="1" t="n">
        <v>46265</v>
      </c>
      <c r="F647" t="inlineStr">
        <is>
          <t>HALLANDS LÄN</t>
        </is>
      </c>
      <c r="G647" t="inlineStr">
        <is>
          <t>HYLTE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54371-2025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45965</v>
      </c>
      <c r="E648" s="1" t="n">
        <v>46265</v>
      </c>
      <c r="F648" t="inlineStr">
        <is>
          <t>HALLANDS LÄN</t>
        </is>
      </c>
      <c r="G648" t="inlineStr">
        <is>
          <t>LAHOLM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44788-2024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46265</v>
      </c>
      <c r="F649" t="inlineStr">
        <is>
          <t>HALLANDS LÄN</t>
        </is>
      </c>
      <c r="G649" t="inlineStr">
        <is>
          <t>VARBERG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54443-2025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45965</v>
      </c>
      <c r="E650" s="1" t="n">
        <v>46265</v>
      </c>
      <c r="F650" t="inlineStr">
        <is>
          <t>HALLANDS LÄN</t>
        </is>
      </c>
      <c r="G650" t="inlineStr">
        <is>
          <t>FALKENBERG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54461-2025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45965</v>
      </c>
      <c r="E651" s="1" t="n">
        <v>46265</v>
      </c>
      <c r="F651" t="inlineStr">
        <is>
          <t>HALLANDS LÄN</t>
        </is>
      </c>
      <c r="G651" t="inlineStr">
        <is>
          <t>FALKENBERG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38419-2024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45546</v>
      </c>
      <c r="E652" s="1" t="n">
        <v>46265</v>
      </c>
      <c r="F652" t="inlineStr">
        <is>
          <t>HALLANDS LÄN</t>
        </is>
      </c>
      <c r="G652" t="inlineStr">
        <is>
          <t>FALKENBERG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46265</v>
      </c>
      <c r="F653" t="inlineStr">
        <is>
          <t>HALLANDS LÄN</t>
        </is>
      </c>
      <c r="G653" t="inlineStr">
        <is>
          <t>HYLTE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45741</v>
      </c>
      <c r="E654" s="1" t="n">
        <v>46265</v>
      </c>
      <c r="F654" t="inlineStr">
        <is>
          <t>HALLANDS LÄN</t>
        </is>
      </c>
      <c r="G654" t="inlineStr">
        <is>
          <t>FALKENBERG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44952</v>
      </c>
      <c r="E655" s="1" t="n">
        <v>46265</v>
      </c>
      <c r="F655" t="inlineStr">
        <is>
          <t>HALLANDS LÄN</t>
        </is>
      </c>
      <c r="G655" t="inlineStr">
        <is>
          <t>HALMSTAD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46265</v>
      </c>
      <c r="F656" t="inlineStr">
        <is>
          <t>HALLANDS LÄN</t>
        </is>
      </c>
      <c r="G656" t="inlineStr">
        <is>
          <t>FALKENBERG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46265</v>
      </c>
      <c r="F657" t="inlineStr">
        <is>
          <t>HALLANDS LÄN</t>
        </is>
      </c>
      <c r="G657" t="inlineStr">
        <is>
          <t>FALKENBERG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31641-2025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45834</v>
      </c>
      <c r="E658" s="1" t="n">
        <v>46265</v>
      </c>
      <c r="F658" t="inlineStr">
        <is>
          <t>HALLANDS LÄN</t>
        </is>
      </c>
      <c r="G658" t="inlineStr">
        <is>
          <t>HYLTE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54581-2025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45965</v>
      </c>
      <c r="E659" s="1" t="n">
        <v>46265</v>
      </c>
      <c r="F659" t="inlineStr">
        <is>
          <t>HALLANDS LÄN</t>
        </is>
      </c>
      <c r="G659" t="inlineStr">
        <is>
          <t>FALKENBERG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45354-2024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45576</v>
      </c>
      <c r="E660" s="1" t="n">
        <v>46265</v>
      </c>
      <c r="F660" t="inlineStr">
        <is>
          <t>HALLANDS LÄN</t>
        </is>
      </c>
      <c r="G660" t="inlineStr">
        <is>
          <t>LAHOLM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39139-2025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46265</v>
      </c>
      <c r="F661" t="inlineStr">
        <is>
          <t>HALLANDS LÄN</t>
        </is>
      </c>
      <c r="G661" t="inlineStr">
        <is>
          <t>FALKENBERG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39066-2025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45888</v>
      </c>
      <c r="E662" s="1" t="n">
        <v>46265</v>
      </c>
      <c r="F662" t="inlineStr">
        <is>
          <t>HALLANDS LÄN</t>
        </is>
      </c>
      <c r="G662" t="inlineStr">
        <is>
          <t>KUNGSBACKA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60909-2022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44908</v>
      </c>
      <c r="E663" s="1" t="n">
        <v>46265</v>
      </c>
      <c r="F663" t="inlineStr">
        <is>
          <t>HALLANDS LÄN</t>
        </is>
      </c>
      <c r="G663" t="inlineStr">
        <is>
          <t>FALKENBERG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47339-2021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44447</v>
      </c>
      <c r="E664" s="1" t="n">
        <v>46265</v>
      </c>
      <c r="F664" t="inlineStr">
        <is>
          <t>HALLANDS LÄN</t>
        </is>
      </c>
      <c r="G664" t="inlineStr">
        <is>
          <t>VARBERG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29488-2024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45483</v>
      </c>
      <c r="E665" s="1" t="n">
        <v>46265</v>
      </c>
      <c r="F665" t="inlineStr">
        <is>
          <t>HALLANDS LÄN</t>
        </is>
      </c>
      <c r="G665" t="inlineStr">
        <is>
          <t>HYLTE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25214-2024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45462</v>
      </c>
      <c r="E666" s="1" t="n">
        <v>46265</v>
      </c>
      <c r="F666" t="inlineStr">
        <is>
          <t>HALLANDS LÄN</t>
        </is>
      </c>
      <c r="G666" t="inlineStr">
        <is>
          <t>FALKENBERG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22913-2025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45790</v>
      </c>
      <c r="E667" s="1" t="n">
        <v>46265</v>
      </c>
      <c r="F667" t="inlineStr">
        <is>
          <t>HALLANDS LÄN</t>
        </is>
      </c>
      <c r="G667" t="inlineStr">
        <is>
          <t>FALKENBERG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20358-2024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45435</v>
      </c>
      <c r="E668" s="1" t="n">
        <v>46265</v>
      </c>
      <c r="F668" t="inlineStr">
        <is>
          <t>HALLANDS LÄN</t>
        </is>
      </c>
      <c r="G668" t="inlineStr">
        <is>
          <t>FALKENBERG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25349-2025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46265</v>
      </c>
      <c r="F669" t="inlineStr">
        <is>
          <t>HALLANDS LÄN</t>
        </is>
      </c>
      <c r="G669" t="inlineStr">
        <is>
          <t>HALMSTAD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20750-2024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45436</v>
      </c>
      <c r="E670" s="1" t="n">
        <v>46265</v>
      </c>
      <c r="F670" t="inlineStr">
        <is>
          <t>HALLANDS LÄN</t>
        </is>
      </c>
      <c r="G670" t="inlineStr">
        <is>
          <t>KUNGSBACKA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45750</v>
      </c>
      <c r="E671" s="1" t="n">
        <v>46265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45840</v>
      </c>
      <c r="E672" s="1" t="n">
        <v>46265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46265</v>
      </c>
      <c r="F673" t="inlineStr">
        <is>
          <t>HALLANDS LÄN</t>
        </is>
      </c>
      <c r="G673" t="inlineStr">
        <is>
          <t>HALMSTAD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21465-2025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45782</v>
      </c>
      <c r="E674" s="1" t="n">
        <v>46265</v>
      </c>
      <c r="F674" t="inlineStr">
        <is>
          <t>HALLANDS LÄN</t>
        </is>
      </c>
      <c r="G674" t="inlineStr">
        <is>
          <t>FALKENBERG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52488-2024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45609</v>
      </c>
      <c r="E675" s="1" t="n">
        <v>46265</v>
      </c>
      <c r="F675" t="inlineStr">
        <is>
          <t>HALLANDS LÄN</t>
        </is>
      </c>
      <c r="G675" t="inlineStr">
        <is>
          <t>HYLTE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20741-2024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45436</v>
      </c>
      <c r="E676" s="1" t="n">
        <v>46265</v>
      </c>
      <c r="F676" t="inlineStr">
        <is>
          <t>HALLANDS LÄN</t>
        </is>
      </c>
      <c r="G676" t="inlineStr">
        <is>
          <t>HYLTE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46403-2024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45582</v>
      </c>
      <c r="E677" s="1" t="n">
        <v>46265</v>
      </c>
      <c r="F677" t="inlineStr">
        <is>
          <t>HALLANDS LÄN</t>
        </is>
      </c>
      <c r="G677" t="inlineStr">
        <is>
          <t>FALKENBERG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42074-2024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45562</v>
      </c>
      <c r="E678" s="1" t="n">
        <v>46265</v>
      </c>
      <c r="F678" t="inlineStr">
        <is>
          <t>HALLANDS LÄN</t>
        </is>
      </c>
      <c r="G678" t="inlineStr">
        <is>
          <t>FALKENBERG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53127-2021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44467</v>
      </c>
      <c r="E679" s="1" t="n">
        <v>46265</v>
      </c>
      <c r="F679" t="inlineStr">
        <is>
          <t>HALLANDS LÄN</t>
        </is>
      </c>
      <c r="G679" t="inlineStr">
        <is>
          <t>LAHOLM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36930-2024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45538</v>
      </c>
      <c r="E680" s="1" t="n">
        <v>46265</v>
      </c>
      <c r="F680" t="inlineStr">
        <is>
          <t>HALLANDS LÄN</t>
        </is>
      </c>
      <c r="G680" t="inlineStr">
        <is>
          <t>LAHOLM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58931-2022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44903</v>
      </c>
      <c r="E681" s="1" t="n">
        <v>46265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61853-2023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45265</v>
      </c>
      <c r="E682" s="1" t="n">
        <v>46265</v>
      </c>
      <c r="F682" t="inlineStr">
        <is>
          <t>HALLANDS LÄN</t>
        </is>
      </c>
      <c r="G682" t="inlineStr">
        <is>
          <t>HALMSTAD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17846-2024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45419</v>
      </c>
      <c r="E683" s="1" t="n">
        <v>46265</v>
      </c>
      <c r="F683" t="inlineStr">
        <is>
          <t>HALLANDS LÄN</t>
        </is>
      </c>
      <c r="G683" t="inlineStr">
        <is>
          <t>FALKENBERG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45673</v>
      </c>
      <c r="E684" s="1" t="n">
        <v>46265</v>
      </c>
      <c r="F684" t="inlineStr">
        <is>
          <t>HALLANDS LÄN</t>
        </is>
      </c>
      <c r="G684" t="inlineStr">
        <is>
          <t>HYLTE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34028-2025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45845</v>
      </c>
      <c r="E685" s="1" t="n">
        <v>46265</v>
      </c>
      <c r="F685" t="inlineStr">
        <is>
          <t>HALLANDS LÄN</t>
        </is>
      </c>
      <c r="G685" t="inlineStr">
        <is>
          <t>VARBERG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46522-2024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45582</v>
      </c>
      <c r="E686" s="1" t="n">
        <v>46265</v>
      </c>
      <c r="F686" t="inlineStr">
        <is>
          <t>HALLANDS LÄN</t>
        </is>
      </c>
      <c r="G686" t="inlineStr">
        <is>
          <t>FALKENBERG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5904-2025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45695</v>
      </c>
      <c r="E687" s="1" t="n">
        <v>46265</v>
      </c>
      <c r="F687" t="inlineStr">
        <is>
          <t>HALLANDS LÄN</t>
        </is>
      </c>
      <c r="G687" t="inlineStr">
        <is>
          <t>LAHOLM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19305-2025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45769</v>
      </c>
      <c r="E688" s="1" t="n">
        <v>46265</v>
      </c>
      <c r="F688" t="inlineStr">
        <is>
          <t>HALLANDS LÄN</t>
        </is>
      </c>
      <c r="G688" t="inlineStr">
        <is>
          <t>HALMSTAD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53069-2021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44467</v>
      </c>
      <c r="E689" s="1" t="n">
        <v>46265</v>
      </c>
      <c r="F689" t="inlineStr">
        <is>
          <t>HALLANDS LÄN</t>
        </is>
      </c>
      <c r="G689" t="inlineStr">
        <is>
          <t>FALKENBERG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53128-2021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44467</v>
      </c>
      <c r="E690" s="1" t="n">
        <v>46265</v>
      </c>
      <c r="F690" t="inlineStr">
        <is>
          <t>HALLANDS LÄN</t>
        </is>
      </c>
      <c r="G690" t="inlineStr">
        <is>
          <t>LAHOLM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39091-2025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45888</v>
      </c>
      <c r="E691" s="1" t="n">
        <v>46265</v>
      </c>
      <c r="F691" t="inlineStr">
        <is>
          <t>HALLANDS LÄN</t>
        </is>
      </c>
      <c r="G691" t="inlineStr">
        <is>
          <t>VARBERG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31940-2023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46265</v>
      </c>
      <c r="F692" t="inlineStr">
        <is>
          <t>HALLANDS LÄN</t>
        </is>
      </c>
      <c r="G692" t="inlineStr">
        <is>
          <t>LAHOLM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45805</v>
      </c>
      <c r="E693" s="1" t="n">
        <v>46265</v>
      </c>
      <c r="F693" t="inlineStr">
        <is>
          <t>HALLANDS LÄN</t>
        </is>
      </c>
      <c r="G693" t="inlineStr">
        <is>
          <t>HALMSTAD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45714</v>
      </c>
      <c r="E694" s="1" t="n">
        <v>46265</v>
      </c>
      <c r="F694" t="inlineStr">
        <is>
          <t>HALLANDS LÄN</t>
        </is>
      </c>
      <c r="G694" t="inlineStr">
        <is>
          <t>HALMSTAD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28129-2025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45818</v>
      </c>
      <c r="E695" s="1" t="n">
        <v>46265</v>
      </c>
      <c r="F695" t="inlineStr">
        <is>
          <t>HALLANDS LÄN</t>
        </is>
      </c>
      <c r="G695" t="inlineStr">
        <is>
          <t>LAHOLM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54434-2025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45965</v>
      </c>
      <c r="E696" s="1" t="n">
        <v>46265</v>
      </c>
      <c r="F696" t="inlineStr">
        <is>
          <t>HALLANDS LÄN</t>
        </is>
      </c>
      <c r="G696" t="inlineStr">
        <is>
          <t>FALKENBERG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54439-2025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45965</v>
      </c>
      <c r="E697" s="1" t="n">
        <v>46265</v>
      </c>
      <c r="F697" t="inlineStr">
        <is>
          <t>HALLANDS LÄN</t>
        </is>
      </c>
      <c r="G697" t="inlineStr">
        <is>
          <t>FALKENBERG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46265</v>
      </c>
      <c r="F698" t="inlineStr">
        <is>
          <t>HALLANDS LÄN</t>
        </is>
      </c>
      <c r="G698" t="inlineStr">
        <is>
          <t>LAHOLM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29434-2024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45483</v>
      </c>
      <c r="E699" s="1" t="n">
        <v>46265</v>
      </c>
      <c r="F699" t="inlineStr">
        <is>
          <t>HALLANDS LÄN</t>
        </is>
      </c>
      <c r="G699" t="inlineStr">
        <is>
          <t>HYLTE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25366-2025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45800</v>
      </c>
      <c r="E700" s="1" t="n">
        <v>46265</v>
      </c>
      <c r="F700" t="inlineStr">
        <is>
          <t>HALLANDS LÄN</t>
        </is>
      </c>
      <c r="G700" t="inlineStr">
        <is>
          <t>FALKENBERG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44938</v>
      </c>
      <c r="E701" s="1" t="n">
        <v>46265</v>
      </c>
      <c r="F701" t="inlineStr">
        <is>
          <t>HALLANDS LÄN</t>
        </is>
      </c>
      <c r="G701" t="inlineStr">
        <is>
          <t>FALKENBERG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4529-2025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45687</v>
      </c>
      <c r="E702" s="1" t="n">
        <v>46265</v>
      </c>
      <c r="F702" t="inlineStr">
        <is>
          <t>HALLANDS LÄN</t>
        </is>
      </c>
      <c r="G702" t="inlineStr">
        <is>
          <t>HYLTE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62742-2022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44925</v>
      </c>
      <c r="E703" s="1" t="n">
        <v>46265</v>
      </c>
      <c r="F703" t="inlineStr">
        <is>
          <t>HALLANDS LÄN</t>
        </is>
      </c>
      <c r="G703" t="inlineStr">
        <is>
          <t>KUNGSBACKA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38174-2022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44802</v>
      </c>
      <c r="E704" s="1" t="n">
        <v>46265</v>
      </c>
      <c r="F704" t="inlineStr">
        <is>
          <t>HALLANDS LÄN</t>
        </is>
      </c>
      <c r="G704" t="inlineStr">
        <is>
          <t>HALMSTAD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45323</v>
      </c>
      <c r="E705" s="1" t="n">
        <v>46265</v>
      </c>
      <c r="F705" t="inlineStr">
        <is>
          <t>HALLANDS LÄN</t>
        </is>
      </c>
      <c r="G705" t="inlineStr">
        <is>
          <t>FALKENBERG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39298-2025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45889</v>
      </c>
      <c r="E706" s="1" t="n">
        <v>46265</v>
      </c>
      <c r="F706" t="inlineStr">
        <is>
          <t>HALLANDS LÄN</t>
        </is>
      </c>
      <c r="G706" t="inlineStr">
        <is>
          <t>FALKENBERG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45984-2024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45580</v>
      </c>
      <c r="E707" s="1" t="n">
        <v>46265</v>
      </c>
      <c r="F707" t="inlineStr">
        <is>
          <t>HALLANDS LÄN</t>
        </is>
      </c>
      <c r="G707" t="inlineStr">
        <is>
          <t>VARBERG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39292-2025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45889</v>
      </c>
      <c r="E708" s="1" t="n">
        <v>46265</v>
      </c>
      <c r="F708" t="inlineStr">
        <is>
          <t>HALLANDS LÄN</t>
        </is>
      </c>
      <c r="G708" t="inlineStr">
        <is>
          <t>KUNGSBACKA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39295-2025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45889</v>
      </c>
      <c r="E709" s="1" t="n">
        <v>46265</v>
      </c>
      <c r="F709" t="inlineStr">
        <is>
          <t>HALLANDS LÄN</t>
        </is>
      </c>
      <c r="G709" t="inlineStr">
        <is>
          <t>KUNGSBACKA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58683-2022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44902</v>
      </c>
      <c r="E710" s="1" t="n">
        <v>46265</v>
      </c>
      <c r="F710" t="inlineStr">
        <is>
          <t>HALLANDS LÄN</t>
        </is>
      </c>
      <c r="G710" t="inlineStr">
        <is>
          <t>VARBERG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31424-2024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45505</v>
      </c>
      <c r="E711" s="1" t="n">
        <v>46265</v>
      </c>
      <c r="F711" t="inlineStr">
        <is>
          <t>HALLANDS LÄN</t>
        </is>
      </c>
      <c r="G711" t="inlineStr">
        <is>
          <t>HYLTE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23366-2025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45791</v>
      </c>
      <c r="E712" s="1" t="n">
        <v>46265</v>
      </c>
      <c r="F712" t="inlineStr">
        <is>
          <t>HALLANDS LÄN</t>
        </is>
      </c>
      <c r="G712" t="inlineStr">
        <is>
          <t>VARBERG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35384-2024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45531</v>
      </c>
      <c r="E713" s="1" t="n">
        <v>46265</v>
      </c>
      <c r="F713" t="inlineStr">
        <is>
          <t>HALLANDS LÄN</t>
        </is>
      </c>
      <c r="G713" t="inlineStr">
        <is>
          <t>HALMSTAD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39595-2025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45890</v>
      </c>
      <c r="E714" s="1" t="n">
        <v>46265</v>
      </c>
      <c r="F714" t="inlineStr">
        <is>
          <t>HALLANDS LÄN</t>
        </is>
      </c>
      <c r="G714" t="inlineStr">
        <is>
          <t>HYLTE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15846-2025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45748</v>
      </c>
      <c r="E715" s="1" t="n">
        <v>46265</v>
      </c>
      <c r="F715" t="inlineStr">
        <is>
          <t>HALLANDS LÄN</t>
        </is>
      </c>
      <c r="G715" t="inlineStr">
        <is>
          <t>HYLTE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12661-2023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45000</v>
      </c>
      <c r="E716" s="1" t="n">
        <v>46265</v>
      </c>
      <c r="F716" t="inlineStr">
        <is>
          <t>HALLANDS LÄN</t>
        </is>
      </c>
      <c r="G716" t="inlineStr">
        <is>
          <t>LAHOLM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40047-2025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45894</v>
      </c>
      <c r="E717" s="1" t="n">
        <v>46265</v>
      </c>
      <c r="F717" t="inlineStr">
        <is>
          <t>HALLANDS LÄN</t>
        </is>
      </c>
      <c r="G717" t="inlineStr">
        <is>
          <t>HALMSTAD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45378</v>
      </c>
      <c r="E718" s="1" t="n">
        <v>46265</v>
      </c>
      <c r="F718" t="inlineStr">
        <is>
          <t>HALLANDS LÄN</t>
        </is>
      </c>
      <c r="G718" t="inlineStr">
        <is>
          <t>VARBERG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23609-2025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45792</v>
      </c>
      <c r="E719" s="1" t="n">
        <v>46265</v>
      </c>
      <c r="F719" t="inlineStr">
        <is>
          <t>HALLANDS LÄN</t>
        </is>
      </c>
      <c r="G719" t="inlineStr">
        <is>
          <t>HALMSTAD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45839-2024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45580</v>
      </c>
      <c r="E720" s="1" t="n">
        <v>46265</v>
      </c>
      <c r="F720" t="inlineStr">
        <is>
          <t>HALLANDS LÄN</t>
        </is>
      </c>
      <c r="G720" t="inlineStr">
        <is>
          <t>FALKENBERG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57016-2021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44482</v>
      </c>
      <c r="E721" s="1" t="n">
        <v>46265</v>
      </c>
      <c r="F721" t="inlineStr">
        <is>
          <t>HALLANDS LÄN</t>
        </is>
      </c>
      <c r="G721" t="inlineStr">
        <is>
          <t>HYLTE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39991-2025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45891</v>
      </c>
      <c r="E722" s="1" t="n">
        <v>46265</v>
      </c>
      <c r="F722" t="inlineStr">
        <is>
          <t>HALLANDS LÄN</t>
        </is>
      </c>
      <c r="G722" t="inlineStr">
        <is>
          <t>HYLTE</t>
        </is>
      </c>
      <c r="H722" t="inlineStr">
        <is>
          <t>Kyrkan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39992-2025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45891</v>
      </c>
      <c r="E723" s="1" t="n">
        <v>46265</v>
      </c>
      <c r="F723" t="inlineStr">
        <is>
          <t>HALLANDS LÄN</t>
        </is>
      </c>
      <c r="G723" t="inlineStr">
        <is>
          <t>HYLTE</t>
        </is>
      </c>
      <c r="H723" t="inlineStr">
        <is>
          <t>Kyrkan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14985-2025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45743</v>
      </c>
      <c r="E724" s="1" t="n">
        <v>46265</v>
      </c>
      <c r="F724" t="inlineStr">
        <is>
          <t>HALLANDS LÄN</t>
        </is>
      </c>
      <c r="G724" t="inlineStr">
        <is>
          <t>HYLTE</t>
        </is>
      </c>
      <c r="H724" t="inlineStr">
        <is>
          <t>Bergvik skog väst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54365-2025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45965</v>
      </c>
      <c r="E725" s="1" t="n">
        <v>46265</v>
      </c>
      <c r="F725" t="inlineStr">
        <is>
          <t>HALLANDS LÄN</t>
        </is>
      </c>
      <c r="G725" t="inlineStr">
        <is>
          <t>FALKENBERG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55272-2025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45968</v>
      </c>
      <c r="E726" s="1" t="n">
        <v>46265</v>
      </c>
      <c r="F726" t="inlineStr">
        <is>
          <t>HALLANDS LÄN</t>
        </is>
      </c>
      <c r="G726" t="inlineStr">
        <is>
          <t>KUNGSBACKA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19565-2025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45770</v>
      </c>
      <c r="E727" s="1" t="n">
        <v>46265</v>
      </c>
      <c r="F727" t="inlineStr">
        <is>
          <t>HALLANDS LÄN</t>
        </is>
      </c>
      <c r="G727" t="inlineStr">
        <is>
          <t>FALKENBERG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55050-2025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45967</v>
      </c>
      <c r="E728" s="1" t="n">
        <v>46265</v>
      </c>
      <c r="F728" t="inlineStr">
        <is>
          <t>HALLANDS LÄN</t>
        </is>
      </c>
      <c r="G728" t="inlineStr">
        <is>
          <t>HALMSTAD</t>
        </is>
      </c>
      <c r="H728" t="inlineStr">
        <is>
          <t>Kyrkan</t>
        </is>
      </c>
      <c r="I728" t="n">
        <v>10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54424-2025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45965</v>
      </c>
      <c r="E729" s="1" t="n">
        <v>46265</v>
      </c>
      <c r="F729" t="inlineStr">
        <is>
          <t>HALLANDS LÄN</t>
        </is>
      </c>
      <c r="G729" t="inlineStr">
        <is>
          <t>FALKENBERG</t>
        </is>
      </c>
      <c r="H729" t="inlineStr">
        <is>
          <t>Kyrkan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23579-2025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46265</v>
      </c>
      <c r="F730" t="inlineStr">
        <is>
          <t>HALLANDS LÄN</t>
        </is>
      </c>
      <c r="G730" t="inlineStr">
        <is>
          <t>KUNGSBACKA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55141-2025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45968</v>
      </c>
      <c r="E731" s="1" t="n">
        <v>46265</v>
      </c>
      <c r="F731" t="inlineStr">
        <is>
          <t>HALLANDS LÄN</t>
        </is>
      </c>
      <c r="G731" t="inlineStr">
        <is>
          <t>FALKENBERG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23365-2025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45791</v>
      </c>
      <c r="E732" s="1" t="n">
        <v>46265</v>
      </c>
      <c r="F732" t="inlineStr">
        <is>
          <t>HALLANDS LÄN</t>
        </is>
      </c>
      <c r="G732" t="inlineStr">
        <is>
          <t>VARBERG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45306</v>
      </c>
      <c r="E733" s="1" t="n">
        <v>46265</v>
      </c>
      <c r="F733" t="inlineStr">
        <is>
          <t>HALLANDS LÄN</t>
        </is>
      </c>
      <c r="G733" t="inlineStr">
        <is>
          <t>HALMSTAD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35686-2023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45147</v>
      </c>
      <c r="E734" s="1" t="n">
        <v>46265</v>
      </c>
      <c r="F734" t="inlineStr">
        <is>
          <t>HALLANDS LÄN</t>
        </is>
      </c>
      <c r="G734" t="inlineStr">
        <is>
          <t>FALKENBERG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47586-2024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45587</v>
      </c>
      <c r="E735" s="1" t="n">
        <v>46265</v>
      </c>
      <c r="F735" t="inlineStr">
        <is>
          <t>HALLANDS LÄN</t>
        </is>
      </c>
      <c r="G735" t="inlineStr">
        <is>
          <t>LAHOLM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60830-2024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45644</v>
      </c>
      <c r="E736" s="1" t="n">
        <v>46265</v>
      </c>
      <c r="F736" t="inlineStr">
        <is>
          <t>HALLANDS LÄN</t>
        </is>
      </c>
      <c r="G736" t="inlineStr">
        <is>
          <t>LAHOLM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55107-2025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45968</v>
      </c>
      <c r="E737" s="1" t="n">
        <v>46265</v>
      </c>
      <c r="F737" t="inlineStr">
        <is>
          <t>HALLANDS LÄN</t>
        </is>
      </c>
      <c r="G737" t="inlineStr">
        <is>
          <t>FALKENBERG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45323</v>
      </c>
      <c r="E738" s="1" t="n">
        <v>46265</v>
      </c>
      <c r="F738" t="inlineStr">
        <is>
          <t>HALLANDS LÄN</t>
        </is>
      </c>
      <c r="G738" t="inlineStr">
        <is>
          <t>VARBERG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45895</v>
      </c>
      <c r="E739" s="1" t="n">
        <v>46265</v>
      </c>
      <c r="F739" t="inlineStr">
        <is>
          <t>HALLANDS LÄN</t>
        </is>
      </c>
      <c r="G739" t="inlineStr">
        <is>
          <t>FALKENBERG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40448-2025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45895</v>
      </c>
      <c r="E740" s="1" t="n">
        <v>46265</v>
      </c>
      <c r="F740" t="inlineStr">
        <is>
          <t>HALLANDS LÄN</t>
        </is>
      </c>
      <c r="G740" t="inlineStr">
        <is>
          <t>FALKENBERG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27627-2023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45097</v>
      </c>
      <c r="E741" s="1" t="n">
        <v>46265</v>
      </c>
      <c r="F741" t="inlineStr">
        <is>
          <t>HALLANDS LÄN</t>
        </is>
      </c>
      <c r="G741" t="inlineStr">
        <is>
          <t>HYLTE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27652-2023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45097</v>
      </c>
      <c r="E742" s="1" t="n">
        <v>46265</v>
      </c>
      <c r="F742" t="inlineStr">
        <is>
          <t>HALLANDS LÄN</t>
        </is>
      </c>
      <c r="G742" t="inlineStr">
        <is>
          <t>VARBERG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45097</v>
      </c>
      <c r="E743" s="1" t="n">
        <v>46265</v>
      </c>
      <c r="F743" t="inlineStr">
        <is>
          <t>HALLANDS LÄN</t>
        </is>
      </c>
      <c r="G743" t="inlineStr">
        <is>
          <t>VARBERG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45972</v>
      </c>
      <c r="E744" s="1" t="n">
        <v>46265</v>
      </c>
      <c r="F744" t="inlineStr">
        <is>
          <t>HALLANDS LÄN</t>
        </is>
      </c>
      <c r="G744" t="inlineStr">
        <is>
          <t>HYLTE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55695-2025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45972</v>
      </c>
      <c r="E745" s="1" t="n">
        <v>46265</v>
      </c>
      <c r="F745" t="inlineStr">
        <is>
          <t>HALLANDS LÄN</t>
        </is>
      </c>
      <c r="G745" t="inlineStr">
        <is>
          <t>HYLTE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55354-2025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45971</v>
      </c>
      <c r="E746" s="1" t="n">
        <v>46265</v>
      </c>
      <c r="F746" t="inlineStr">
        <is>
          <t>HALLANDS LÄN</t>
        </is>
      </c>
      <c r="G746" t="inlineStr">
        <is>
          <t>LAHOLM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35018-2025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45851</v>
      </c>
      <c r="E747" s="1" t="n">
        <v>46265</v>
      </c>
      <c r="F747" t="inlineStr">
        <is>
          <t>HALLANDS LÄN</t>
        </is>
      </c>
      <c r="G747" t="inlineStr">
        <is>
          <t>VARBERG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55319-2025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45971</v>
      </c>
      <c r="E748" s="1" t="n">
        <v>46265</v>
      </c>
      <c r="F748" t="inlineStr">
        <is>
          <t>HALLANDS LÄN</t>
        </is>
      </c>
      <c r="G748" t="inlineStr">
        <is>
          <t>VARBERG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55535-2025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45971</v>
      </c>
      <c r="E749" s="1" t="n">
        <v>46265</v>
      </c>
      <c r="F749" t="inlineStr">
        <is>
          <t>HALLANDS LÄN</t>
        </is>
      </c>
      <c r="G749" t="inlineStr">
        <is>
          <t>FALKENBERG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55352-2025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45971</v>
      </c>
      <c r="E750" s="1" t="n">
        <v>46265</v>
      </c>
      <c r="F750" t="inlineStr">
        <is>
          <t>HALLANDS LÄN</t>
        </is>
      </c>
      <c r="G750" t="inlineStr">
        <is>
          <t>LAHOLM</t>
        </is>
      </c>
      <c r="I750" t="n">
        <v>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55644-2025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45972</v>
      </c>
      <c r="E751" s="1" t="n">
        <v>46265</v>
      </c>
      <c r="F751" t="inlineStr">
        <is>
          <t>HALLANDS LÄN</t>
        </is>
      </c>
      <c r="G751" t="inlineStr">
        <is>
          <t>HYLTE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45791</v>
      </c>
      <c r="E752" s="1" t="n">
        <v>46265</v>
      </c>
      <c r="F752" t="inlineStr">
        <is>
          <t>HALLANDS LÄN</t>
        </is>
      </c>
      <c r="G752" t="inlineStr">
        <is>
          <t>VARBERG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48217-2024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45590</v>
      </c>
      <c r="E753" s="1" t="n">
        <v>46265</v>
      </c>
      <c r="F753" t="inlineStr">
        <is>
          <t>HALLANDS LÄN</t>
        </is>
      </c>
      <c r="G753" t="inlineStr">
        <is>
          <t>HYLTE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45478</v>
      </c>
      <c r="E754" s="1" t="n">
        <v>46265</v>
      </c>
      <c r="F754" t="inlineStr">
        <is>
          <t>HALLANDS LÄN</t>
        </is>
      </c>
      <c r="G754" t="inlineStr">
        <is>
          <t>HYLTE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55538-2025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45971</v>
      </c>
      <c r="E755" s="1" t="n">
        <v>46265</v>
      </c>
      <c r="F755" t="inlineStr">
        <is>
          <t>HALLANDS LÄN</t>
        </is>
      </c>
      <c r="G755" t="inlineStr">
        <is>
          <t>FALKENBERG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55539-2025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45971</v>
      </c>
      <c r="E756" s="1" t="n">
        <v>46265</v>
      </c>
      <c r="F756" t="inlineStr">
        <is>
          <t>HALLANDS LÄN</t>
        </is>
      </c>
      <c r="G756" t="inlineStr">
        <is>
          <t>FALKENBERG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53051-2021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44467</v>
      </c>
      <c r="E757" s="1" t="n">
        <v>46265</v>
      </c>
      <c r="F757" t="inlineStr">
        <is>
          <t>HALLANDS LÄN</t>
        </is>
      </c>
      <c r="G757" t="inlineStr">
        <is>
          <t>KUNGSBACKA</t>
        </is>
      </c>
      <c r="H757" t="inlineStr">
        <is>
          <t>Kommuner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55750-2021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44476</v>
      </c>
      <c r="E758" s="1" t="n">
        <v>46265</v>
      </c>
      <c r="F758" t="inlineStr">
        <is>
          <t>HALLANDS LÄN</t>
        </is>
      </c>
      <c r="G758" t="inlineStr">
        <is>
          <t>HYLTE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55608-2025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45971</v>
      </c>
      <c r="E759" s="1" t="n">
        <v>46265</v>
      </c>
      <c r="F759" t="inlineStr">
        <is>
          <t>HALLANDS LÄN</t>
        </is>
      </c>
      <c r="G759" t="inlineStr">
        <is>
          <t>FALKENBERG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31293-2024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45504</v>
      </c>
      <c r="E760" s="1" t="n">
        <v>46265</v>
      </c>
      <c r="F760" t="inlineStr">
        <is>
          <t>HALLANDS LÄN</t>
        </is>
      </c>
      <c r="G760" t="inlineStr">
        <is>
          <t>KUNGSBACKA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53194-2024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45610</v>
      </c>
      <c r="E761" s="1" t="n">
        <v>46265</v>
      </c>
      <c r="F761" t="inlineStr">
        <is>
          <t>HALLANDS LÄN</t>
        </is>
      </c>
      <c r="G761" t="inlineStr">
        <is>
          <t>KUNGSBACKA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57020-2023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45244</v>
      </c>
      <c r="E762" s="1" t="n">
        <v>46265</v>
      </c>
      <c r="F762" t="inlineStr">
        <is>
          <t>HALLANDS LÄN</t>
        </is>
      </c>
      <c r="G762" t="inlineStr">
        <is>
          <t>FALKENBERG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40940-2025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45897</v>
      </c>
      <c r="E763" s="1" t="n">
        <v>46265</v>
      </c>
      <c r="F763" t="inlineStr">
        <is>
          <t>HALLANDS LÄN</t>
        </is>
      </c>
      <c r="G763" t="inlineStr">
        <is>
          <t>VARBERG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56093-2025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45973</v>
      </c>
      <c r="E764" s="1" t="n">
        <v>46265</v>
      </c>
      <c r="F764" t="inlineStr">
        <is>
          <t>HALLANDS LÄN</t>
        </is>
      </c>
      <c r="G764" t="inlineStr">
        <is>
          <t>LAHOLM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35867-2024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45533</v>
      </c>
      <c r="E765" s="1" t="n">
        <v>46265</v>
      </c>
      <c r="F765" t="inlineStr">
        <is>
          <t>HALLANDS LÄN</t>
        </is>
      </c>
      <c r="G765" t="inlineStr">
        <is>
          <t>FALKENBERG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45439</v>
      </c>
      <c r="E766" s="1" t="n">
        <v>46265</v>
      </c>
      <c r="F766" t="inlineStr">
        <is>
          <t>HALLANDS LÄN</t>
        </is>
      </c>
      <c r="G766" t="inlineStr">
        <is>
          <t>FALKENBERG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40975-2025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45897</v>
      </c>
      <c r="E767" s="1" t="n">
        <v>46265</v>
      </c>
      <c r="F767" t="inlineStr">
        <is>
          <t>HALLANDS LÄN</t>
        </is>
      </c>
      <c r="G767" t="inlineStr">
        <is>
          <t>HYLTE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40976-2025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45897</v>
      </c>
      <c r="E768" s="1" t="n">
        <v>46265</v>
      </c>
      <c r="F768" t="inlineStr">
        <is>
          <t>HALLANDS LÄN</t>
        </is>
      </c>
      <c r="G768" t="inlineStr">
        <is>
          <t>HYLTE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45747</v>
      </c>
      <c r="E769" s="1" t="n">
        <v>46265</v>
      </c>
      <c r="F769" t="inlineStr">
        <is>
          <t>HALLANDS LÄN</t>
        </is>
      </c>
      <c r="G769" t="inlineStr">
        <is>
          <t>HALMSTAD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55923-2025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45973</v>
      </c>
      <c r="E770" s="1" t="n">
        <v>46265</v>
      </c>
      <c r="F770" t="inlineStr">
        <is>
          <t>HALLANDS LÄN</t>
        </is>
      </c>
      <c r="G770" t="inlineStr">
        <is>
          <t>FALKENBERG</t>
        </is>
      </c>
      <c r="H770" t="inlineStr">
        <is>
          <t>Kyrkan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44793-2024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45574</v>
      </c>
      <c r="E771" s="1" t="n">
        <v>46265</v>
      </c>
      <c r="F771" t="inlineStr">
        <is>
          <t>HALLANDS LÄN</t>
        </is>
      </c>
      <c r="G771" t="inlineStr">
        <is>
          <t>VARBERG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72277-2021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44545</v>
      </c>
      <c r="E772" s="1" t="n">
        <v>46265</v>
      </c>
      <c r="F772" t="inlineStr">
        <is>
          <t>HALLANDS LÄN</t>
        </is>
      </c>
      <c r="G772" t="inlineStr">
        <is>
          <t>FALKENBERG</t>
        </is>
      </c>
      <c r="I772" t="n">
        <v>9.699999999999999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54131-2024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45616</v>
      </c>
      <c r="E773" s="1" t="n">
        <v>46265</v>
      </c>
      <c r="F773" t="inlineStr">
        <is>
          <t>HALLANDS LÄN</t>
        </is>
      </c>
      <c r="G773" t="inlineStr">
        <is>
          <t>FALKENBERG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36714-2024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45537</v>
      </c>
      <c r="E774" s="1" t="n">
        <v>46265</v>
      </c>
      <c r="F774" t="inlineStr">
        <is>
          <t>HALLANDS LÄN</t>
        </is>
      </c>
      <c r="G774" t="inlineStr">
        <is>
          <t>HALMSTAD</t>
        </is>
      </c>
      <c r="I774" t="n">
        <v>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50345-2024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45600</v>
      </c>
      <c r="E775" s="1" t="n">
        <v>46265</v>
      </c>
      <c r="F775" t="inlineStr">
        <is>
          <t>HALLANDS LÄN</t>
        </is>
      </c>
      <c r="G775" t="inlineStr">
        <is>
          <t>HYLTE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41391-2025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45901</v>
      </c>
      <c r="E776" s="1" t="n">
        <v>46265</v>
      </c>
      <c r="F776" t="inlineStr">
        <is>
          <t>HALLANDS LÄN</t>
        </is>
      </c>
      <c r="G776" t="inlineStr">
        <is>
          <t>FALKENBERG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56100-2025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45973</v>
      </c>
      <c r="E777" s="1" t="n">
        <v>46265</v>
      </c>
      <c r="F777" t="inlineStr">
        <is>
          <t>HALLANDS LÄN</t>
        </is>
      </c>
      <c r="G777" t="inlineStr">
        <is>
          <t>LAHOLM</t>
        </is>
      </c>
      <c r="H777" t="inlineStr">
        <is>
          <t>Övriga statliga verk och myndigheter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23359-2025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45791</v>
      </c>
      <c r="E778" s="1" t="n">
        <v>46265</v>
      </c>
      <c r="F778" t="inlineStr">
        <is>
          <t>HALLANDS LÄN</t>
        </is>
      </c>
      <c r="G778" t="inlineStr">
        <is>
          <t>VARBERG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60211-2021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44495</v>
      </c>
      <c r="E779" s="1" t="n">
        <v>46265</v>
      </c>
      <c r="F779" t="inlineStr">
        <is>
          <t>HALLANDS LÄN</t>
        </is>
      </c>
      <c r="G779" t="inlineStr">
        <is>
          <t>HYLTE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32906-2025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45839</v>
      </c>
      <c r="E780" s="1" t="n">
        <v>46265</v>
      </c>
      <c r="F780" t="inlineStr">
        <is>
          <t>HALLANDS LÄN</t>
        </is>
      </c>
      <c r="G780" t="inlineStr">
        <is>
          <t>HYLTE</t>
        </is>
      </c>
      <c r="I780" t="n">
        <v>4.3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58051-2021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44487</v>
      </c>
      <c r="E781" s="1" t="n">
        <v>46265</v>
      </c>
      <c r="F781" t="inlineStr">
        <is>
          <t>HALLANDS LÄN</t>
        </is>
      </c>
      <c r="G781" t="inlineStr">
        <is>
          <t>HYLTE</t>
        </is>
      </c>
      <c r="H781" t="inlineStr">
        <is>
          <t>Bergvik skog väst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41322-2025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45898</v>
      </c>
      <c r="E782" s="1" t="n">
        <v>46265</v>
      </c>
      <c r="F782" t="inlineStr">
        <is>
          <t>HALLANDS LÄN</t>
        </is>
      </c>
      <c r="G782" t="inlineStr">
        <is>
          <t>HYLTE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41622-2025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45901</v>
      </c>
      <c r="E783" s="1" t="n">
        <v>46265</v>
      </c>
      <c r="F783" t="inlineStr">
        <is>
          <t>HALLANDS LÄN</t>
        </is>
      </c>
      <c r="G783" t="inlineStr">
        <is>
          <t>FALKENBERG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15008-2025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45743</v>
      </c>
      <c r="E784" s="1" t="n">
        <v>46265</v>
      </c>
      <c r="F784" t="inlineStr">
        <is>
          <t>HALLANDS LÄN</t>
        </is>
      </c>
      <c r="G784" t="inlineStr">
        <is>
          <t>HYLTE</t>
        </is>
      </c>
      <c r="H784" t="inlineStr">
        <is>
          <t>Bergvik skog väst AB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58030-2023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45247</v>
      </c>
      <c r="E785" s="1" t="n">
        <v>46265</v>
      </c>
      <c r="F785" t="inlineStr">
        <is>
          <t>HALLANDS LÄN</t>
        </is>
      </c>
      <c r="G785" t="inlineStr">
        <is>
          <t>FALKENBERG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44886</v>
      </c>
      <c r="E786" s="1" t="n">
        <v>46265</v>
      </c>
      <c r="F786" t="inlineStr">
        <is>
          <t>HALLANDS LÄN</t>
        </is>
      </c>
      <c r="G786" t="inlineStr">
        <is>
          <t>HALMSTAD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14001-2025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45740</v>
      </c>
      <c r="E787" s="1" t="n">
        <v>46265</v>
      </c>
      <c r="F787" t="inlineStr">
        <is>
          <t>HALLANDS LÄN</t>
        </is>
      </c>
      <c r="G787" t="inlineStr">
        <is>
          <t>HALMSTAD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38547-2025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45884</v>
      </c>
      <c r="E788" s="1" t="n">
        <v>46265</v>
      </c>
      <c r="F788" t="inlineStr">
        <is>
          <t>HALLANDS LÄN</t>
        </is>
      </c>
      <c r="G788" t="inlineStr">
        <is>
          <t>VARBERG</t>
        </is>
      </c>
      <c r="I788" t="n">
        <v>18.8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63310-2023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45274</v>
      </c>
      <c r="E789" s="1" t="n">
        <v>46265</v>
      </c>
      <c r="F789" t="inlineStr">
        <is>
          <t>HALLANDS LÄN</t>
        </is>
      </c>
      <c r="G789" t="inlineStr">
        <is>
          <t>FALKENBERG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50199-2021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44457</v>
      </c>
      <c r="E790" s="1" t="n">
        <v>46265</v>
      </c>
      <c r="F790" t="inlineStr">
        <is>
          <t>HALLANDS LÄN</t>
        </is>
      </c>
      <c r="G790" t="inlineStr">
        <is>
          <t>VARBERG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56967-2022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44894</v>
      </c>
      <c r="E791" s="1" t="n">
        <v>46265</v>
      </c>
      <c r="F791" t="inlineStr">
        <is>
          <t>HALLANDS LÄN</t>
        </is>
      </c>
      <c r="G791" t="inlineStr">
        <is>
          <t>VARBERG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1648-2025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45670</v>
      </c>
      <c r="E792" s="1" t="n">
        <v>46265</v>
      </c>
      <c r="F792" t="inlineStr">
        <is>
          <t>HALLANDS LÄN</t>
        </is>
      </c>
      <c r="G792" t="inlineStr">
        <is>
          <t>FALKENBERG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6783-2024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45342</v>
      </c>
      <c r="E793" s="1" t="n">
        <v>46265</v>
      </c>
      <c r="F793" t="inlineStr">
        <is>
          <t>HALLANDS LÄN</t>
        </is>
      </c>
      <c r="G793" t="inlineStr">
        <is>
          <t>FALKENBERG</t>
        </is>
      </c>
      <c r="H793" t="inlineStr">
        <is>
          <t>Kommuner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3621-2023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44950</v>
      </c>
      <c r="E794" s="1" t="n">
        <v>46265</v>
      </c>
      <c r="F794" t="inlineStr">
        <is>
          <t>HALLANDS LÄN</t>
        </is>
      </c>
      <c r="G794" t="inlineStr">
        <is>
          <t>HYLTE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651-2024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45299</v>
      </c>
      <c r="E795" s="1" t="n">
        <v>46265</v>
      </c>
      <c r="F795" t="inlineStr">
        <is>
          <t>HALLANDS LÄN</t>
        </is>
      </c>
      <c r="G795" t="inlineStr">
        <is>
          <t>HYLTE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667-2024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45300</v>
      </c>
      <c r="E796" s="1" t="n">
        <v>46265</v>
      </c>
      <c r="F796" t="inlineStr">
        <is>
          <t>HALLANDS LÄN</t>
        </is>
      </c>
      <c r="G796" t="inlineStr">
        <is>
          <t>FALKENBERG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45300</v>
      </c>
      <c r="E797" s="1" t="n">
        <v>46265</v>
      </c>
      <c r="F797" t="inlineStr">
        <is>
          <t>HALLANDS LÄN</t>
        </is>
      </c>
      <c r="G797" t="inlineStr">
        <is>
          <t>FALKENBERG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45300</v>
      </c>
      <c r="E798" s="1" t="n">
        <v>46265</v>
      </c>
      <c r="F798" t="inlineStr">
        <is>
          <t>HALLANDS LÄN</t>
        </is>
      </c>
      <c r="G798" t="inlineStr">
        <is>
          <t>FALKENBERG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3167-2023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44946</v>
      </c>
      <c r="E799" s="1" t="n">
        <v>46265</v>
      </c>
      <c r="F799" t="inlineStr">
        <is>
          <t>HALLANDS LÄN</t>
        </is>
      </c>
      <c r="G799" t="inlineStr">
        <is>
          <t>FALKENBERG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52909-2021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44467</v>
      </c>
      <c r="E800" s="1" t="n">
        <v>46265</v>
      </c>
      <c r="F800" t="inlineStr">
        <is>
          <t>HALLANDS LÄN</t>
        </is>
      </c>
      <c r="G800" t="inlineStr">
        <is>
          <t>KUNGSBACKA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45694</v>
      </c>
      <c r="E801" s="1" t="n">
        <v>46265</v>
      </c>
      <c r="F801" t="inlineStr">
        <is>
          <t>HALLANDS LÄN</t>
        </is>
      </c>
      <c r="G801" t="inlineStr">
        <is>
          <t>HALMSTAD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56683-2024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45627</v>
      </c>
      <c r="E802" s="1" t="n">
        <v>46265</v>
      </c>
      <c r="F802" t="inlineStr">
        <is>
          <t>HALLANDS LÄN</t>
        </is>
      </c>
      <c r="G802" t="inlineStr">
        <is>
          <t>HALMSTAD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42103-2025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45903</v>
      </c>
      <c r="E803" s="1" t="n">
        <v>46265</v>
      </c>
      <c r="F803" t="inlineStr">
        <is>
          <t>HALLANDS LÄN</t>
        </is>
      </c>
      <c r="G803" t="inlineStr">
        <is>
          <t>LAHOLM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42569-2025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45905</v>
      </c>
      <c r="E804" s="1" t="n">
        <v>46265</v>
      </c>
      <c r="F804" t="inlineStr">
        <is>
          <t>HALLANDS LÄN</t>
        </is>
      </c>
      <c r="G804" t="inlineStr">
        <is>
          <t>VARBERG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45562</v>
      </c>
      <c r="E805" s="1" t="n">
        <v>46265</v>
      </c>
      <c r="F805" t="inlineStr">
        <is>
          <t>HALLANDS LÄN</t>
        </is>
      </c>
      <c r="G805" t="inlineStr">
        <is>
          <t>HALMSTAD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42582-2025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45905</v>
      </c>
      <c r="E806" s="1" t="n">
        <v>46265</v>
      </c>
      <c r="F806" t="inlineStr">
        <is>
          <t>HALLANDS LÄN</t>
        </is>
      </c>
      <c r="G806" t="inlineStr">
        <is>
          <t>HYLTE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42403-2025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45905</v>
      </c>
      <c r="E807" s="1" t="n">
        <v>46265</v>
      </c>
      <c r="F807" t="inlineStr">
        <is>
          <t>HALLANDS LÄN</t>
        </is>
      </c>
      <c r="G807" t="inlineStr">
        <is>
          <t>LAHOLM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17156-2022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44677</v>
      </c>
      <c r="E808" s="1" t="n">
        <v>46265</v>
      </c>
      <c r="F808" t="inlineStr">
        <is>
          <t>HALLANDS LÄN</t>
        </is>
      </c>
      <c r="G808" t="inlineStr">
        <is>
          <t>HALMSTAD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40702-2023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45168</v>
      </c>
      <c r="E809" s="1" t="n">
        <v>46265</v>
      </c>
      <c r="F809" t="inlineStr">
        <is>
          <t>HALLANDS LÄN</t>
        </is>
      </c>
      <c r="G809" t="inlineStr">
        <is>
          <t>HALMSTAD</t>
        </is>
      </c>
      <c r="H809" t="inlineStr">
        <is>
          <t>Kommuner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42881-2025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45908</v>
      </c>
      <c r="E810" s="1" t="n">
        <v>46265</v>
      </c>
      <c r="F810" t="inlineStr">
        <is>
          <t>HALLANDS LÄN</t>
        </is>
      </c>
      <c r="G810" t="inlineStr">
        <is>
          <t>VARBERG</t>
        </is>
      </c>
      <c r="I810" t="n">
        <v>11.6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55704-2023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45239</v>
      </c>
      <c r="E811" s="1" t="n">
        <v>46265</v>
      </c>
      <c r="F811" t="inlineStr">
        <is>
          <t>HALLANDS LÄN</t>
        </is>
      </c>
      <c r="G811" t="inlineStr">
        <is>
          <t>LAHOLM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4440-2025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45686</v>
      </c>
      <c r="E812" s="1" t="n">
        <v>46265</v>
      </c>
      <c r="F812" t="inlineStr">
        <is>
          <t>HALLANDS LÄN</t>
        </is>
      </c>
      <c r="G812" t="inlineStr">
        <is>
          <t>FALKENBERG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55724-2023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45239</v>
      </c>
      <c r="E813" s="1" t="n">
        <v>46265</v>
      </c>
      <c r="F813" t="inlineStr">
        <is>
          <t>HALLANDS LÄN</t>
        </is>
      </c>
      <c r="G813" t="inlineStr">
        <is>
          <t>LAHOLM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41345-2024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46265</v>
      </c>
      <c r="F814" t="inlineStr">
        <is>
          <t>HALLANDS LÄN</t>
        </is>
      </c>
      <c r="G814" t="inlineStr">
        <is>
          <t>HYLTE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45681</v>
      </c>
      <c r="E815" s="1" t="n">
        <v>46265</v>
      </c>
      <c r="F815" t="inlineStr">
        <is>
          <t>HALLANDS LÄN</t>
        </is>
      </c>
      <c r="G815" t="inlineStr">
        <is>
          <t>HYLTE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42678-2025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45908</v>
      </c>
      <c r="E816" s="1" t="n">
        <v>46265</v>
      </c>
      <c r="F816" t="inlineStr">
        <is>
          <t>HALLANDS LÄN</t>
        </is>
      </c>
      <c r="G816" t="inlineStr">
        <is>
          <t>FALKENBERG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42392-2025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45905</v>
      </c>
      <c r="E817" s="1" t="n">
        <v>46265</v>
      </c>
      <c r="F817" t="inlineStr">
        <is>
          <t>HALLANDS LÄN</t>
        </is>
      </c>
      <c r="G817" t="inlineStr">
        <is>
          <t>LAHOLM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43273-2025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45910</v>
      </c>
      <c r="E818" s="1" t="n">
        <v>46265</v>
      </c>
      <c r="F818" t="inlineStr">
        <is>
          <t>HALLANDS LÄN</t>
        </is>
      </c>
      <c r="G818" t="inlineStr">
        <is>
          <t>VARBERG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42397-2025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45905</v>
      </c>
      <c r="E819" s="1" t="n">
        <v>46265</v>
      </c>
      <c r="F819" t="inlineStr">
        <is>
          <t>HALLANDS LÄN</t>
        </is>
      </c>
      <c r="G819" t="inlineStr">
        <is>
          <t>LAHOLM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14992-2025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45743</v>
      </c>
      <c r="E820" s="1" t="n">
        <v>46265</v>
      </c>
      <c r="F820" t="inlineStr">
        <is>
          <t>HALLANDS LÄN</t>
        </is>
      </c>
      <c r="G820" t="inlineStr">
        <is>
          <t>HYLTE</t>
        </is>
      </c>
      <c r="H820" t="inlineStr">
        <is>
          <t>Bergvik skog väst AB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45666</v>
      </c>
      <c r="E821" s="1" t="n">
        <v>46265</v>
      </c>
      <c r="F821" t="inlineStr">
        <is>
          <t>HALLANDS LÄN</t>
        </is>
      </c>
      <c r="G821" t="inlineStr">
        <is>
          <t>FALKENBERG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46947-2022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44851</v>
      </c>
      <c r="E822" s="1" t="n">
        <v>46265</v>
      </c>
      <c r="F822" t="inlineStr">
        <is>
          <t>HALLANDS LÄN</t>
        </is>
      </c>
      <c r="G822" t="inlineStr">
        <is>
          <t>HYLTE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15767-2025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45748</v>
      </c>
      <c r="E823" s="1" t="n">
        <v>46265</v>
      </c>
      <c r="F823" t="inlineStr">
        <is>
          <t>HALLANDS LÄN</t>
        </is>
      </c>
      <c r="G823" t="inlineStr">
        <is>
          <t>FALKENBERG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2415-2023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44942</v>
      </c>
      <c r="E824" s="1" t="n">
        <v>46265</v>
      </c>
      <c r="F824" t="inlineStr">
        <is>
          <t>HALLANDS LÄN</t>
        </is>
      </c>
      <c r="G824" t="inlineStr">
        <is>
          <t>KUNGSBACKA</t>
        </is>
      </c>
      <c r="I824" t="n">
        <v>19.2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50805-2022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44867</v>
      </c>
      <c r="E825" s="1" t="n">
        <v>46265</v>
      </c>
      <c r="F825" t="inlineStr">
        <is>
          <t>HALLANDS LÄN</t>
        </is>
      </c>
      <c r="G825" t="inlineStr">
        <is>
          <t>VARBERG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43244-2025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45910</v>
      </c>
      <c r="E826" s="1" t="n">
        <v>46265</v>
      </c>
      <c r="F826" t="inlineStr">
        <is>
          <t>HALLANDS LÄN</t>
        </is>
      </c>
      <c r="G826" t="inlineStr">
        <is>
          <t>HYLTE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45316</v>
      </c>
      <c r="E827" s="1" t="n">
        <v>46265</v>
      </c>
      <c r="F827" t="inlineStr">
        <is>
          <t>HALLANDS LÄN</t>
        </is>
      </c>
      <c r="G827" t="inlineStr">
        <is>
          <t>HALMSTAD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35804-2024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45532</v>
      </c>
      <c r="E828" s="1" t="n">
        <v>46265</v>
      </c>
      <c r="F828" t="inlineStr">
        <is>
          <t>HALLANDS LÄN</t>
        </is>
      </c>
      <c r="G828" t="inlineStr">
        <is>
          <t>KUNGSBACKA</t>
        </is>
      </c>
      <c r="I828" t="n">
        <v>7.4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35808-2024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45532</v>
      </c>
      <c r="E829" s="1" t="n">
        <v>46265</v>
      </c>
      <c r="F829" t="inlineStr">
        <is>
          <t>HALLANDS LÄN</t>
        </is>
      </c>
      <c r="G829" t="inlineStr">
        <is>
          <t>KUNGSBACKA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35811-2024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45532</v>
      </c>
      <c r="E830" s="1" t="n">
        <v>46265</v>
      </c>
      <c r="F830" t="inlineStr">
        <is>
          <t>HALLANDS LÄN</t>
        </is>
      </c>
      <c r="G830" t="inlineStr">
        <is>
          <t>KUNGSBACKA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9759-2025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45716</v>
      </c>
      <c r="E831" s="1" t="n">
        <v>46265</v>
      </c>
      <c r="F831" t="inlineStr">
        <is>
          <t>HALLANDS LÄN</t>
        </is>
      </c>
      <c r="G831" t="inlineStr">
        <is>
          <t>HALMSTAD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21430-2024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45441</v>
      </c>
      <c r="E832" s="1" t="n">
        <v>46265</v>
      </c>
      <c r="F832" t="inlineStr">
        <is>
          <t>HALLANDS LÄN</t>
        </is>
      </c>
      <c r="G832" t="inlineStr">
        <is>
          <t>FALKENBERG</t>
        </is>
      </c>
      <c r="H832" t="inlineStr">
        <is>
          <t>Kyrkan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28029-2024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45476</v>
      </c>
      <c r="E833" s="1" t="n">
        <v>46265</v>
      </c>
      <c r="F833" t="inlineStr">
        <is>
          <t>HALLANDS LÄN</t>
        </is>
      </c>
      <c r="G833" t="inlineStr">
        <is>
          <t>HALMSTAD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28031-2024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45476</v>
      </c>
      <c r="E834" s="1" t="n">
        <v>46265</v>
      </c>
      <c r="F834" t="inlineStr">
        <is>
          <t>HALLANDS LÄN</t>
        </is>
      </c>
      <c r="G834" t="inlineStr">
        <is>
          <t>HALMSTAD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42978-2025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45909</v>
      </c>
      <c r="E835" s="1" t="n">
        <v>46265</v>
      </c>
      <c r="F835" t="inlineStr">
        <is>
          <t>HALLANDS LÄN</t>
        </is>
      </c>
      <c r="G835" t="inlineStr">
        <is>
          <t>VARBERG</t>
        </is>
      </c>
      <c r="I835" t="n">
        <v>8.699999999999999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45679</v>
      </c>
      <c r="E836" s="1" t="n">
        <v>46265</v>
      </c>
      <c r="F836" t="inlineStr">
        <is>
          <t>HALLANDS LÄN</t>
        </is>
      </c>
      <c r="G836" t="inlineStr">
        <is>
          <t>KUNGSBACKA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23752-2025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45793</v>
      </c>
      <c r="E837" s="1" t="n">
        <v>46265</v>
      </c>
      <c r="F837" t="inlineStr">
        <is>
          <t>HALLANDS LÄN</t>
        </is>
      </c>
      <c r="G837" t="inlineStr">
        <is>
          <t>HYLTE</t>
        </is>
      </c>
      <c r="I837" t="n">
        <v>5.6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8293-2024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45352</v>
      </c>
      <c r="E838" s="1" t="n">
        <v>46265</v>
      </c>
      <c r="F838" t="inlineStr">
        <is>
          <t>HALLANDS LÄN</t>
        </is>
      </c>
      <c r="G838" t="inlineStr">
        <is>
          <t>HYLTE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43483-2025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45911</v>
      </c>
      <c r="E839" s="1" t="n">
        <v>46265</v>
      </c>
      <c r="F839" t="inlineStr">
        <is>
          <t>HALLANDS LÄN</t>
        </is>
      </c>
      <c r="G839" t="inlineStr">
        <is>
          <t>VARBERG</t>
        </is>
      </c>
      <c r="H839" t="inlineStr">
        <is>
          <t>Kyrkan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43346-2025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45910</v>
      </c>
      <c r="E840" s="1" t="n">
        <v>46265</v>
      </c>
      <c r="F840" t="inlineStr">
        <is>
          <t>HALLANDS LÄN</t>
        </is>
      </c>
      <c r="G840" t="inlineStr">
        <is>
          <t>HYLTE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45226</v>
      </c>
      <c r="E841" s="1" t="n">
        <v>46265</v>
      </c>
      <c r="F841" t="inlineStr">
        <is>
          <t>HALLANDS LÄN</t>
        </is>
      </c>
      <c r="G841" t="inlineStr">
        <is>
          <t>HALMSTAD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51515-2022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44869</v>
      </c>
      <c r="E842" s="1" t="n">
        <v>46265</v>
      </c>
      <c r="F842" t="inlineStr">
        <is>
          <t>HALLANDS LÄN</t>
        </is>
      </c>
      <c r="G842" t="inlineStr">
        <is>
          <t>LAHOLM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51517-2022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44869</v>
      </c>
      <c r="E843" s="1" t="n">
        <v>46265</v>
      </c>
      <c r="F843" t="inlineStr">
        <is>
          <t>HALLANDS LÄN</t>
        </is>
      </c>
      <c r="G843" t="inlineStr">
        <is>
          <t>LAHOLM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51150-2022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44865</v>
      </c>
      <c r="E844" s="1" t="n">
        <v>46265</v>
      </c>
      <c r="F844" t="inlineStr">
        <is>
          <t>HALLANDS LÄN</t>
        </is>
      </c>
      <c r="G844" t="inlineStr">
        <is>
          <t>HYLTE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32438-2025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45838</v>
      </c>
      <c r="E845" s="1" t="n">
        <v>46265</v>
      </c>
      <c r="F845" t="inlineStr">
        <is>
          <t>HALLANDS LÄN</t>
        </is>
      </c>
      <c r="G845" t="inlineStr">
        <is>
          <t>HYLTE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43655-2025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45912</v>
      </c>
      <c r="E846" s="1" t="n">
        <v>46265</v>
      </c>
      <c r="F846" t="inlineStr">
        <is>
          <t>HALLANDS LÄN</t>
        </is>
      </c>
      <c r="G846" t="inlineStr">
        <is>
          <t>KUNGSBACKA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29818-2024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45485</v>
      </c>
      <c r="E847" s="1" t="n">
        <v>46265</v>
      </c>
      <c r="F847" t="inlineStr">
        <is>
          <t>HALLANDS LÄN</t>
        </is>
      </c>
      <c r="G847" t="inlineStr">
        <is>
          <t>HALMSTAD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62134-2022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44922</v>
      </c>
      <c r="E848" s="1" t="n">
        <v>46265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43779-2025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45912</v>
      </c>
      <c r="E849" s="1" t="n">
        <v>46265</v>
      </c>
      <c r="F849" t="inlineStr">
        <is>
          <t>HALLANDS LÄN</t>
        </is>
      </c>
      <c r="G849" t="inlineStr">
        <is>
          <t>VARBERG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29996-2024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45488</v>
      </c>
      <c r="E850" s="1" t="n">
        <v>46265</v>
      </c>
      <c r="F850" t="inlineStr">
        <is>
          <t>HALLANDS LÄN</t>
        </is>
      </c>
      <c r="G850" t="inlineStr">
        <is>
          <t>HALMSTAD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55893-2025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45973</v>
      </c>
      <c r="E851" s="1" t="n">
        <v>46265</v>
      </c>
      <c r="F851" t="inlineStr">
        <is>
          <t>HALLANDS LÄN</t>
        </is>
      </c>
      <c r="G851" t="inlineStr">
        <is>
          <t>VARBERG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55949-2025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45973</v>
      </c>
      <c r="E852" s="1" t="n">
        <v>46265</v>
      </c>
      <c r="F852" t="inlineStr">
        <is>
          <t>HALLANDS LÄN</t>
        </is>
      </c>
      <c r="G852" t="inlineStr">
        <is>
          <t>FALKENBERG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56552-2025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45975</v>
      </c>
      <c r="E853" s="1" t="n">
        <v>46265</v>
      </c>
      <c r="F853" t="inlineStr">
        <is>
          <t>HALLANDS LÄN</t>
        </is>
      </c>
      <c r="G853" t="inlineStr">
        <is>
          <t>FALKENBERG</t>
        </is>
      </c>
      <c r="H853" t="inlineStr">
        <is>
          <t>Kyrkan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56920-2025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45978</v>
      </c>
      <c r="E854" s="1" t="n">
        <v>46265</v>
      </c>
      <c r="F854" t="inlineStr">
        <is>
          <t>HALLANDS LÄN</t>
        </is>
      </c>
      <c r="G854" t="inlineStr">
        <is>
          <t>VARBERG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61155-2024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45644</v>
      </c>
      <c r="E855" s="1" t="n">
        <v>46265</v>
      </c>
      <c r="F855" t="inlineStr">
        <is>
          <t>HALLANDS LÄN</t>
        </is>
      </c>
      <c r="G855" t="inlineStr">
        <is>
          <t>FALKENBERG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7335-2023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44971</v>
      </c>
      <c r="E856" s="1" t="n">
        <v>46265</v>
      </c>
      <c r="F856" t="inlineStr">
        <is>
          <t>HALLANDS LÄN</t>
        </is>
      </c>
      <c r="G856" t="inlineStr">
        <is>
          <t>KUNGSBACKA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56923-2025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45978</v>
      </c>
      <c r="E857" s="1" t="n">
        <v>46265</v>
      </c>
      <c r="F857" t="inlineStr">
        <is>
          <t>HALLANDS LÄN</t>
        </is>
      </c>
      <c r="G857" t="inlineStr">
        <is>
          <t>VARBERG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15642-2023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45020</v>
      </c>
      <c r="E858" s="1" t="n">
        <v>46265</v>
      </c>
      <c r="F858" t="inlineStr">
        <is>
          <t>HALLANDS LÄN</t>
        </is>
      </c>
      <c r="G858" t="inlineStr">
        <is>
          <t>LAHOLM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70720-2021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44537</v>
      </c>
      <c r="E859" s="1" t="n">
        <v>46265</v>
      </c>
      <c r="F859" t="inlineStr">
        <is>
          <t>HALLANDS LÄN</t>
        </is>
      </c>
      <c r="G859" t="inlineStr">
        <is>
          <t>HALMSTAD</t>
        </is>
      </c>
      <c r="H859" t="inlineStr">
        <is>
          <t>Kyrkan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43913-2025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45914</v>
      </c>
      <c r="E860" s="1" t="n">
        <v>46265</v>
      </c>
      <c r="F860" t="inlineStr">
        <is>
          <t>HALLANDS LÄN</t>
        </is>
      </c>
      <c r="G860" t="inlineStr">
        <is>
          <t>FALKENBERG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8305-2024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45352</v>
      </c>
      <c r="E861" s="1" t="n">
        <v>46265</v>
      </c>
      <c r="F861" t="inlineStr">
        <is>
          <t>HALLANDS LÄN</t>
        </is>
      </c>
      <c r="G861" t="inlineStr">
        <is>
          <t>HYLTE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56564-2025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45975</v>
      </c>
      <c r="E862" s="1" t="n">
        <v>46265</v>
      </c>
      <c r="F862" t="inlineStr">
        <is>
          <t>HALLANDS LÄN</t>
        </is>
      </c>
      <c r="G862" t="inlineStr">
        <is>
          <t>FALKENBERG</t>
        </is>
      </c>
      <c r="H862" t="inlineStr">
        <is>
          <t>Kyrkan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56422-2021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44477</v>
      </c>
      <c r="E863" s="1" t="n">
        <v>46265</v>
      </c>
      <c r="F863" t="inlineStr">
        <is>
          <t>HALLANDS LÄN</t>
        </is>
      </c>
      <c r="G863" t="inlineStr">
        <is>
          <t>HYLTE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44928</v>
      </c>
      <c r="E864" s="1" t="n">
        <v>46265</v>
      </c>
      <c r="F864" t="inlineStr">
        <is>
          <t>HALLANDS LÄN</t>
        </is>
      </c>
      <c r="G864" t="inlineStr">
        <is>
          <t>LAHOLM</t>
        </is>
      </c>
      <c r="I864" t="n">
        <v>6.5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6200-2024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45337</v>
      </c>
      <c r="E865" s="1" t="n">
        <v>46265</v>
      </c>
      <c r="F865" t="inlineStr">
        <is>
          <t>HALLANDS LÄN</t>
        </is>
      </c>
      <c r="G865" t="inlineStr">
        <is>
          <t>LAHOLM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44467-2025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45916</v>
      </c>
      <c r="E866" s="1" t="n">
        <v>46265</v>
      </c>
      <c r="F866" t="inlineStr">
        <is>
          <t>HALLANDS LÄN</t>
        </is>
      </c>
      <c r="G866" t="inlineStr">
        <is>
          <t>HALMSTAD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44931-2025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45918</v>
      </c>
      <c r="E867" s="1" t="n">
        <v>46265</v>
      </c>
      <c r="F867" t="inlineStr">
        <is>
          <t>HALLANDS LÄN</t>
        </is>
      </c>
      <c r="G867" t="inlineStr">
        <is>
          <t>LAHOLM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44856-2025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45918</v>
      </c>
      <c r="E868" s="1" t="n">
        <v>46265</v>
      </c>
      <c r="F868" t="inlineStr">
        <is>
          <t>HALLANDS LÄN</t>
        </is>
      </c>
      <c r="G868" t="inlineStr">
        <is>
          <t>HYLTE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44945-2025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46265</v>
      </c>
      <c r="F869" t="inlineStr">
        <is>
          <t>HALLANDS LÄN</t>
        </is>
      </c>
      <c r="G869" t="inlineStr">
        <is>
          <t>LAHOLM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53584-2021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44469</v>
      </c>
      <c r="E870" s="1" t="n">
        <v>46265</v>
      </c>
      <c r="F870" t="inlineStr">
        <is>
          <t>HALLANDS LÄN</t>
        </is>
      </c>
      <c r="G870" t="inlineStr">
        <is>
          <t>HYLTE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57657-2023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45246</v>
      </c>
      <c r="E871" s="1" t="n">
        <v>46265</v>
      </c>
      <c r="F871" t="inlineStr">
        <is>
          <t>HALLANDS LÄN</t>
        </is>
      </c>
      <c r="G871" t="inlineStr">
        <is>
          <t>VARBERG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57219-2025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45979</v>
      </c>
      <c r="E872" s="1" t="n">
        <v>46265</v>
      </c>
      <c r="F872" t="inlineStr">
        <is>
          <t>HALLANDS LÄN</t>
        </is>
      </c>
      <c r="G872" t="inlineStr">
        <is>
          <t>HYLTE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57660-2023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45246</v>
      </c>
      <c r="E873" s="1" t="n">
        <v>46265</v>
      </c>
      <c r="F873" t="inlineStr">
        <is>
          <t>HALLANDS LÄN</t>
        </is>
      </c>
      <c r="G873" t="inlineStr">
        <is>
          <t>VARBERG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57667-2023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45246</v>
      </c>
      <c r="E874" s="1" t="n">
        <v>46265</v>
      </c>
      <c r="F874" t="inlineStr">
        <is>
          <t>HALLANDS LÄN</t>
        </is>
      </c>
      <c r="G874" t="inlineStr">
        <is>
          <t>VARBERG</t>
        </is>
      </c>
      <c r="I874" t="n">
        <v>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43366-2022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44834</v>
      </c>
      <c r="E875" s="1" t="n">
        <v>46265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54869-2022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44885</v>
      </c>
      <c r="E876" s="1" t="n">
        <v>46265</v>
      </c>
      <c r="F876" t="inlineStr">
        <is>
          <t>HALLANDS LÄN</t>
        </is>
      </c>
      <c r="G876" t="inlineStr">
        <is>
          <t>HALMSTAD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44750-2025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45917</v>
      </c>
      <c r="E877" s="1" t="n">
        <v>46265</v>
      </c>
      <c r="F877" t="inlineStr">
        <is>
          <t>HALLANDS LÄN</t>
        </is>
      </c>
      <c r="G877" t="inlineStr">
        <is>
          <t>FALKENBERG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64566-2021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44511</v>
      </c>
      <c r="E878" s="1" t="n">
        <v>46265</v>
      </c>
      <c r="F878" t="inlineStr">
        <is>
          <t>HALLANDS LÄN</t>
        </is>
      </c>
      <c r="G878" t="inlineStr">
        <is>
          <t>LAHOLM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64575-2021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44511</v>
      </c>
      <c r="E879" s="1" t="n">
        <v>46265</v>
      </c>
      <c r="F879" t="inlineStr">
        <is>
          <t>HALLANDS LÄN</t>
        </is>
      </c>
      <c r="G879" t="inlineStr">
        <is>
          <t>LAHOLM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57684-2025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45980</v>
      </c>
      <c r="E880" s="1" t="n">
        <v>46265</v>
      </c>
      <c r="F880" t="inlineStr">
        <is>
          <t>HALLANDS LÄN</t>
        </is>
      </c>
      <c r="G880" t="inlineStr">
        <is>
          <t>VARBERG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44541-2025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45917</v>
      </c>
      <c r="E881" s="1" t="n">
        <v>46265</v>
      </c>
      <c r="F881" t="inlineStr">
        <is>
          <t>HALLANDS LÄN</t>
        </is>
      </c>
      <c r="G881" t="inlineStr">
        <is>
          <t>HALMSTAD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44543-2025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45917</v>
      </c>
      <c r="E882" s="1" t="n">
        <v>46265</v>
      </c>
      <c r="F882" t="inlineStr">
        <is>
          <t>HALLANDS LÄN</t>
        </is>
      </c>
      <c r="G882" t="inlineStr">
        <is>
          <t>HALMSTAD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1784-2022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44574</v>
      </c>
      <c r="E883" s="1" t="n">
        <v>46265</v>
      </c>
      <c r="F883" t="inlineStr">
        <is>
          <t>HALLANDS LÄN</t>
        </is>
      </c>
      <c r="G883" t="inlineStr">
        <is>
          <t>VARBERG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45431-2025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46265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57237-2025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45979</v>
      </c>
      <c r="E885" s="1" t="n">
        <v>46265</v>
      </c>
      <c r="F885" t="inlineStr">
        <is>
          <t>HALLANDS LÄN</t>
        </is>
      </c>
      <c r="G885" t="inlineStr">
        <is>
          <t>VARBERG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9813-2025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45715</v>
      </c>
      <c r="E886" s="1" t="n">
        <v>46265</v>
      </c>
      <c r="F886" t="inlineStr">
        <is>
          <t>HALLANDS LÄN</t>
        </is>
      </c>
      <c r="G886" t="inlineStr">
        <is>
          <t>HALMSTAD</t>
        </is>
      </c>
      <c r="H886" t="inlineStr">
        <is>
          <t>Övriga statliga verk och myndigheter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6703-2022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44602</v>
      </c>
      <c r="E887" s="1" t="n">
        <v>46265</v>
      </c>
      <c r="F887" t="inlineStr">
        <is>
          <t>HALLANDS LÄN</t>
        </is>
      </c>
      <c r="G887" t="inlineStr">
        <is>
          <t>FALKENBERG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22546-2023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45071</v>
      </c>
      <c r="E888" s="1" t="n">
        <v>46265</v>
      </c>
      <c r="F888" t="inlineStr">
        <is>
          <t>HALLANDS LÄN</t>
        </is>
      </c>
      <c r="G888" t="inlineStr">
        <is>
          <t>FALKENBERG</t>
        </is>
      </c>
      <c r="I888" t="n">
        <v>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29361-2024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45483</v>
      </c>
      <c r="E889" s="1" t="n">
        <v>46265</v>
      </c>
      <c r="F889" t="inlineStr">
        <is>
          <t>HALLANDS LÄN</t>
        </is>
      </c>
      <c r="G889" t="inlineStr">
        <is>
          <t>LAHOLM</t>
        </is>
      </c>
      <c r="I889" t="n">
        <v>6.8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45416-2025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45922</v>
      </c>
      <c r="E890" s="1" t="n">
        <v>46265</v>
      </c>
      <c r="F890" t="inlineStr">
        <is>
          <t>HALLANDS LÄN</t>
        </is>
      </c>
      <c r="G890" t="inlineStr">
        <is>
          <t>HYLTE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57660-2022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44897</v>
      </c>
      <c r="E891" s="1" t="n">
        <v>46265</v>
      </c>
      <c r="F891" t="inlineStr">
        <is>
          <t>HALLANDS LÄN</t>
        </is>
      </c>
      <c r="G891" t="inlineStr">
        <is>
          <t>FALKENBERG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58118-2021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44487</v>
      </c>
      <c r="E892" s="1" t="n">
        <v>46265</v>
      </c>
      <c r="F892" t="inlineStr">
        <is>
          <t>HALLANDS LÄN</t>
        </is>
      </c>
      <c r="G892" t="inlineStr">
        <is>
          <t>KUNGSBACKA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57422-2022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44896</v>
      </c>
      <c r="E893" s="1" t="n">
        <v>46265</v>
      </c>
      <c r="F893" t="inlineStr">
        <is>
          <t>HALLANDS LÄN</t>
        </is>
      </c>
      <c r="G893" t="inlineStr">
        <is>
          <t>HYLTE</t>
        </is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4892-2024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45329</v>
      </c>
      <c r="E894" s="1" t="n">
        <v>46265</v>
      </c>
      <c r="F894" t="inlineStr">
        <is>
          <t>HALLANDS LÄN</t>
        </is>
      </c>
      <c r="G894" t="inlineStr">
        <is>
          <t>FALKENBERG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24265-2025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46265</v>
      </c>
      <c r="F895" t="inlineStr">
        <is>
          <t>HALLANDS LÄN</t>
        </is>
      </c>
      <c r="G895" t="inlineStr">
        <is>
          <t>HALMSTAD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6008-2024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45336</v>
      </c>
      <c r="E896" s="1" t="n">
        <v>46265</v>
      </c>
      <c r="F896" t="inlineStr">
        <is>
          <t>HALLANDS LÄN</t>
        </is>
      </c>
      <c r="G896" t="inlineStr">
        <is>
          <t>VARBERG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47937-2022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44855</v>
      </c>
      <c r="E897" s="1" t="n">
        <v>46265</v>
      </c>
      <c r="F897" t="inlineStr">
        <is>
          <t>HALLANDS LÄN</t>
        </is>
      </c>
      <c r="G897" t="inlineStr">
        <is>
          <t>LAHOLM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45373-2025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45922</v>
      </c>
      <c r="E898" s="1" t="n">
        <v>46265</v>
      </c>
      <c r="F898" t="inlineStr">
        <is>
          <t>HALLANDS LÄN</t>
        </is>
      </c>
      <c r="G898" t="inlineStr">
        <is>
          <t>HYLTE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34163-2024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45524</v>
      </c>
      <c r="E899" s="1" t="n">
        <v>46265</v>
      </c>
      <c r="F899" t="inlineStr">
        <is>
          <t>HALLANDS LÄN</t>
        </is>
      </c>
      <c r="G899" t="inlineStr">
        <is>
          <t>FALKENBERG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46009-2025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45924</v>
      </c>
      <c r="E900" s="1" t="n">
        <v>46265</v>
      </c>
      <c r="F900" t="inlineStr">
        <is>
          <t>HALLANDS LÄN</t>
        </is>
      </c>
      <c r="G900" t="inlineStr">
        <is>
          <t>FALKENBERG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45852-2025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46265</v>
      </c>
      <c r="F901" t="inlineStr">
        <is>
          <t>HALLANDS LÄN</t>
        </is>
      </c>
      <c r="G901" t="inlineStr">
        <is>
          <t>FALKENBERG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41769-2024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45561</v>
      </c>
      <c r="E902" s="1" t="n">
        <v>46265</v>
      </c>
      <c r="F902" t="inlineStr">
        <is>
          <t>HALLANDS LÄN</t>
        </is>
      </c>
      <c r="G902" t="inlineStr">
        <is>
          <t>VARBERG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41777-2024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46265</v>
      </c>
      <c r="F903" t="inlineStr">
        <is>
          <t>HALLANDS LÄN</t>
        </is>
      </c>
      <c r="G903" t="inlineStr">
        <is>
          <t>HALMSTAD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61546-2022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44916</v>
      </c>
      <c r="E904" s="1" t="n">
        <v>46265</v>
      </c>
      <c r="F904" t="inlineStr">
        <is>
          <t>HALLANDS LÄN</t>
        </is>
      </c>
      <c r="G904" t="inlineStr">
        <is>
          <t>FALKENBERG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45631-2025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46265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25071-2025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45799</v>
      </c>
      <c r="E906" s="1" t="n">
        <v>46265</v>
      </c>
      <c r="F906" t="inlineStr">
        <is>
          <t>HALLANDS LÄN</t>
        </is>
      </c>
      <c r="G906" t="inlineStr">
        <is>
          <t>FALKENBERG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25072-2025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45799</v>
      </c>
      <c r="E907" s="1" t="n">
        <v>46265</v>
      </c>
      <c r="F907" t="inlineStr">
        <is>
          <t>HALLANDS LÄN</t>
        </is>
      </c>
      <c r="G907" t="inlineStr">
        <is>
          <t>FALKENBERG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2078-2022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44576</v>
      </c>
      <c r="E908" s="1" t="n">
        <v>46265</v>
      </c>
      <c r="F908" t="inlineStr">
        <is>
          <t>HALLANDS LÄN</t>
        </is>
      </c>
      <c r="G908" t="inlineStr">
        <is>
          <t>FALKENBERG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45699-2025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45923</v>
      </c>
      <c r="E909" s="1" t="n">
        <v>46265</v>
      </c>
      <c r="F909" t="inlineStr">
        <is>
          <t>HALLANDS LÄN</t>
        </is>
      </c>
      <c r="G909" t="inlineStr">
        <is>
          <t>FALKENBERG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45863-2025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45923</v>
      </c>
      <c r="E910" s="1" t="n">
        <v>46265</v>
      </c>
      <c r="F910" t="inlineStr">
        <is>
          <t>HALLANDS LÄN</t>
        </is>
      </c>
      <c r="G910" t="inlineStr">
        <is>
          <t>HALMSTAD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45632-2025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45922</v>
      </c>
      <c r="E911" s="1" t="n">
        <v>46265</v>
      </c>
      <c r="F911" t="inlineStr">
        <is>
          <t>HALLANDS LÄN</t>
        </is>
      </c>
      <c r="G911" t="inlineStr">
        <is>
          <t>KUNGSBACKA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45645-2025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45923</v>
      </c>
      <c r="E912" s="1" t="n">
        <v>46265</v>
      </c>
      <c r="F912" t="inlineStr">
        <is>
          <t>HALLANDS LÄN</t>
        </is>
      </c>
      <c r="G912" t="inlineStr">
        <is>
          <t>FALKENBERG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24887-2025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45799</v>
      </c>
      <c r="E913" s="1" t="n">
        <v>46265</v>
      </c>
      <c r="F913" t="inlineStr">
        <is>
          <t>HALLANDS LÄN</t>
        </is>
      </c>
      <c r="G913" t="inlineStr">
        <is>
          <t>FALKENBERG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46008-2025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45924</v>
      </c>
      <c r="E914" s="1" t="n">
        <v>46265</v>
      </c>
      <c r="F914" t="inlineStr">
        <is>
          <t>HALLANDS LÄN</t>
        </is>
      </c>
      <c r="G914" t="inlineStr">
        <is>
          <t>HYLTE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52131-2022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44873</v>
      </c>
      <c r="E915" s="1" t="n">
        <v>46265</v>
      </c>
      <c r="F915" t="inlineStr">
        <is>
          <t>HALLANDS LÄN</t>
        </is>
      </c>
      <c r="G915" t="inlineStr">
        <is>
          <t>LAHOLM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19513-2024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45429</v>
      </c>
      <c r="E916" s="1" t="n">
        <v>46265</v>
      </c>
      <c r="F916" t="inlineStr">
        <is>
          <t>HALLANDS LÄN</t>
        </is>
      </c>
      <c r="G916" t="inlineStr">
        <is>
          <t>HYLTE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57216-2025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45979</v>
      </c>
      <c r="E917" s="1" t="n">
        <v>46265</v>
      </c>
      <c r="F917" t="inlineStr">
        <is>
          <t>HALLANDS LÄN</t>
        </is>
      </c>
      <c r="G917" t="inlineStr">
        <is>
          <t>LAHOLM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46265</v>
      </c>
      <c r="F918" t="inlineStr">
        <is>
          <t>HALLANDS LÄN</t>
        </is>
      </c>
      <c r="G918" t="inlineStr">
        <is>
          <t>HYLTE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46265</v>
      </c>
      <c r="F919" t="inlineStr">
        <is>
          <t>HALLANDS LÄN</t>
        </is>
      </c>
      <c r="G919" t="inlineStr">
        <is>
          <t>HYLTE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46696-2025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45926</v>
      </c>
      <c r="E920" s="1" t="n">
        <v>46265</v>
      </c>
      <c r="F920" t="inlineStr">
        <is>
          <t>HALLANDS LÄN</t>
        </is>
      </c>
      <c r="G920" t="inlineStr">
        <is>
          <t>HYLTE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46701-2025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45926</v>
      </c>
      <c r="E921" s="1" t="n">
        <v>46265</v>
      </c>
      <c r="F921" t="inlineStr">
        <is>
          <t>HALLANDS LÄN</t>
        </is>
      </c>
      <c r="G921" t="inlineStr">
        <is>
          <t>FALKENBERG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46704-2025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46265</v>
      </c>
      <c r="F922" t="inlineStr">
        <is>
          <t>HALLANDS LÄN</t>
        </is>
      </c>
      <c r="G922" t="inlineStr">
        <is>
          <t>FALKENBERG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46594-2025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46265</v>
      </c>
      <c r="F923" t="inlineStr">
        <is>
          <t>HALLANDS LÄN</t>
        </is>
      </c>
      <c r="G923" t="inlineStr">
        <is>
          <t>HALMSTAD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46655-2025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45926</v>
      </c>
      <c r="E924" s="1" t="n">
        <v>46265</v>
      </c>
      <c r="F924" t="inlineStr">
        <is>
          <t>HALLANDS LÄN</t>
        </is>
      </c>
      <c r="G924" t="inlineStr">
        <is>
          <t>FALKENBERG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57512-2025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45980</v>
      </c>
      <c r="E925" s="1" t="n">
        <v>46265</v>
      </c>
      <c r="F925" t="inlineStr">
        <is>
          <t>HALLANDS LÄN</t>
        </is>
      </c>
      <c r="G925" t="inlineStr">
        <is>
          <t>HYLTE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46659-2025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46265</v>
      </c>
      <c r="F926" t="inlineStr">
        <is>
          <t>HALLANDS LÄN</t>
        </is>
      </c>
      <c r="G926" t="inlineStr">
        <is>
          <t>FALKENBERG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58072-2022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44900</v>
      </c>
      <c r="E927" s="1" t="n">
        <v>46265</v>
      </c>
      <c r="F927" t="inlineStr">
        <is>
          <t>HALLANDS LÄN</t>
        </is>
      </c>
      <c r="G927" t="inlineStr">
        <is>
          <t>FALKENBERG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46414-2025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45925</v>
      </c>
      <c r="E928" s="1" t="n">
        <v>46265</v>
      </c>
      <c r="F928" t="inlineStr">
        <is>
          <t>HALLANDS LÄN</t>
        </is>
      </c>
      <c r="G928" t="inlineStr">
        <is>
          <t>VARBERG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25269-2025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45800</v>
      </c>
      <c r="E929" s="1" t="n">
        <v>46265</v>
      </c>
      <c r="F929" t="inlineStr">
        <is>
          <t>HALLANDS LÄN</t>
        </is>
      </c>
      <c r="G929" t="inlineStr">
        <is>
          <t>KUNGSBACKA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25872-2025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45804</v>
      </c>
      <c r="E930" s="1" t="n">
        <v>46265</v>
      </c>
      <c r="F930" t="inlineStr">
        <is>
          <t>HALLANDS LÄN</t>
        </is>
      </c>
      <c r="G930" t="inlineStr">
        <is>
          <t>VARBERG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25805-2025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45804</v>
      </c>
      <c r="E931" s="1" t="n">
        <v>46265</v>
      </c>
      <c r="F931" t="inlineStr">
        <is>
          <t>HALLANDS LÄN</t>
        </is>
      </c>
      <c r="G931" t="inlineStr">
        <is>
          <t>VARBERG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26360-2025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45806</v>
      </c>
      <c r="E932" s="1" t="n">
        <v>46265</v>
      </c>
      <c r="F932" t="inlineStr">
        <is>
          <t>HALLANDS LÄN</t>
        </is>
      </c>
      <c r="G932" t="inlineStr">
        <is>
          <t>HYLTE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26117-2025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45805</v>
      </c>
      <c r="E933" s="1" t="n">
        <v>46265</v>
      </c>
      <c r="F933" t="inlineStr">
        <is>
          <t>HALLANDS LÄN</t>
        </is>
      </c>
      <c r="G933" t="inlineStr">
        <is>
          <t>VARBERG</t>
        </is>
      </c>
      <c r="H933" t="inlineStr">
        <is>
          <t>Kommuner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28092-2024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45476</v>
      </c>
      <c r="E934" s="1" t="n">
        <v>46265</v>
      </c>
      <c r="F934" t="inlineStr">
        <is>
          <t>HALLANDS LÄN</t>
        </is>
      </c>
      <c r="G934" t="inlineStr">
        <is>
          <t>VARBERG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5191-2024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45330</v>
      </c>
      <c r="E935" s="1" t="n">
        <v>46265</v>
      </c>
      <c r="F935" t="inlineStr">
        <is>
          <t>HALLANDS LÄN</t>
        </is>
      </c>
      <c r="G935" t="inlineStr">
        <is>
          <t>HALMSTAD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45586-2023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45194</v>
      </c>
      <c r="E936" s="1" t="n">
        <v>46265</v>
      </c>
      <c r="F936" t="inlineStr">
        <is>
          <t>HALLANDS LÄN</t>
        </is>
      </c>
      <c r="G936" t="inlineStr">
        <is>
          <t>HALMSTAD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31908-2025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46265</v>
      </c>
      <c r="F937" t="inlineStr">
        <is>
          <t>HALLANDS LÄN</t>
        </is>
      </c>
      <c r="G937" t="inlineStr">
        <is>
          <t>LAHOLM</t>
        </is>
      </c>
      <c r="H937" t="inlineStr">
        <is>
          <t>Sveaskog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57781-2025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45981</v>
      </c>
      <c r="E938" s="1" t="n">
        <v>46265</v>
      </c>
      <c r="F938" t="inlineStr">
        <is>
          <t>HALLANDS LÄN</t>
        </is>
      </c>
      <c r="G938" t="inlineStr">
        <is>
          <t>HYLTE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6397-2025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45699</v>
      </c>
      <c r="E939" s="1" t="n">
        <v>46265</v>
      </c>
      <c r="F939" t="inlineStr">
        <is>
          <t>HALLANDS LÄN</t>
        </is>
      </c>
      <c r="G939" t="inlineStr">
        <is>
          <t>HALMSTAD</t>
        </is>
      </c>
      <c r="I939" t="n">
        <v>11.8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42917-2024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46265</v>
      </c>
      <c r="F940" t="inlineStr">
        <is>
          <t>HALLANDS LÄN</t>
        </is>
      </c>
      <c r="G940" t="inlineStr">
        <is>
          <t>VARBERG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47060-2025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45929</v>
      </c>
      <c r="E941" s="1" t="n">
        <v>46265</v>
      </c>
      <c r="F941" t="inlineStr">
        <is>
          <t>HALLANDS LÄN</t>
        </is>
      </c>
      <c r="G941" t="inlineStr">
        <is>
          <t>HYLTE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57794-2025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45981</v>
      </c>
      <c r="E942" s="1" t="n">
        <v>46265</v>
      </c>
      <c r="F942" t="inlineStr">
        <is>
          <t>HALLANDS LÄN</t>
        </is>
      </c>
      <c r="G942" t="inlineStr">
        <is>
          <t>HYLTE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57922-2025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45981</v>
      </c>
      <c r="E943" s="1" t="n">
        <v>46265</v>
      </c>
      <c r="F943" t="inlineStr">
        <is>
          <t>HALLANDS LÄN</t>
        </is>
      </c>
      <c r="G943" t="inlineStr">
        <is>
          <t>HALMSTAD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13224-2025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45735</v>
      </c>
      <c r="E944" s="1" t="n">
        <v>46265</v>
      </c>
      <c r="F944" t="inlineStr">
        <is>
          <t>HALLANDS LÄN</t>
        </is>
      </c>
      <c r="G944" t="inlineStr">
        <is>
          <t>HALMSTAD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52625-2024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45609</v>
      </c>
      <c r="E945" s="1" t="n">
        <v>46265</v>
      </c>
      <c r="F945" t="inlineStr">
        <is>
          <t>HALLANDS LÄN</t>
        </is>
      </c>
      <c r="G945" t="inlineStr">
        <is>
          <t>HYLTE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58841-2021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44489</v>
      </c>
      <c r="E946" s="1" t="n">
        <v>46265</v>
      </c>
      <c r="F946" t="inlineStr">
        <is>
          <t>HALLANDS LÄN</t>
        </is>
      </c>
      <c r="G946" t="inlineStr">
        <is>
          <t>HYLTE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893-2022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44571</v>
      </c>
      <c r="E947" s="1" t="n">
        <v>46265</v>
      </c>
      <c r="F947" t="inlineStr">
        <is>
          <t>HALLANDS LÄN</t>
        </is>
      </c>
      <c r="G947" t="inlineStr">
        <is>
          <t>HALMSTAD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47452-2025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45930</v>
      </c>
      <c r="E948" s="1" t="n">
        <v>46265</v>
      </c>
      <c r="F948" t="inlineStr">
        <is>
          <t>HALLANDS LÄN</t>
        </is>
      </c>
      <c r="G948" t="inlineStr">
        <is>
          <t>KUNGSBACKA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10531-2024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45366</v>
      </c>
      <c r="E949" s="1" t="n">
        <v>46265</v>
      </c>
      <c r="F949" t="inlineStr">
        <is>
          <t>HALLANDS LÄN</t>
        </is>
      </c>
      <c r="G949" t="inlineStr">
        <is>
          <t>HYLTE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46939-2025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45929</v>
      </c>
      <c r="E950" s="1" t="n">
        <v>46265</v>
      </c>
      <c r="F950" t="inlineStr">
        <is>
          <t>HALLANDS LÄN</t>
        </is>
      </c>
      <c r="G950" t="inlineStr">
        <is>
          <t>VARBERG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58397-2025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45985</v>
      </c>
      <c r="E951" s="1" t="n">
        <v>46265</v>
      </c>
      <c r="F951" t="inlineStr">
        <is>
          <t>HALLANDS LÄN</t>
        </is>
      </c>
      <c r="G951" t="inlineStr">
        <is>
          <t>VARBERG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36801-2024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45538</v>
      </c>
      <c r="E952" s="1" t="n">
        <v>46265</v>
      </c>
      <c r="F952" t="inlineStr">
        <is>
          <t>HALLANDS LÄN</t>
        </is>
      </c>
      <c r="G952" t="inlineStr">
        <is>
          <t>HYLTE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58425-2025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45985</v>
      </c>
      <c r="E953" s="1" t="n">
        <v>46265</v>
      </c>
      <c r="F953" t="inlineStr">
        <is>
          <t>HALLANDS LÄN</t>
        </is>
      </c>
      <c r="G953" t="inlineStr">
        <is>
          <t>VARBERG</t>
        </is>
      </c>
      <c r="I953" t="n">
        <v>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26838-2025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45810</v>
      </c>
      <c r="E954" s="1" t="n">
        <v>46265</v>
      </c>
      <c r="F954" t="inlineStr">
        <is>
          <t>HALLANDS LÄN</t>
        </is>
      </c>
      <c r="G954" t="inlineStr">
        <is>
          <t>FALKENBERG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61739-2023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45265</v>
      </c>
      <c r="E955" s="1" t="n">
        <v>46265</v>
      </c>
      <c r="F955" t="inlineStr">
        <is>
          <t>HALLANDS LÄN</t>
        </is>
      </c>
      <c r="G955" t="inlineStr">
        <is>
          <t>KUNGSBACKA</t>
        </is>
      </c>
      <c r="I955" t="n">
        <v>13.8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8989-2022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44615</v>
      </c>
      <c r="E956" s="1" t="n">
        <v>46265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46943-2025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45929</v>
      </c>
      <c r="E957" s="1" t="n">
        <v>46265</v>
      </c>
      <c r="F957" t="inlineStr">
        <is>
          <t>HALLANDS LÄN</t>
        </is>
      </c>
      <c r="G957" t="inlineStr">
        <is>
          <t>VARBERG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9546-2024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45359</v>
      </c>
      <c r="E958" s="1" t="n">
        <v>46265</v>
      </c>
      <c r="F958" t="inlineStr">
        <is>
          <t>HALLANDS LÄN</t>
        </is>
      </c>
      <c r="G958" t="inlineStr">
        <is>
          <t>HALMSTAD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58722-2025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45986</v>
      </c>
      <c r="E959" s="1" t="n">
        <v>46265</v>
      </c>
      <c r="F959" t="inlineStr">
        <is>
          <t>HALLANDS LÄN</t>
        </is>
      </c>
      <c r="G959" t="inlineStr">
        <is>
          <t>VARBERG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47698-2025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45931</v>
      </c>
      <c r="E960" s="1" t="n">
        <v>46265</v>
      </c>
      <c r="F960" t="inlineStr">
        <is>
          <t>HALLANDS LÄN</t>
        </is>
      </c>
      <c r="G960" t="inlineStr">
        <is>
          <t>HYLTE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47802-2025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45931</v>
      </c>
      <c r="E961" s="1" t="n">
        <v>46265</v>
      </c>
      <c r="F961" t="inlineStr">
        <is>
          <t>HALLANDS LÄN</t>
        </is>
      </c>
      <c r="G961" t="inlineStr">
        <is>
          <t>FALKENBERG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47806-2025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45931</v>
      </c>
      <c r="E962" s="1" t="n">
        <v>46265</v>
      </c>
      <c r="F962" t="inlineStr">
        <is>
          <t>HALLANDS LÄN</t>
        </is>
      </c>
      <c r="G962" t="inlineStr">
        <is>
          <t>FALKENBERG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47807-2025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45931</v>
      </c>
      <c r="E963" s="1" t="n">
        <v>46265</v>
      </c>
      <c r="F963" t="inlineStr">
        <is>
          <t>HALLANDS LÄN</t>
        </is>
      </c>
      <c r="G963" t="inlineStr">
        <is>
          <t>FALKENBERG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47556-2025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45931</v>
      </c>
      <c r="E964" s="1" t="n">
        <v>46265</v>
      </c>
      <c r="F964" t="inlineStr">
        <is>
          <t>HALLANDS LÄN</t>
        </is>
      </c>
      <c r="G964" t="inlineStr">
        <is>
          <t>HALMSTAD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58977-2025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45987</v>
      </c>
      <c r="E965" s="1" t="n">
        <v>46265</v>
      </c>
      <c r="F965" t="inlineStr">
        <is>
          <t>HALLANDS LÄN</t>
        </is>
      </c>
      <c r="G965" t="inlineStr">
        <is>
          <t>HYLTE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47754-2025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45931</v>
      </c>
      <c r="E966" s="1" t="n">
        <v>46265</v>
      </c>
      <c r="F966" t="inlineStr">
        <is>
          <t>HALLANDS LÄN</t>
        </is>
      </c>
      <c r="G966" t="inlineStr">
        <is>
          <t>HYLTE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48019-2025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45932</v>
      </c>
      <c r="E967" s="1" t="n">
        <v>46265</v>
      </c>
      <c r="F967" t="inlineStr">
        <is>
          <t>HALLANDS LÄN</t>
        </is>
      </c>
      <c r="G967" t="inlineStr">
        <is>
          <t>VARBERG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59070-2025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45988</v>
      </c>
      <c r="E968" s="1" t="n">
        <v>46265</v>
      </c>
      <c r="F968" t="inlineStr">
        <is>
          <t>HALLANDS LÄN</t>
        </is>
      </c>
      <c r="G968" t="inlineStr">
        <is>
          <t>HALMSTAD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61757-2022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44917</v>
      </c>
      <c r="E969" s="1" t="n">
        <v>46265</v>
      </c>
      <c r="F969" t="inlineStr">
        <is>
          <t>HALLANDS LÄN</t>
        </is>
      </c>
      <c r="G969" t="inlineStr">
        <is>
          <t>HALMSTAD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8284-2022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44610</v>
      </c>
      <c r="E970" s="1" t="n">
        <v>46265</v>
      </c>
      <c r="F970" t="inlineStr">
        <is>
          <t>HALLANDS LÄN</t>
        </is>
      </c>
      <c r="G970" t="inlineStr">
        <is>
          <t>HALMSTAD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64363-2023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45280</v>
      </c>
      <c r="E971" s="1" t="n">
        <v>46265</v>
      </c>
      <c r="F971" t="inlineStr">
        <is>
          <t>HALLANDS LÄN</t>
        </is>
      </c>
      <c r="G971" t="inlineStr">
        <is>
          <t>KUNGSBACKA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8249-2024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45352</v>
      </c>
      <c r="E972" s="1" t="n">
        <v>46265</v>
      </c>
      <c r="F972" t="inlineStr">
        <is>
          <t>HALLANDS LÄN</t>
        </is>
      </c>
      <c r="G972" t="inlineStr">
        <is>
          <t>VARBERG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48027-2025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45932</v>
      </c>
      <c r="E973" s="1" t="n">
        <v>46265</v>
      </c>
      <c r="F973" t="inlineStr">
        <is>
          <t>HALLANDS LÄN</t>
        </is>
      </c>
      <c r="G973" t="inlineStr">
        <is>
          <t>VARBERG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3291-2022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44584</v>
      </c>
      <c r="E974" s="1" t="n">
        <v>46265</v>
      </c>
      <c r="F974" t="inlineStr">
        <is>
          <t>HALLANDS LÄN</t>
        </is>
      </c>
      <c r="G974" t="inlineStr">
        <is>
          <t>FALKENBERG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63034-2023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45272</v>
      </c>
      <c r="E975" s="1" t="n">
        <v>46265</v>
      </c>
      <c r="F975" t="inlineStr">
        <is>
          <t>HALLANDS LÄN</t>
        </is>
      </c>
      <c r="G975" t="inlineStr">
        <is>
          <t>FALKENBERG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47552-2025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45931</v>
      </c>
      <c r="E976" s="1" t="n">
        <v>46265</v>
      </c>
      <c r="F976" t="inlineStr">
        <is>
          <t>HALLANDS LÄN</t>
        </is>
      </c>
      <c r="G976" t="inlineStr">
        <is>
          <t>HALMSTAD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40154-2024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45554</v>
      </c>
      <c r="E977" s="1" t="n">
        <v>46265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47513-2025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45930</v>
      </c>
      <c r="E978" s="1" t="n">
        <v>46265</v>
      </c>
      <c r="F978" t="inlineStr">
        <is>
          <t>HALLANDS LÄN</t>
        </is>
      </c>
      <c r="G978" t="inlineStr">
        <is>
          <t>HYLTE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7783-2024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45349</v>
      </c>
      <c r="E979" s="1" t="n">
        <v>46265</v>
      </c>
      <c r="F979" t="inlineStr">
        <is>
          <t>HALLANDS LÄN</t>
        </is>
      </c>
      <c r="G979" t="inlineStr">
        <is>
          <t>LAHOLM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38929-2024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45548</v>
      </c>
      <c r="E980" s="1" t="n">
        <v>46265</v>
      </c>
      <c r="F980" t="inlineStr">
        <is>
          <t>HALLANDS LÄN</t>
        </is>
      </c>
      <c r="G980" t="inlineStr">
        <is>
          <t>LAHOLM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39930-2024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45553</v>
      </c>
      <c r="E981" s="1" t="n">
        <v>46265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11958-2023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44994</v>
      </c>
      <c r="E982" s="1" t="n">
        <v>46265</v>
      </c>
      <c r="F982" t="inlineStr">
        <is>
          <t>HALLANDS LÄN</t>
        </is>
      </c>
      <c r="G982" t="inlineStr">
        <is>
          <t>KUNGSBACKA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27276-2025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45812</v>
      </c>
      <c r="E983" s="1" t="n">
        <v>46265</v>
      </c>
      <c r="F983" t="inlineStr">
        <is>
          <t>HALLANDS LÄN</t>
        </is>
      </c>
      <c r="G983" t="inlineStr">
        <is>
          <t>HYLTE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48118-2025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45933</v>
      </c>
      <c r="E984" s="1" t="n">
        <v>46265</v>
      </c>
      <c r="F984" t="inlineStr">
        <is>
          <t>HALLANDS LÄN</t>
        </is>
      </c>
      <c r="G984" t="inlineStr">
        <is>
          <t>HYLTE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48463-2025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45936</v>
      </c>
      <c r="E985" s="1" t="n">
        <v>46265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48464-2025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46265</v>
      </c>
      <c r="F986" t="inlineStr">
        <is>
          <t>HALLANDS LÄN</t>
        </is>
      </c>
      <c r="G986" t="inlineStr">
        <is>
          <t>HYLTE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48123-2025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45933</v>
      </c>
      <c r="E987" s="1" t="n">
        <v>46265</v>
      </c>
      <c r="F987" t="inlineStr">
        <is>
          <t>HALLANDS LÄN</t>
        </is>
      </c>
      <c r="G987" t="inlineStr">
        <is>
          <t>HYLTE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48152-2025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45933</v>
      </c>
      <c r="E988" s="1" t="n">
        <v>46265</v>
      </c>
      <c r="F988" t="inlineStr">
        <is>
          <t>HALLANDS LÄN</t>
        </is>
      </c>
      <c r="G988" t="inlineStr">
        <is>
          <t>HYLTE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57790-2022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44897</v>
      </c>
      <c r="E989" s="1" t="n">
        <v>46265</v>
      </c>
      <c r="F989" t="inlineStr">
        <is>
          <t>HALLANDS LÄN</t>
        </is>
      </c>
      <c r="G989" t="inlineStr">
        <is>
          <t>KUNGSBACKA</t>
        </is>
      </c>
      <c r="I989" t="n">
        <v>18.8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12586-2022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44639</v>
      </c>
      <c r="E990" s="1" t="n">
        <v>46265</v>
      </c>
      <c r="F990" t="inlineStr">
        <is>
          <t>HALLANDS LÄN</t>
        </is>
      </c>
      <c r="G990" t="inlineStr">
        <is>
          <t>LAHOLM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40640-2025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45896</v>
      </c>
      <c r="E991" s="1" t="n">
        <v>46265</v>
      </c>
      <c r="F991" t="inlineStr">
        <is>
          <t>HALLANDS LÄN</t>
        </is>
      </c>
      <c r="G991" t="inlineStr">
        <is>
          <t>FALKENBERG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27524-2025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45813</v>
      </c>
      <c r="E992" s="1" t="n">
        <v>46265</v>
      </c>
      <c r="F992" t="inlineStr">
        <is>
          <t>HALLANDS LÄN</t>
        </is>
      </c>
      <c r="G992" t="inlineStr">
        <is>
          <t>VARBERG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48465-2025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45936</v>
      </c>
      <c r="E993" s="1" t="n">
        <v>46265</v>
      </c>
      <c r="F993" t="inlineStr">
        <is>
          <t>HALLANDS LÄN</t>
        </is>
      </c>
      <c r="G993" t="inlineStr">
        <is>
          <t>HYLTE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7696-2024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45349</v>
      </c>
      <c r="E994" s="1" t="n">
        <v>46265</v>
      </c>
      <c r="F994" t="inlineStr">
        <is>
          <t>HALLANDS LÄN</t>
        </is>
      </c>
      <c r="G994" t="inlineStr">
        <is>
          <t>FALKENBERG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40614-2025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45896</v>
      </c>
      <c r="E995" s="1" t="n">
        <v>46265</v>
      </c>
      <c r="F995" t="inlineStr">
        <is>
          <t>HALLANDS LÄN</t>
        </is>
      </c>
      <c r="G995" t="inlineStr">
        <is>
          <t>FALKENBERG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1755-2023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44938</v>
      </c>
      <c r="E996" s="1" t="n">
        <v>46265</v>
      </c>
      <c r="F996" t="inlineStr">
        <is>
          <t>HALLANDS LÄN</t>
        </is>
      </c>
      <c r="G996" t="inlineStr">
        <is>
          <t>HALMSTAD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12548-2025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45730</v>
      </c>
      <c r="E997" s="1" t="n">
        <v>46265</v>
      </c>
      <c r="F997" t="inlineStr">
        <is>
          <t>HALLANDS LÄN</t>
        </is>
      </c>
      <c r="G997" t="inlineStr">
        <is>
          <t>HYLTE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59061-2025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45988</v>
      </c>
      <c r="E998" s="1" t="n">
        <v>46265</v>
      </c>
      <c r="F998" t="inlineStr">
        <is>
          <t>HALLANDS LÄN</t>
        </is>
      </c>
      <c r="G998" t="inlineStr">
        <is>
          <t>HALMSTAD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11432-2025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45726</v>
      </c>
      <c r="E999" s="1" t="n">
        <v>46265</v>
      </c>
      <c r="F999" t="inlineStr">
        <is>
          <t>HALLANDS LÄN</t>
        </is>
      </c>
      <c r="G999" t="inlineStr">
        <is>
          <t>KUNGSBACKA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25852-2024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45467</v>
      </c>
      <c r="E1000" s="1" t="n">
        <v>46265</v>
      </c>
      <c r="F1000" t="inlineStr">
        <is>
          <t>HALLANDS LÄN</t>
        </is>
      </c>
      <c r="G1000" t="inlineStr">
        <is>
          <t>FALKENBERG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14536-2025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45741</v>
      </c>
      <c r="E1001" s="1" t="n">
        <v>46265</v>
      </c>
      <c r="F1001" t="inlineStr">
        <is>
          <t>HALLANDS LÄN</t>
        </is>
      </c>
      <c r="G1001" t="inlineStr">
        <is>
          <t>VARBERG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59270-2025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45988</v>
      </c>
      <c r="E1002" s="1" t="n">
        <v>46265</v>
      </c>
      <c r="F1002" t="inlineStr">
        <is>
          <t>HALLANDS LÄN</t>
        </is>
      </c>
      <c r="G1002" t="inlineStr">
        <is>
          <t>FALKENBERG</t>
        </is>
      </c>
      <c r="H1002" t="inlineStr">
        <is>
          <t>Kyrkan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59273-2025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45988</v>
      </c>
      <c r="E1003" s="1" t="n">
        <v>46265</v>
      </c>
      <c r="F1003" t="inlineStr">
        <is>
          <t>HALLANDS LÄN</t>
        </is>
      </c>
      <c r="G1003" t="inlineStr">
        <is>
          <t>FALKENBERG</t>
        </is>
      </c>
      <c r="H1003" t="inlineStr">
        <is>
          <t>Kyrkan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39331-2025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45889</v>
      </c>
      <c r="E1004" s="1" t="n">
        <v>46265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59108-2025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45988</v>
      </c>
      <c r="E1005" s="1" t="n">
        <v>46265</v>
      </c>
      <c r="F1005" t="inlineStr">
        <is>
          <t>HALLANDS LÄN</t>
        </is>
      </c>
      <c r="G1005" t="inlineStr">
        <is>
          <t>VARBERG</t>
        </is>
      </c>
      <c r="H1005" t="inlineStr">
        <is>
          <t>Övriga statliga verk och myndigheter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45694</v>
      </c>
      <c r="E1006" s="1" t="n">
        <v>46265</v>
      </c>
      <c r="F1006" t="inlineStr">
        <is>
          <t>HALLANDS LÄN</t>
        </is>
      </c>
      <c r="G1006" t="inlineStr">
        <is>
          <t>HYLTE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3538-2024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45320</v>
      </c>
      <c r="E1007" s="1" t="n">
        <v>46265</v>
      </c>
      <c r="F1007" t="inlineStr">
        <is>
          <t>HALLANDS LÄN</t>
        </is>
      </c>
      <c r="G1007" t="inlineStr">
        <is>
          <t>VARBERG</t>
        </is>
      </c>
      <c r="H1007" t="inlineStr">
        <is>
          <t>Övriga statliga verk och myndigheter</t>
        </is>
      </c>
      <c r="I1007" t="n">
        <v>7.7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53772-2024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45615</v>
      </c>
      <c r="E1008" s="1" t="n">
        <v>46265</v>
      </c>
      <c r="F1008" t="inlineStr">
        <is>
          <t>HALLANDS LÄN</t>
        </is>
      </c>
      <c r="G1008" t="inlineStr">
        <is>
          <t>FALKENBERG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57115-2025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45978</v>
      </c>
      <c r="E1009" s="1" t="n">
        <v>46265</v>
      </c>
      <c r="F1009" t="inlineStr">
        <is>
          <t>HALLANDS LÄN</t>
        </is>
      </c>
      <c r="G1009" t="inlineStr">
        <is>
          <t>FALKENBERG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8827-2025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45712</v>
      </c>
      <c r="E1010" s="1" t="n">
        <v>46265</v>
      </c>
      <c r="F1010" t="inlineStr">
        <is>
          <t>HALLANDS LÄN</t>
        </is>
      </c>
      <c r="G1010" t="inlineStr">
        <is>
          <t>FALKENBERG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1798-2025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45671</v>
      </c>
      <c r="E1011" s="1" t="n">
        <v>46265</v>
      </c>
      <c r="F1011" t="inlineStr">
        <is>
          <t>HALLANDS LÄN</t>
        </is>
      </c>
      <c r="G1011" t="inlineStr">
        <is>
          <t>HYLTE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59464-2025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45989</v>
      </c>
      <c r="E1012" s="1" t="n">
        <v>46265</v>
      </c>
      <c r="F1012" t="inlineStr">
        <is>
          <t>HALLANDS LÄN</t>
        </is>
      </c>
      <c r="G1012" t="inlineStr">
        <is>
          <t>HYLTE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59510-2025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45989</v>
      </c>
      <c r="E1013" s="1" t="n">
        <v>46265</v>
      </c>
      <c r="F1013" t="inlineStr">
        <is>
          <t>HALLANDS LÄN</t>
        </is>
      </c>
      <c r="G1013" t="inlineStr">
        <is>
          <t>FALKENBERG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62743-2022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44925</v>
      </c>
      <c r="E1014" s="1" t="n">
        <v>46265</v>
      </c>
      <c r="F1014" t="inlineStr">
        <is>
          <t>HALLANDS LÄN</t>
        </is>
      </c>
      <c r="G1014" t="inlineStr">
        <is>
          <t>KUNGSBACKA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51398-2023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45219</v>
      </c>
      <c r="E1015" s="1" t="n">
        <v>46265</v>
      </c>
      <c r="F1015" t="inlineStr">
        <is>
          <t>HALLANDS LÄN</t>
        </is>
      </c>
      <c r="G1015" t="inlineStr">
        <is>
          <t>FALKENBERG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46265</v>
      </c>
      <c r="F1016" t="inlineStr">
        <is>
          <t>HALLANDS LÄN</t>
        </is>
      </c>
      <c r="G1016" t="inlineStr">
        <is>
          <t>HALMSTAD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48821-2025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45937</v>
      </c>
      <c r="E1017" s="1" t="n">
        <v>46265</v>
      </c>
      <c r="F1017" t="inlineStr">
        <is>
          <t>HALLANDS LÄN</t>
        </is>
      </c>
      <c r="G1017" t="inlineStr">
        <is>
          <t>HYLTE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49914-2024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45597</v>
      </c>
      <c r="E1018" s="1" t="n">
        <v>46265</v>
      </c>
      <c r="F1018" t="inlineStr">
        <is>
          <t>HALLANDS LÄN</t>
        </is>
      </c>
      <c r="G1018" t="inlineStr">
        <is>
          <t>HYLTE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51015-2024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45603</v>
      </c>
      <c r="E1019" s="1" t="n">
        <v>46265</v>
      </c>
      <c r="F1019" t="inlineStr">
        <is>
          <t>HALLANDS LÄN</t>
        </is>
      </c>
      <c r="G1019" t="inlineStr">
        <is>
          <t>LAHOLM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51022-2024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45603</v>
      </c>
      <c r="E1020" s="1" t="n">
        <v>46265</v>
      </c>
      <c r="F1020" t="inlineStr">
        <is>
          <t>HALLANDS LÄN</t>
        </is>
      </c>
      <c r="G1020" t="inlineStr">
        <is>
          <t>LAHOLM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14577-2025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45742</v>
      </c>
      <c r="E1021" s="1" t="n">
        <v>46265</v>
      </c>
      <c r="F1021" t="inlineStr">
        <is>
          <t>HALLANDS LÄN</t>
        </is>
      </c>
      <c r="G1021" t="inlineStr">
        <is>
          <t>VARBERG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49403-2025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45938</v>
      </c>
      <c r="E1022" s="1" t="n">
        <v>46265</v>
      </c>
      <c r="F1022" t="inlineStr">
        <is>
          <t>HALLANDS LÄN</t>
        </is>
      </c>
      <c r="G1022" t="inlineStr">
        <is>
          <t>HALMSTAD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8185-2025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45708</v>
      </c>
      <c r="E1023" s="1" t="n">
        <v>46265</v>
      </c>
      <c r="F1023" t="inlineStr">
        <is>
          <t>HALLANDS LÄN</t>
        </is>
      </c>
      <c r="G1023" t="inlineStr">
        <is>
          <t>HYLTE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13516-2024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45387</v>
      </c>
      <c r="E1024" s="1" t="n">
        <v>46265</v>
      </c>
      <c r="F1024" t="inlineStr">
        <is>
          <t>HALLANDS LÄN</t>
        </is>
      </c>
      <c r="G1024" t="inlineStr">
        <is>
          <t>HYLTE</t>
        </is>
      </c>
      <c r="I1024" t="n">
        <v>11.1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28610-2023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45103</v>
      </c>
      <c r="E1025" s="1" t="n">
        <v>46265</v>
      </c>
      <c r="F1025" t="inlineStr">
        <is>
          <t>HALLANDS LÄN</t>
        </is>
      </c>
      <c r="G1025" t="inlineStr">
        <is>
          <t>KUNGSBACKA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49200-2025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45938</v>
      </c>
      <c r="E1026" s="1" t="n">
        <v>46265</v>
      </c>
      <c r="F1026" t="inlineStr">
        <is>
          <t>HALLANDS LÄN</t>
        </is>
      </c>
      <c r="G1026" t="inlineStr">
        <is>
          <t>VARBERG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20828-2025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45776</v>
      </c>
      <c r="E1027" s="1" t="n">
        <v>46265</v>
      </c>
      <c r="F1027" t="inlineStr">
        <is>
          <t>HALLANDS LÄN</t>
        </is>
      </c>
      <c r="G1027" t="inlineStr">
        <is>
          <t>KUNGSBACKA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57523-2024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45630</v>
      </c>
      <c r="E1028" s="1" t="n">
        <v>46265</v>
      </c>
      <c r="F1028" t="inlineStr">
        <is>
          <t>HALLANDS LÄN</t>
        </is>
      </c>
      <c r="G1028" t="inlineStr">
        <is>
          <t>FALKENBERG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49033-2025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45937</v>
      </c>
      <c r="E1029" s="1" t="n">
        <v>46265</v>
      </c>
      <c r="F1029" t="inlineStr">
        <is>
          <t>HALLANDS LÄN</t>
        </is>
      </c>
      <c r="G1029" t="inlineStr">
        <is>
          <t>FALKENBERG</t>
        </is>
      </c>
      <c r="H1029" t="inlineStr">
        <is>
          <t>Kyrkan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38715-2024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45547</v>
      </c>
      <c r="E1030" s="1" t="n">
        <v>46265</v>
      </c>
      <c r="F1030" t="inlineStr">
        <is>
          <t>HALLANDS LÄN</t>
        </is>
      </c>
      <c r="G1030" t="inlineStr">
        <is>
          <t>FALKENBERG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32030-2024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45510</v>
      </c>
      <c r="E1031" s="1" t="n">
        <v>46265</v>
      </c>
      <c r="F1031" t="inlineStr">
        <is>
          <t>HALLANDS LÄN</t>
        </is>
      </c>
      <c r="G1031" t="inlineStr">
        <is>
          <t>KUNGSBACKA</t>
        </is>
      </c>
      <c r="H1031" t="inlineStr">
        <is>
          <t>Kyrkan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27977-2025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46265</v>
      </c>
      <c r="F1032" t="inlineStr">
        <is>
          <t>HALLANDS LÄN</t>
        </is>
      </c>
      <c r="G1032" t="inlineStr">
        <is>
          <t>KUNGSBACKA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49218-2025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45938</v>
      </c>
      <c r="E1033" s="1" t="n">
        <v>46265</v>
      </c>
      <c r="F1033" t="inlineStr">
        <is>
          <t>HALLANDS LÄN</t>
        </is>
      </c>
      <c r="G1033" t="inlineStr">
        <is>
          <t>HYLTE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41065-2024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45558</v>
      </c>
      <c r="E1034" s="1" t="n">
        <v>46265</v>
      </c>
      <c r="F1034" t="inlineStr">
        <is>
          <t>HALLANDS LÄN</t>
        </is>
      </c>
      <c r="G1034" t="inlineStr">
        <is>
          <t>HYLTE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40809-2023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45171</v>
      </c>
      <c r="E1035" s="1" t="n">
        <v>46265</v>
      </c>
      <c r="F1035" t="inlineStr">
        <is>
          <t>HALLANDS LÄN</t>
        </is>
      </c>
      <c r="G1035" t="inlineStr">
        <is>
          <t>LAHOLM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9349-2024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45359</v>
      </c>
      <c r="E1036" s="1" t="n">
        <v>46265</v>
      </c>
      <c r="F1036" t="inlineStr">
        <is>
          <t>HALLANDS LÄN</t>
        </is>
      </c>
      <c r="G1036" t="inlineStr">
        <is>
          <t>VARBERG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7874-2024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45350</v>
      </c>
      <c r="E1037" s="1" t="n">
        <v>46265</v>
      </c>
      <c r="F1037" t="inlineStr">
        <is>
          <t>HALLANDS LÄN</t>
        </is>
      </c>
      <c r="G1037" t="inlineStr">
        <is>
          <t>FALKENBERG</t>
        </is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39716-2024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45552</v>
      </c>
      <c r="E1038" s="1" t="n">
        <v>46265</v>
      </c>
      <c r="F1038" t="inlineStr">
        <is>
          <t>HALLANDS LÄN</t>
        </is>
      </c>
      <c r="G1038" t="inlineStr">
        <is>
          <t>FALKENBERG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8516-2024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45355</v>
      </c>
      <c r="E1039" s="1" t="n">
        <v>46265</v>
      </c>
      <c r="F1039" t="inlineStr">
        <is>
          <t>HALLANDS LÄN</t>
        </is>
      </c>
      <c r="G1039" t="inlineStr">
        <is>
          <t>FALKENBERG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60234-2024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45642</v>
      </c>
      <c r="E1040" s="1" t="n">
        <v>46265</v>
      </c>
      <c r="F1040" t="inlineStr">
        <is>
          <t>HALLANDS LÄN</t>
        </is>
      </c>
      <c r="G1040" t="inlineStr">
        <is>
          <t>HALMSTAD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49912-2025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45940</v>
      </c>
      <c r="E1041" s="1" t="n">
        <v>46265</v>
      </c>
      <c r="F1041" t="inlineStr">
        <is>
          <t>HALLANDS LÄN</t>
        </is>
      </c>
      <c r="G1041" t="inlineStr">
        <is>
          <t>KUNGSBACKA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61785-2021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44501</v>
      </c>
      <c r="E1042" s="1" t="n">
        <v>46265</v>
      </c>
      <c r="F1042" t="inlineStr">
        <is>
          <t>HALLANDS LÄN</t>
        </is>
      </c>
      <c r="G1042" t="inlineStr">
        <is>
          <t>LAHOLM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60205-2022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44910</v>
      </c>
      <c r="E1043" s="1" t="n">
        <v>46265</v>
      </c>
      <c r="F1043" t="inlineStr">
        <is>
          <t>HALLANDS LÄN</t>
        </is>
      </c>
      <c r="G1043" t="inlineStr">
        <is>
          <t>VARBERG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49635-2025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45939</v>
      </c>
      <c r="E1044" s="1" t="n">
        <v>46265</v>
      </c>
      <c r="F1044" t="inlineStr">
        <is>
          <t>HALLANDS LÄN</t>
        </is>
      </c>
      <c r="G1044" t="inlineStr">
        <is>
          <t>HYLTE</t>
        </is>
      </c>
      <c r="H1044" t="inlineStr">
        <is>
          <t>Kyrkan</t>
        </is>
      </c>
      <c r="I1044" t="n">
        <v>7.2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7783-2025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45706</v>
      </c>
      <c r="E1045" s="1" t="n">
        <v>46265</v>
      </c>
      <c r="F1045" t="inlineStr">
        <is>
          <t>HALLANDS LÄN</t>
        </is>
      </c>
      <c r="G1045" t="inlineStr">
        <is>
          <t>HYLTE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49761-2025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45940</v>
      </c>
      <c r="E1046" s="1" t="n">
        <v>46265</v>
      </c>
      <c r="F1046" t="inlineStr">
        <is>
          <t>HALLANDS LÄN</t>
        </is>
      </c>
      <c r="G1046" t="inlineStr">
        <is>
          <t>FALKENBERG</t>
        </is>
      </c>
      <c r="I1046" t="n">
        <v>8.199999999999999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44938</v>
      </c>
      <c r="E1047" s="1" t="n">
        <v>46265</v>
      </c>
      <c r="F1047" t="inlineStr">
        <is>
          <t>HALLANDS LÄN</t>
        </is>
      </c>
      <c r="G1047" t="inlineStr">
        <is>
          <t>FALKENBERG</t>
        </is>
      </c>
      <c r="I1047" t="n">
        <v>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60207-2025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45994</v>
      </c>
      <c r="E1048" s="1" t="n">
        <v>46265</v>
      </c>
      <c r="F1048" t="inlineStr">
        <is>
          <t>HALLANDS LÄN</t>
        </is>
      </c>
      <c r="G1048" t="inlineStr">
        <is>
          <t>VARBERG</t>
        </is>
      </c>
      <c r="I1048" t="n">
        <v>8.5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60212-2025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45994</v>
      </c>
      <c r="E1049" s="1" t="n">
        <v>46265</v>
      </c>
      <c r="F1049" t="inlineStr">
        <is>
          <t>HALLANDS LÄN</t>
        </is>
      </c>
      <c r="G1049" t="inlineStr">
        <is>
          <t>VARBERG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33419-2024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45519</v>
      </c>
      <c r="E1050" s="1" t="n">
        <v>46265</v>
      </c>
      <c r="F1050" t="inlineStr">
        <is>
          <t>HALLANDS LÄN</t>
        </is>
      </c>
      <c r="G1050" t="inlineStr">
        <is>
          <t>LAHOLM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28881-2025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45820</v>
      </c>
      <c r="E1051" s="1" t="n">
        <v>46265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60109-2025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45994</v>
      </c>
      <c r="E1052" s="1" t="n">
        <v>46265</v>
      </c>
      <c r="F1052" t="inlineStr">
        <is>
          <t>HALLANDS LÄN</t>
        </is>
      </c>
      <c r="G1052" t="inlineStr">
        <is>
          <t>LAHOLM</t>
        </is>
      </c>
      <c r="H1052" t="inlineStr">
        <is>
          <t>Sveaskog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28383-2025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45819</v>
      </c>
      <c r="E1053" s="1" t="n">
        <v>46265</v>
      </c>
      <c r="F1053" t="inlineStr">
        <is>
          <t>HALLANDS LÄN</t>
        </is>
      </c>
      <c r="G1053" t="inlineStr">
        <is>
          <t>KUNGSBACKA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60004-2025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45993</v>
      </c>
      <c r="E1054" s="1" t="n">
        <v>46265</v>
      </c>
      <c r="F1054" t="inlineStr">
        <is>
          <t>HALLANDS LÄN</t>
        </is>
      </c>
      <c r="G1054" t="inlineStr">
        <is>
          <t>KUNGSBACKA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22070-2022</t>
        </is>
      </c>
      <c r="B1055" t="inlineStr">
        <is>
          <t>avverkningsanmälan</t>
        </is>
      </c>
      <c r="C1055" t="inlineStr">
        <is>
          <t>Avverkning för annat ändamål</t>
        </is>
      </c>
      <c r="D1055" s="1" t="n">
        <v>44711</v>
      </c>
      <c r="E1055" s="1" t="n">
        <v>46265</v>
      </c>
      <c r="F1055" t="inlineStr">
        <is>
          <t>HALLANDS LÄN</t>
        </is>
      </c>
      <c r="G1055" t="inlineStr">
        <is>
          <t>HALMSTAD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60209-2025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45994</v>
      </c>
      <c r="E1056" s="1" t="n">
        <v>46265</v>
      </c>
      <c r="F1056" t="inlineStr">
        <is>
          <t>HALLANDS LÄN</t>
        </is>
      </c>
      <c r="G1056" t="inlineStr">
        <is>
          <t>VARBERG</t>
        </is>
      </c>
      <c r="I1056" t="n">
        <v>3.6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50608-2025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45944</v>
      </c>
      <c r="E1057" s="1" t="n">
        <v>46265</v>
      </c>
      <c r="F1057" t="inlineStr">
        <is>
          <t>HALLANDS LÄN</t>
        </is>
      </c>
      <c r="G1057" t="inlineStr">
        <is>
          <t>HYLTE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6411-2022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44600</v>
      </c>
      <c r="E1058" s="1" t="n">
        <v>46265</v>
      </c>
      <c r="F1058" t="inlineStr">
        <is>
          <t>HALLANDS LÄN</t>
        </is>
      </c>
      <c r="G1058" t="inlineStr">
        <is>
          <t>LAHOLM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60655-2025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45995</v>
      </c>
      <c r="E1059" s="1" t="n">
        <v>46265</v>
      </c>
      <c r="F1059" t="inlineStr">
        <is>
          <t>HALLANDS LÄN</t>
        </is>
      </c>
      <c r="G1059" t="inlineStr">
        <is>
          <t>HYLTE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57966-2022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44900</v>
      </c>
      <c r="E1060" s="1" t="n">
        <v>46265</v>
      </c>
      <c r="F1060" t="inlineStr">
        <is>
          <t>HALLANDS LÄN</t>
        </is>
      </c>
      <c r="G1060" t="inlineStr">
        <is>
          <t>HYLTE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28900-2025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45820</v>
      </c>
      <c r="E1061" s="1" t="n">
        <v>46265</v>
      </c>
      <c r="F1061" t="inlineStr">
        <is>
          <t>HALLANDS LÄN</t>
        </is>
      </c>
      <c r="G1061" t="inlineStr">
        <is>
          <t>KUNGSBACKA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50490-2025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45945</v>
      </c>
      <c r="E1062" s="1" t="n">
        <v>46265</v>
      </c>
      <c r="F1062" t="inlineStr">
        <is>
          <t>HALLANDS LÄN</t>
        </is>
      </c>
      <c r="G1062" t="inlineStr">
        <is>
          <t>VARBERG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50894-2025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45946</v>
      </c>
      <c r="E1063" s="1" t="n">
        <v>46265</v>
      </c>
      <c r="F1063" t="inlineStr">
        <is>
          <t>HALLANDS LÄN</t>
        </is>
      </c>
      <c r="G1063" t="inlineStr">
        <is>
          <t>FALKENBERG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50905-2025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45946</v>
      </c>
      <c r="E1064" s="1" t="n">
        <v>46265</v>
      </c>
      <c r="F1064" t="inlineStr">
        <is>
          <t>HALLANDS LÄN</t>
        </is>
      </c>
      <c r="G1064" t="inlineStr">
        <is>
          <t>FALKENBERG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50909-2025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45946</v>
      </c>
      <c r="E1065" s="1" t="n">
        <v>46265</v>
      </c>
      <c r="F1065" t="inlineStr">
        <is>
          <t>HALLANDS LÄN</t>
        </is>
      </c>
      <c r="G1065" t="inlineStr">
        <is>
          <t>FALKENBERG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50456-2025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45945</v>
      </c>
      <c r="E1066" s="1" t="n">
        <v>46265</v>
      </c>
      <c r="F1066" t="inlineStr">
        <is>
          <t>HALLANDS LÄN</t>
        </is>
      </c>
      <c r="G1066" t="inlineStr">
        <is>
          <t>VARBERG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2821-2025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45677</v>
      </c>
      <c r="E1067" s="1" t="n">
        <v>46265</v>
      </c>
      <c r="F1067" t="inlineStr">
        <is>
          <t>HALLANDS LÄN</t>
        </is>
      </c>
      <c r="G1067" t="inlineStr">
        <is>
          <t>HALMSTAD</t>
        </is>
      </c>
      <c r="I1067" t="n">
        <v>5.5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19732-2024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45432</v>
      </c>
      <c r="E1068" s="1" t="n">
        <v>46265</v>
      </c>
      <c r="F1068" t="inlineStr">
        <is>
          <t>HALLANDS LÄN</t>
        </is>
      </c>
      <c r="G1068" t="inlineStr">
        <is>
          <t>VARBERG</t>
        </is>
      </c>
      <c r="I1068" t="n">
        <v>6.5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10089-2024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45364</v>
      </c>
      <c r="E1069" s="1" t="n">
        <v>46265</v>
      </c>
      <c r="F1069" t="inlineStr">
        <is>
          <t>HALLANDS LÄN</t>
        </is>
      </c>
      <c r="G1069" t="inlineStr">
        <is>
          <t>LAHOLM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29364-2025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45824</v>
      </c>
      <c r="E1070" s="1" t="n">
        <v>46265</v>
      </c>
      <c r="F1070" t="inlineStr">
        <is>
          <t>HALLANDS LÄN</t>
        </is>
      </c>
      <c r="G1070" t="inlineStr">
        <is>
          <t>VARBERG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50465-2025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45945</v>
      </c>
      <c r="E1071" s="1" t="n">
        <v>46265</v>
      </c>
      <c r="F1071" t="inlineStr">
        <is>
          <t>HALLANDS LÄN</t>
        </is>
      </c>
      <c r="G1071" t="inlineStr">
        <is>
          <t>VARBERG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29318-2025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45824</v>
      </c>
      <c r="E1072" s="1" t="n">
        <v>46265</v>
      </c>
      <c r="F1072" t="inlineStr">
        <is>
          <t>HALLANDS LÄN</t>
        </is>
      </c>
      <c r="G1072" t="inlineStr">
        <is>
          <t>VARBERG</t>
        </is>
      </c>
      <c r="I1072" t="n">
        <v>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29129-2025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45821</v>
      </c>
      <c r="E1073" s="1" t="n">
        <v>46265</v>
      </c>
      <c r="F1073" t="inlineStr">
        <is>
          <t>HALLANDS LÄN</t>
        </is>
      </c>
      <c r="G1073" t="inlineStr">
        <is>
          <t>FALKENBERG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29316-2025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45824</v>
      </c>
      <c r="E1074" s="1" t="n">
        <v>46265</v>
      </c>
      <c r="F1074" t="inlineStr">
        <is>
          <t>HALLANDS LÄN</t>
        </is>
      </c>
      <c r="G1074" t="inlineStr">
        <is>
          <t>HALMSTAD</t>
        </is>
      </c>
      <c r="I1074" t="n">
        <v>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51535-2025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45950</v>
      </c>
      <c r="E1075" s="1" t="n">
        <v>46265</v>
      </c>
      <c r="F1075" t="inlineStr">
        <is>
          <t>HALLANDS LÄN</t>
        </is>
      </c>
      <c r="G1075" t="inlineStr">
        <is>
          <t>FALKENBERG</t>
        </is>
      </c>
      <c r="H1075" t="inlineStr">
        <is>
          <t>Kyrkan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60812-2025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45999</v>
      </c>
      <c r="E1076" s="1" t="n">
        <v>46265</v>
      </c>
      <c r="F1076" t="inlineStr">
        <is>
          <t>HALLANDS LÄN</t>
        </is>
      </c>
      <c r="G1076" t="inlineStr">
        <is>
          <t>FALKENBERG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29713-2025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45825</v>
      </c>
      <c r="E1077" s="1" t="n">
        <v>46265</v>
      </c>
      <c r="F1077" t="inlineStr">
        <is>
          <t>HALLANDS LÄN</t>
        </is>
      </c>
      <c r="G1077" t="inlineStr">
        <is>
          <t>HYLTE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23037-2022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44719</v>
      </c>
      <c r="E1078" s="1" t="n">
        <v>46265</v>
      </c>
      <c r="F1078" t="inlineStr">
        <is>
          <t>HALLANDS LÄN</t>
        </is>
      </c>
      <c r="G1078" t="inlineStr">
        <is>
          <t>HYLTE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56011-2023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45240</v>
      </c>
      <c r="E1079" s="1" t="n">
        <v>46265</v>
      </c>
      <c r="F1079" t="inlineStr">
        <is>
          <t>HALLANDS LÄN</t>
        </is>
      </c>
      <c r="G1079" t="inlineStr">
        <is>
          <t>HALMSTAD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18598-2022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44687</v>
      </c>
      <c r="E1080" s="1" t="n">
        <v>46265</v>
      </c>
      <c r="F1080" t="inlineStr">
        <is>
          <t>HALLANDS LÄN</t>
        </is>
      </c>
      <c r="G1080" t="inlineStr">
        <is>
          <t>HALMSTAD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51523-2025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45950</v>
      </c>
      <c r="E1081" s="1" t="n">
        <v>46265</v>
      </c>
      <c r="F1081" t="inlineStr">
        <is>
          <t>HALLANDS LÄN</t>
        </is>
      </c>
      <c r="G1081" t="inlineStr">
        <is>
          <t>KUNGSBACKA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52317-2022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44873</v>
      </c>
      <c r="E1082" s="1" t="n">
        <v>46265</v>
      </c>
      <c r="F1082" t="inlineStr">
        <is>
          <t>HALLANDS LÄN</t>
        </is>
      </c>
      <c r="G1082" t="inlineStr">
        <is>
          <t>KUNGSBACKA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40581-2024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45555</v>
      </c>
      <c r="E1083" s="1" t="n">
        <v>46265</v>
      </c>
      <c r="F1083" t="inlineStr">
        <is>
          <t>HALLANDS LÄN</t>
        </is>
      </c>
      <c r="G1083" t="inlineStr">
        <is>
          <t>FALKENBERG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29634-2025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45825</v>
      </c>
      <c r="E1084" s="1" t="n">
        <v>46265</v>
      </c>
      <c r="F1084" t="inlineStr">
        <is>
          <t>HALLANDS LÄN</t>
        </is>
      </c>
      <c r="G1084" t="inlineStr">
        <is>
          <t>VARBERG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51192-2021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44461</v>
      </c>
      <c r="E1085" s="1" t="n">
        <v>46265</v>
      </c>
      <c r="F1085" t="inlineStr">
        <is>
          <t>HALLANDS LÄN</t>
        </is>
      </c>
      <c r="G1085" t="inlineStr">
        <is>
          <t>HALMSTAD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29637-2025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45825</v>
      </c>
      <c r="E1086" s="1" t="n">
        <v>46265</v>
      </c>
      <c r="F1086" t="inlineStr">
        <is>
          <t>HALLANDS LÄN</t>
        </is>
      </c>
      <c r="G1086" t="inlineStr">
        <is>
          <t>LAHOLM</t>
        </is>
      </c>
      <c r="I1086" t="n">
        <v>4.8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3469-2024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45320</v>
      </c>
      <c r="E1087" s="1" t="n">
        <v>46265</v>
      </c>
      <c r="F1087" t="inlineStr">
        <is>
          <t>HALLANDS LÄN</t>
        </is>
      </c>
      <c r="G1087" t="inlineStr">
        <is>
          <t>LAHOLM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61621-2025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46002</v>
      </c>
      <c r="E1088" s="1" t="n">
        <v>46265</v>
      </c>
      <c r="F1088" t="inlineStr">
        <is>
          <t>HALLANDS LÄN</t>
        </is>
      </c>
      <c r="G1088" t="inlineStr">
        <is>
          <t>KUNGSBACKA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29630-2025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45825</v>
      </c>
      <c r="E1089" s="1" t="n">
        <v>46265</v>
      </c>
      <c r="F1089" t="inlineStr">
        <is>
          <t>HALLANDS LÄN</t>
        </is>
      </c>
      <c r="G1089" t="inlineStr">
        <is>
          <t>VARBERG</t>
        </is>
      </c>
      <c r="I1089" t="n">
        <v>4.8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41508-2024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45560</v>
      </c>
      <c r="E1090" s="1" t="n">
        <v>46265</v>
      </c>
      <c r="F1090" t="inlineStr">
        <is>
          <t>HALLANDS LÄN</t>
        </is>
      </c>
      <c r="G1090" t="inlineStr">
        <is>
          <t>KUNGSBACKA</t>
        </is>
      </c>
      <c r="I1090" t="n">
        <v>2.6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45892-2025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45923</v>
      </c>
      <c r="E1091" s="1" t="n">
        <v>46265</v>
      </c>
      <c r="F1091" t="inlineStr">
        <is>
          <t>HALLANDS LÄN</t>
        </is>
      </c>
      <c r="G1091" t="inlineStr">
        <is>
          <t>KUNGSBACKA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8128-2024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45351</v>
      </c>
      <c r="E1092" s="1" t="n">
        <v>46265</v>
      </c>
      <c r="F1092" t="inlineStr">
        <is>
          <t>HALLANDS LÄN</t>
        </is>
      </c>
      <c r="G1092" t="inlineStr">
        <is>
          <t>HYLTE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6218-2022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44600</v>
      </c>
      <c r="E1093" s="1" t="n">
        <v>46265</v>
      </c>
      <c r="F1093" t="inlineStr">
        <is>
          <t>HALLANDS LÄN</t>
        </is>
      </c>
      <c r="G1093" t="inlineStr">
        <is>
          <t>FALKENBERG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6260-2022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44600</v>
      </c>
      <c r="E1094" s="1" t="n">
        <v>46265</v>
      </c>
      <c r="F1094" t="inlineStr">
        <is>
          <t>HALLANDS LÄN</t>
        </is>
      </c>
      <c r="G1094" t="inlineStr">
        <is>
          <t>KUNGSBACKA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50113-2023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45215</v>
      </c>
      <c r="E1095" s="1" t="n">
        <v>46265</v>
      </c>
      <c r="F1095" t="inlineStr">
        <is>
          <t>HALLANDS LÄN</t>
        </is>
      </c>
      <c r="G1095" t="inlineStr">
        <is>
          <t>HALMSTAD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51828-2025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46265</v>
      </c>
      <c r="F1096" t="inlineStr">
        <is>
          <t>HALLANDS LÄN</t>
        </is>
      </c>
      <c r="G1096" t="inlineStr">
        <is>
          <t>FALKENBERG</t>
        </is>
      </c>
      <c r="I1096" t="n">
        <v>2.4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52074-2025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45952</v>
      </c>
      <c r="E1097" s="1" t="n">
        <v>46265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8.5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14219-2025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45740</v>
      </c>
      <c r="E1098" s="1" t="n">
        <v>46265</v>
      </c>
      <c r="F1098" t="inlineStr">
        <is>
          <t>HALLANDS LÄN</t>
        </is>
      </c>
      <c r="G1098" t="inlineStr">
        <is>
          <t>VARBERG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8262-2023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44974</v>
      </c>
      <c r="E1099" s="1" t="n">
        <v>46265</v>
      </c>
      <c r="F1099" t="inlineStr">
        <is>
          <t>HALLANDS LÄN</t>
        </is>
      </c>
      <c r="G1099" t="inlineStr">
        <is>
          <t>FALKENBERG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19502-2022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44693</v>
      </c>
      <c r="E1100" s="1" t="n">
        <v>46265</v>
      </c>
      <c r="F1100" t="inlineStr">
        <is>
          <t>HALLANDS LÄN</t>
        </is>
      </c>
      <c r="G1100" t="inlineStr">
        <is>
          <t>KUNGSBACKA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20796-2022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44701</v>
      </c>
      <c r="E1101" s="1" t="n">
        <v>46265</v>
      </c>
      <c r="F1101" t="inlineStr">
        <is>
          <t>HALLANDS LÄN</t>
        </is>
      </c>
      <c r="G1101" t="inlineStr">
        <is>
          <t>HYLTE</t>
        </is>
      </c>
      <c r="H1101" t="inlineStr">
        <is>
          <t>Bergvik skog väst AB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39099-2024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45548</v>
      </c>
      <c r="E1102" s="1" t="n">
        <v>46265</v>
      </c>
      <c r="F1102" t="inlineStr">
        <is>
          <t>HALLANDS LÄN</t>
        </is>
      </c>
      <c r="G1102" t="inlineStr">
        <is>
          <t>HYLTE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57621-2023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45246</v>
      </c>
      <c r="E1103" s="1" t="n">
        <v>46265</v>
      </c>
      <c r="F1103" t="inlineStr">
        <is>
          <t>HALLANDS LÄN</t>
        </is>
      </c>
      <c r="G1103" t="inlineStr">
        <is>
          <t>FALKENBERG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57709-2023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45246</v>
      </c>
      <c r="E1104" s="1" t="n">
        <v>46265</v>
      </c>
      <c r="F1104" t="inlineStr">
        <is>
          <t>HALLANDS LÄN</t>
        </is>
      </c>
      <c r="G1104" t="inlineStr">
        <is>
          <t>KUNGSBACKA</t>
        </is>
      </c>
      <c r="I1104" t="n">
        <v>6.6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30572-2025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45831</v>
      </c>
      <c r="E1105" s="1" t="n">
        <v>46265</v>
      </c>
      <c r="F1105" t="inlineStr">
        <is>
          <t>HALLANDS LÄN</t>
        </is>
      </c>
      <c r="G1105" t="inlineStr">
        <is>
          <t>HYLTE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30740-2025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45831</v>
      </c>
      <c r="E1106" s="1" t="n">
        <v>46265</v>
      </c>
      <c r="F1106" t="inlineStr">
        <is>
          <t>HALLANDS LÄN</t>
        </is>
      </c>
      <c r="G1106" t="inlineStr">
        <is>
          <t>HALMSTAD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60421-2023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45259</v>
      </c>
      <c r="E1107" s="1" t="n">
        <v>46265</v>
      </c>
      <c r="F1107" t="inlineStr">
        <is>
          <t>HALLANDS LÄN</t>
        </is>
      </c>
      <c r="G1107" t="inlineStr">
        <is>
          <t>HYLTE</t>
        </is>
      </c>
      <c r="I1107" t="n">
        <v>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31103-2025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45831</v>
      </c>
      <c r="E1108" s="1" t="n">
        <v>46265</v>
      </c>
      <c r="F1108" t="inlineStr">
        <is>
          <t>HALLANDS LÄN</t>
        </is>
      </c>
      <c r="G1108" t="inlineStr">
        <is>
          <t>HALMSTAD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22587-2022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44714</v>
      </c>
      <c r="E1109" s="1" t="n">
        <v>46265</v>
      </c>
      <c r="F1109" t="inlineStr">
        <is>
          <t>HALLANDS LÄN</t>
        </is>
      </c>
      <c r="G1109" t="inlineStr">
        <is>
          <t>HYLTE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31109-2025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45831</v>
      </c>
      <c r="E1110" s="1" t="n">
        <v>46265</v>
      </c>
      <c r="F1110" t="inlineStr">
        <is>
          <t>HALLANDS LÄN</t>
        </is>
      </c>
      <c r="G1110" t="inlineStr">
        <is>
          <t>HALMSTAD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31151-2025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45831</v>
      </c>
      <c r="E1111" s="1" t="n">
        <v>46265</v>
      </c>
      <c r="F1111" t="inlineStr">
        <is>
          <t>HALLANDS LÄN</t>
        </is>
      </c>
      <c r="G1111" t="inlineStr">
        <is>
          <t>HALMSTAD</t>
        </is>
      </c>
      <c r="H1111" t="inlineStr">
        <is>
          <t>Bergvik skog väst AB</t>
        </is>
      </c>
      <c r="I1111" t="n">
        <v>11.2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14042-2024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45392</v>
      </c>
      <c r="E1112" s="1" t="n">
        <v>46265</v>
      </c>
      <c r="F1112" t="inlineStr">
        <is>
          <t>HALLANDS LÄN</t>
        </is>
      </c>
      <c r="G1112" t="inlineStr">
        <is>
          <t>VARBERG</t>
        </is>
      </c>
      <c r="I1112" t="n">
        <v>5.5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44963-2024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45575</v>
      </c>
      <c r="E1113" s="1" t="n">
        <v>46265</v>
      </c>
      <c r="F1113" t="inlineStr">
        <is>
          <t>HALLANDS LÄN</t>
        </is>
      </c>
      <c r="G1113" t="inlineStr">
        <is>
          <t>FALKENBERG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46569-2024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45582</v>
      </c>
      <c r="E1114" s="1" t="n">
        <v>46265</v>
      </c>
      <c r="F1114" t="inlineStr">
        <is>
          <t>HALLANDS LÄN</t>
        </is>
      </c>
      <c r="G1114" t="inlineStr">
        <is>
          <t>LAHOLM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15426-2022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44659</v>
      </c>
      <c r="E1115" s="1" t="n">
        <v>46265</v>
      </c>
      <c r="F1115" t="inlineStr">
        <is>
          <t>HALLANDS LÄN</t>
        </is>
      </c>
      <c r="G1115" t="inlineStr">
        <is>
          <t>VARBERG</t>
        </is>
      </c>
      <c r="I1115" t="n">
        <v>3.6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61845-2025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46003</v>
      </c>
      <c r="E1116" s="1" t="n">
        <v>46265</v>
      </c>
      <c r="F1116" t="inlineStr">
        <is>
          <t>HALLANDS LÄN</t>
        </is>
      </c>
      <c r="G1116" t="inlineStr">
        <is>
          <t>VARBERG</t>
        </is>
      </c>
      <c r="I1116" t="n">
        <v>6.1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31112-2025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45831</v>
      </c>
      <c r="E1117" s="1" t="n">
        <v>46265</v>
      </c>
      <c r="F1117" t="inlineStr">
        <is>
          <t>HALLANDS LÄN</t>
        </is>
      </c>
      <c r="G1117" t="inlineStr">
        <is>
          <t>HALMSTAD</t>
        </is>
      </c>
      <c r="I1117" t="n">
        <v>9.1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8114-2023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44974</v>
      </c>
      <c r="E1118" s="1" t="n">
        <v>46265</v>
      </c>
      <c r="F1118" t="inlineStr">
        <is>
          <t>HALLANDS LÄN</t>
        </is>
      </c>
      <c r="G1118" t="inlineStr">
        <is>
          <t>HALMSTAD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31682-2025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45834</v>
      </c>
      <c r="E1119" s="1" t="n">
        <v>46265</v>
      </c>
      <c r="F1119" t="inlineStr">
        <is>
          <t>HALLANDS LÄN</t>
        </is>
      </c>
      <c r="G1119" t="inlineStr">
        <is>
          <t>FALKENBERG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41778-2024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45561</v>
      </c>
      <c r="E1120" s="1" t="n">
        <v>46265</v>
      </c>
      <c r="F1120" t="inlineStr">
        <is>
          <t>HALLANDS LÄN</t>
        </is>
      </c>
      <c r="G1120" t="inlineStr">
        <is>
          <t>HALMSTAD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31684-2025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45834</v>
      </c>
      <c r="E1121" s="1" t="n">
        <v>46265</v>
      </c>
      <c r="F1121" t="inlineStr">
        <is>
          <t>HALLANDS LÄN</t>
        </is>
      </c>
      <c r="G1121" t="inlineStr">
        <is>
          <t>FALKENBERG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48015-2024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46265</v>
      </c>
      <c r="F1122" t="inlineStr">
        <is>
          <t>HALLANDS LÄN</t>
        </is>
      </c>
      <c r="G1122" t="inlineStr">
        <is>
          <t>HALMSTAD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48065-2024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45589</v>
      </c>
      <c r="E1123" s="1" t="n">
        <v>46265</v>
      </c>
      <c r="F1123" t="inlineStr">
        <is>
          <t>HALLANDS LÄN</t>
        </is>
      </c>
      <c r="G1123" t="inlineStr">
        <is>
          <t>VARBERG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8222-2023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44974</v>
      </c>
      <c r="E1124" s="1" t="n">
        <v>46265</v>
      </c>
      <c r="F1124" t="inlineStr">
        <is>
          <t>HALLANDS LÄN</t>
        </is>
      </c>
      <c r="G1124" t="inlineStr">
        <is>
          <t>HYLTE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50523-2024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45601</v>
      </c>
      <c r="E1125" s="1" t="n">
        <v>46265</v>
      </c>
      <c r="F1125" t="inlineStr">
        <is>
          <t>HALLANDS LÄN</t>
        </is>
      </c>
      <c r="G1125" t="inlineStr">
        <is>
          <t>HYLTE</t>
        </is>
      </c>
      <c r="I1125" t="n">
        <v>8.199999999999999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62014-2025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46003</v>
      </c>
      <c r="E1126" s="1" t="n">
        <v>46265</v>
      </c>
      <c r="F1126" t="inlineStr">
        <is>
          <t>HALLANDS LÄN</t>
        </is>
      </c>
      <c r="G1126" t="inlineStr">
        <is>
          <t>FALKENBERG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61848-2025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46003</v>
      </c>
      <c r="E1127" s="1" t="n">
        <v>46265</v>
      </c>
      <c r="F1127" t="inlineStr">
        <is>
          <t>HALLANDS LÄN</t>
        </is>
      </c>
      <c r="G1127" t="inlineStr">
        <is>
          <t>VARBERG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31690-2025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45834</v>
      </c>
      <c r="E1128" s="1" t="n">
        <v>46265</v>
      </c>
      <c r="F1128" t="inlineStr">
        <is>
          <t>HALLANDS LÄN</t>
        </is>
      </c>
      <c r="G1128" t="inlineStr">
        <is>
          <t>FALKENBERG</t>
        </is>
      </c>
      <c r="I1128" t="n">
        <v>8.300000000000001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62131-2025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46006</v>
      </c>
      <c r="E1129" s="1" t="n">
        <v>46265</v>
      </c>
      <c r="F1129" t="inlineStr">
        <is>
          <t>HALLANDS LÄN</t>
        </is>
      </c>
      <c r="G1129" t="inlineStr">
        <is>
          <t>FALKENBERG</t>
        </is>
      </c>
      <c r="I1129" t="n">
        <v>4.9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46699-2025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45926</v>
      </c>
      <c r="E1130" s="1" t="n">
        <v>46265</v>
      </c>
      <c r="F1130" t="inlineStr">
        <is>
          <t>HALLANDS LÄN</t>
        </is>
      </c>
      <c r="G1130" t="inlineStr">
        <is>
          <t>HYLTE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62035-2025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46004</v>
      </c>
      <c r="E1131" s="1" t="n">
        <v>46265</v>
      </c>
      <c r="F1131" t="inlineStr">
        <is>
          <t>HALLANDS LÄN</t>
        </is>
      </c>
      <c r="G1131" t="inlineStr">
        <is>
          <t>FALKENBERG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2548-2023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44943</v>
      </c>
      <c r="E1132" s="1" t="n">
        <v>46265</v>
      </c>
      <c r="F1132" t="inlineStr">
        <is>
          <t>HALLANDS LÄN</t>
        </is>
      </c>
      <c r="G1132" t="inlineStr">
        <is>
          <t>LAHOLM</t>
        </is>
      </c>
      <c r="H1132" t="inlineStr">
        <is>
          <t>Kommuner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56706-2024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45627</v>
      </c>
      <c r="E1133" s="1" t="n">
        <v>46265</v>
      </c>
      <c r="F1133" t="inlineStr">
        <is>
          <t>HALLANDS LÄN</t>
        </is>
      </c>
      <c r="G1133" t="inlineStr">
        <is>
          <t>HALMSTAD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14753-2022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44656</v>
      </c>
      <c r="E1134" s="1" t="n">
        <v>46265</v>
      </c>
      <c r="F1134" t="inlineStr">
        <is>
          <t>HALLANDS LÄN</t>
        </is>
      </c>
      <c r="G1134" t="inlineStr">
        <is>
          <t>FALKENBERG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19749-2022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44694</v>
      </c>
      <c r="E1135" s="1" t="n">
        <v>46265</v>
      </c>
      <c r="F1135" t="inlineStr">
        <is>
          <t>HALLANDS LÄN</t>
        </is>
      </c>
      <c r="G1135" t="inlineStr">
        <is>
          <t>FALKENBERG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32623-2025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45838</v>
      </c>
      <c r="E1136" s="1" t="n">
        <v>46265</v>
      </c>
      <c r="F1136" t="inlineStr">
        <is>
          <t>HALLANDS LÄN</t>
        </is>
      </c>
      <c r="G1136" t="inlineStr">
        <is>
          <t>FALKENBERG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32628-2025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45838</v>
      </c>
      <c r="E1137" s="1" t="n">
        <v>46265</v>
      </c>
      <c r="F1137" t="inlineStr">
        <is>
          <t>HALLANDS LÄN</t>
        </is>
      </c>
      <c r="G1137" t="inlineStr">
        <is>
          <t>FALKENBERG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48679-2023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45208</v>
      </c>
      <c r="E1138" s="1" t="n">
        <v>46265</v>
      </c>
      <c r="F1138" t="inlineStr">
        <is>
          <t>HALLANDS LÄN</t>
        </is>
      </c>
      <c r="G1138" t="inlineStr">
        <is>
          <t>VARBERG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12890-2022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44642</v>
      </c>
      <c r="E1139" s="1" t="n">
        <v>46265</v>
      </c>
      <c r="F1139" t="inlineStr">
        <is>
          <t>HALLANDS LÄN</t>
        </is>
      </c>
      <c r="G1139" t="inlineStr">
        <is>
          <t>HALMSTAD</t>
        </is>
      </c>
      <c r="I1139" t="n">
        <v>3.6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32336-2025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45836</v>
      </c>
      <c r="E1140" s="1" t="n">
        <v>46265</v>
      </c>
      <c r="F1140" t="inlineStr">
        <is>
          <t>HALLANDS LÄN</t>
        </is>
      </c>
      <c r="G1140" t="inlineStr">
        <is>
          <t>FALKENBERG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62268-2025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46006</v>
      </c>
      <c r="E1141" s="1" t="n">
        <v>46265</v>
      </c>
      <c r="F1141" t="inlineStr">
        <is>
          <t>HALLANDS LÄN</t>
        </is>
      </c>
      <c r="G1141" t="inlineStr">
        <is>
          <t>HALMSTAD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62293-2025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46006</v>
      </c>
      <c r="E1142" s="1" t="n">
        <v>46265</v>
      </c>
      <c r="F1142" t="inlineStr">
        <is>
          <t>HALLANDS LÄN</t>
        </is>
      </c>
      <c r="G1142" t="inlineStr">
        <is>
          <t>LAHOLM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53331-2023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45229</v>
      </c>
      <c r="E1143" s="1" t="n">
        <v>46265</v>
      </c>
      <c r="F1143" t="inlineStr">
        <is>
          <t>HALLANDS LÄN</t>
        </is>
      </c>
      <c r="G1143" t="inlineStr">
        <is>
          <t>HYLTE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8263-2023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44974</v>
      </c>
      <c r="E1144" s="1" t="n">
        <v>46265</v>
      </c>
      <c r="F1144" t="inlineStr">
        <is>
          <t>HALLANDS LÄN</t>
        </is>
      </c>
      <c r="G1144" t="inlineStr">
        <is>
          <t>VARBERG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46692-2023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45198</v>
      </c>
      <c r="E1145" s="1" t="n">
        <v>46265</v>
      </c>
      <c r="F1145" t="inlineStr">
        <is>
          <t>HALLANDS LÄN</t>
        </is>
      </c>
      <c r="G1145" t="inlineStr">
        <is>
          <t>HYLTE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8142-2023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44974</v>
      </c>
      <c r="E1146" s="1" t="n">
        <v>46265</v>
      </c>
      <c r="F1146" t="inlineStr">
        <is>
          <t>HALLANDS LÄN</t>
        </is>
      </c>
      <c r="G1146" t="inlineStr">
        <is>
          <t>HALMSTAD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1302-2022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44572</v>
      </c>
      <c r="E1147" s="1" t="n">
        <v>46265</v>
      </c>
      <c r="F1147" t="inlineStr">
        <is>
          <t>HALLANDS LÄN</t>
        </is>
      </c>
      <c r="G1147" t="inlineStr">
        <is>
          <t>LAHOLM</t>
        </is>
      </c>
      <c r="I1147" t="n">
        <v>4.1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32257-2025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45835</v>
      </c>
      <c r="E1148" s="1" t="n">
        <v>46265</v>
      </c>
      <c r="F1148" t="inlineStr">
        <is>
          <t>HALLANDS LÄN</t>
        </is>
      </c>
      <c r="G1148" t="inlineStr">
        <is>
          <t>HYLTE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32519-2025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45838</v>
      </c>
      <c r="E1149" s="1" t="n">
        <v>46265</v>
      </c>
      <c r="F1149" t="inlineStr">
        <is>
          <t>HALLANDS LÄN</t>
        </is>
      </c>
      <c r="G1149" t="inlineStr">
        <is>
          <t>FALKENBERG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56806-2021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44481</v>
      </c>
      <c r="E1150" s="1" t="n">
        <v>46265</v>
      </c>
      <c r="F1150" t="inlineStr">
        <is>
          <t>HALLANDS LÄN</t>
        </is>
      </c>
      <c r="G1150" t="inlineStr">
        <is>
          <t>HYLTE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47587-2024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45587</v>
      </c>
      <c r="E1151" s="1" t="n">
        <v>46265</v>
      </c>
      <c r="F1151" t="inlineStr">
        <is>
          <t>HALLANDS LÄN</t>
        </is>
      </c>
      <c r="G1151" t="inlineStr">
        <is>
          <t>LAHOLM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32334-2025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45836</v>
      </c>
      <c r="E1152" s="1" t="n">
        <v>46265</v>
      </c>
      <c r="F1152" t="inlineStr">
        <is>
          <t>HALLANDS LÄN</t>
        </is>
      </c>
      <c r="G1152" t="inlineStr">
        <is>
          <t>HYLTE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32398-2025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45838</v>
      </c>
      <c r="E1153" s="1" t="n">
        <v>46265</v>
      </c>
      <c r="F1153" t="inlineStr">
        <is>
          <t>HALLANDS LÄN</t>
        </is>
      </c>
      <c r="G1153" t="inlineStr">
        <is>
          <t>FALKENBERG</t>
        </is>
      </c>
      <c r="I1153" t="n">
        <v>5.2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32307-2025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45835</v>
      </c>
      <c r="E1154" s="1" t="n">
        <v>46265</v>
      </c>
      <c r="F1154" t="inlineStr">
        <is>
          <t>HALLANDS LÄN</t>
        </is>
      </c>
      <c r="G1154" t="inlineStr">
        <is>
          <t>VARBERG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32457-2025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46265</v>
      </c>
      <c r="F1155" t="inlineStr">
        <is>
          <t>HALLANDS LÄN</t>
        </is>
      </c>
      <c r="G1155" t="inlineStr">
        <is>
          <t>HYLTE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33233-2025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45840</v>
      </c>
      <c r="E1156" s="1" t="n">
        <v>46265</v>
      </c>
      <c r="F1156" t="inlineStr">
        <is>
          <t>HALLANDS LÄN</t>
        </is>
      </c>
      <c r="G1156" t="inlineStr">
        <is>
          <t>HYLTE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33207-2025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45840</v>
      </c>
      <c r="E1157" s="1" t="n">
        <v>46265</v>
      </c>
      <c r="F1157" t="inlineStr">
        <is>
          <t>HALLANDS LÄN</t>
        </is>
      </c>
      <c r="G1157" t="inlineStr">
        <is>
          <t>HYLTE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32399-2025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45838</v>
      </c>
      <c r="E1158" s="1" t="n">
        <v>46265</v>
      </c>
      <c r="F1158" t="inlineStr">
        <is>
          <t>HALLANDS LÄN</t>
        </is>
      </c>
      <c r="G1158" t="inlineStr">
        <is>
          <t>FALKENBERG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33240-2025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45840</v>
      </c>
      <c r="E1159" s="1" t="n">
        <v>46265</v>
      </c>
      <c r="F1159" t="inlineStr">
        <is>
          <t>HALLANDS LÄN</t>
        </is>
      </c>
      <c r="G1159" t="inlineStr">
        <is>
          <t>HYLTE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8349-2022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44610</v>
      </c>
      <c r="E1160" s="1" t="n">
        <v>46265</v>
      </c>
      <c r="F1160" t="inlineStr">
        <is>
          <t>HALLANDS LÄN</t>
        </is>
      </c>
      <c r="G1160" t="inlineStr">
        <is>
          <t>FALKENBERG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47938-2024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45589</v>
      </c>
      <c r="E1161" s="1" t="n">
        <v>46265</v>
      </c>
      <c r="F1161" t="inlineStr">
        <is>
          <t>HALLANDS LÄN</t>
        </is>
      </c>
      <c r="G1161" t="inlineStr">
        <is>
          <t>LAHOLM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59494-2022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44900</v>
      </c>
      <c r="E1162" s="1" t="n">
        <v>46265</v>
      </c>
      <c r="F1162" t="inlineStr">
        <is>
          <t>HALLANDS LÄN</t>
        </is>
      </c>
      <c r="G1162" t="inlineStr">
        <is>
          <t>HYLTE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10269-2023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44986</v>
      </c>
      <c r="E1163" s="1" t="n">
        <v>46265</v>
      </c>
      <c r="F1163" t="inlineStr">
        <is>
          <t>HALLANDS LÄN</t>
        </is>
      </c>
      <c r="G1163" t="inlineStr">
        <is>
          <t>KUNGSBACKA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20543-2023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45055</v>
      </c>
      <c r="E1164" s="1" t="n">
        <v>46265</v>
      </c>
      <c r="F1164" t="inlineStr">
        <is>
          <t>HALLANDS LÄN</t>
        </is>
      </c>
      <c r="G1164" t="inlineStr">
        <is>
          <t>FALKENBERG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20546-2023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45055</v>
      </c>
      <c r="E1165" s="1" t="n">
        <v>46265</v>
      </c>
      <c r="F1165" t="inlineStr">
        <is>
          <t>HALLANDS LÄN</t>
        </is>
      </c>
      <c r="G1165" t="inlineStr">
        <is>
          <t>FALKENBERG</t>
        </is>
      </c>
      <c r="I1165" t="n">
        <v>0.1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44960-2024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45575</v>
      </c>
      <c r="E1166" s="1" t="n">
        <v>46265</v>
      </c>
      <c r="F1166" t="inlineStr">
        <is>
          <t>HALLANDS LÄN</t>
        </is>
      </c>
      <c r="G1166" t="inlineStr">
        <is>
          <t>FALKENBERG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21464-2024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45441</v>
      </c>
      <c r="E1167" s="1" t="n">
        <v>46265</v>
      </c>
      <c r="F1167" t="inlineStr">
        <is>
          <t>HALLANDS LÄN</t>
        </is>
      </c>
      <c r="G1167" t="inlineStr">
        <is>
          <t>HYLTE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62757-2022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44926</v>
      </c>
      <c r="E1168" s="1" t="n">
        <v>46265</v>
      </c>
      <c r="F1168" t="inlineStr">
        <is>
          <t>HALLANDS LÄN</t>
        </is>
      </c>
      <c r="G1168" t="inlineStr">
        <is>
          <t>HYLTE</t>
        </is>
      </c>
      <c r="H1168" t="inlineStr">
        <is>
          <t>Kyrkan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32894-2025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45839</v>
      </c>
      <c r="E1169" s="1" t="n">
        <v>46265</v>
      </c>
      <c r="F1169" t="inlineStr">
        <is>
          <t>HALLANDS LÄN</t>
        </is>
      </c>
      <c r="G1169" t="inlineStr">
        <is>
          <t>KUNGSBACKA</t>
        </is>
      </c>
      <c r="I1169" t="n">
        <v>2.7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32978-2025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45839</v>
      </c>
      <c r="E1170" s="1" t="n">
        <v>46265</v>
      </c>
      <c r="F1170" t="inlineStr">
        <is>
          <t>HALLANDS LÄN</t>
        </is>
      </c>
      <c r="G1170" t="inlineStr">
        <is>
          <t>VARBERG</t>
        </is>
      </c>
      <c r="I1170" t="n">
        <v>6.2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29958-2022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44756</v>
      </c>
      <c r="E1171" s="1" t="n">
        <v>46265</v>
      </c>
      <c r="F1171" t="inlineStr">
        <is>
          <t>HALLANDS LÄN</t>
        </is>
      </c>
      <c r="G1171" t="inlineStr">
        <is>
          <t>HYLTE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32979-2025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45839</v>
      </c>
      <c r="E1172" s="1" t="n">
        <v>46265</v>
      </c>
      <c r="F1172" t="inlineStr">
        <is>
          <t>HALLANDS LÄN</t>
        </is>
      </c>
      <c r="G1172" t="inlineStr">
        <is>
          <t>VARBERG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38444-2023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45162</v>
      </c>
      <c r="E1173" s="1" t="n">
        <v>46265</v>
      </c>
      <c r="F1173" t="inlineStr">
        <is>
          <t>HALLANDS LÄN</t>
        </is>
      </c>
      <c r="G1173" t="inlineStr">
        <is>
          <t>HYLTE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38469-2023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45162</v>
      </c>
      <c r="E1174" s="1" t="n">
        <v>46265</v>
      </c>
      <c r="F1174" t="inlineStr">
        <is>
          <t>HALLANDS LÄN</t>
        </is>
      </c>
      <c r="G1174" t="inlineStr">
        <is>
          <t>HYLTE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33688-2025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45841</v>
      </c>
      <c r="E1175" s="1" t="n">
        <v>46265</v>
      </c>
      <c r="F1175" t="inlineStr">
        <is>
          <t>HALLANDS LÄN</t>
        </is>
      </c>
      <c r="G1175" t="inlineStr">
        <is>
          <t>HALMSTAD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62472-2023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45268</v>
      </c>
      <c r="E1176" s="1" t="n">
        <v>46265</v>
      </c>
      <c r="F1176" t="inlineStr">
        <is>
          <t>HALLANDS LÄN</t>
        </is>
      </c>
      <c r="G1176" t="inlineStr">
        <is>
          <t>HYLTE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63097-2023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45273</v>
      </c>
      <c r="E1177" s="1" t="n">
        <v>46265</v>
      </c>
      <c r="F1177" t="inlineStr">
        <is>
          <t>HALLANDS LÄN</t>
        </is>
      </c>
      <c r="G1177" t="inlineStr">
        <is>
          <t>FALKENBERG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10229-2023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44980</v>
      </c>
      <c r="E1178" s="1" t="n">
        <v>46265</v>
      </c>
      <c r="F1178" t="inlineStr">
        <is>
          <t>HALLANDS LÄN</t>
        </is>
      </c>
      <c r="G1178" t="inlineStr">
        <is>
          <t>VARBERG</t>
        </is>
      </c>
      <c r="H1178" t="inlineStr">
        <is>
          <t>Övriga statliga verk och myndigheter</t>
        </is>
      </c>
      <c r="I1178" t="n">
        <v>0.2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58817-2022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44903</v>
      </c>
      <c r="E1179" s="1" t="n">
        <v>46265</v>
      </c>
      <c r="F1179" t="inlineStr">
        <is>
          <t>HALLANDS LÄN</t>
        </is>
      </c>
      <c r="G1179" t="inlineStr">
        <is>
          <t>HYLTE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12001-2024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45377</v>
      </c>
      <c r="E1180" s="1" t="n">
        <v>46265</v>
      </c>
      <c r="F1180" t="inlineStr">
        <is>
          <t>HALLANDS LÄN</t>
        </is>
      </c>
      <c r="G1180" t="inlineStr">
        <is>
          <t>LAHOLM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33798-2025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45842</v>
      </c>
      <c r="E1181" s="1" t="n">
        <v>46265</v>
      </c>
      <c r="F1181" t="inlineStr">
        <is>
          <t>HALLANDS LÄN</t>
        </is>
      </c>
      <c r="G1181" t="inlineStr">
        <is>
          <t>LAHOLM</t>
        </is>
      </c>
      <c r="I1181" t="n">
        <v>5.1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13713-2023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45007</v>
      </c>
      <c r="E1182" s="1" t="n">
        <v>46265</v>
      </c>
      <c r="F1182" t="inlineStr">
        <is>
          <t>HALLANDS LÄN</t>
        </is>
      </c>
      <c r="G1182" t="inlineStr">
        <is>
          <t>VARBERG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25698-2023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45090</v>
      </c>
      <c r="E1183" s="1" t="n">
        <v>46265</v>
      </c>
      <c r="F1183" t="inlineStr">
        <is>
          <t>HALLANDS LÄN</t>
        </is>
      </c>
      <c r="G1183" t="inlineStr">
        <is>
          <t>HALMSTAD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33802-2025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45842</v>
      </c>
      <c r="E1184" s="1" t="n">
        <v>46265</v>
      </c>
      <c r="F1184" t="inlineStr">
        <is>
          <t>HALLANDS LÄN</t>
        </is>
      </c>
      <c r="G1184" t="inlineStr">
        <is>
          <t>LAHOLM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33686-2025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45841</v>
      </c>
      <c r="E1185" s="1" t="n">
        <v>46265</v>
      </c>
      <c r="F1185" t="inlineStr">
        <is>
          <t>HALLANDS LÄN</t>
        </is>
      </c>
      <c r="G1185" t="inlineStr">
        <is>
          <t>HALMSTAD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7639-2022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44607</v>
      </c>
      <c r="E1186" s="1" t="n">
        <v>46265</v>
      </c>
      <c r="F1186" t="inlineStr">
        <is>
          <t>HALLANDS LÄN</t>
        </is>
      </c>
      <c r="G1186" t="inlineStr">
        <is>
          <t>HALMSTAD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34086-2025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45845</v>
      </c>
      <c r="E1187" s="1" t="n">
        <v>46265</v>
      </c>
      <c r="F1187" t="inlineStr">
        <is>
          <t>HALLANDS LÄN</t>
        </is>
      </c>
      <c r="G1187" t="inlineStr">
        <is>
          <t>KUNGSBACKA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25592-2023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45089</v>
      </c>
      <c r="E1188" s="1" t="n">
        <v>46265</v>
      </c>
      <c r="F1188" t="inlineStr">
        <is>
          <t>HALLANDS LÄN</t>
        </is>
      </c>
      <c r="G1188" t="inlineStr">
        <is>
          <t>LAHOLM</t>
        </is>
      </c>
      <c r="H1188" t="inlineStr">
        <is>
          <t>Sveaskog</t>
        </is>
      </c>
      <c r="I1188" t="n">
        <v>1.2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45299</v>
      </c>
      <c r="E1189" s="1" t="n">
        <v>46265</v>
      </c>
      <c r="F1189" t="inlineStr">
        <is>
          <t>HALLANDS LÄN</t>
        </is>
      </c>
      <c r="G1189" t="inlineStr">
        <is>
          <t>LAHOLM</t>
        </is>
      </c>
      <c r="I1189" t="n">
        <v>6.8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19837-2025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45771</v>
      </c>
      <c r="E1190" s="1" t="n">
        <v>46265</v>
      </c>
      <c r="F1190" t="inlineStr">
        <is>
          <t>HALLANDS LÄN</t>
        </is>
      </c>
      <c r="G1190" t="inlineStr">
        <is>
          <t>VARBERG</t>
        </is>
      </c>
      <c r="I1190" t="n">
        <v>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34360-2025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45846</v>
      </c>
      <c r="E1191" s="1" t="n">
        <v>46265</v>
      </c>
      <c r="F1191" t="inlineStr">
        <is>
          <t>HALLANDS LÄN</t>
        </is>
      </c>
      <c r="G1191" t="inlineStr">
        <is>
          <t>KUNGSBACKA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33997-2025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45843</v>
      </c>
      <c r="E1192" s="1" t="n">
        <v>46265</v>
      </c>
      <c r="F1192" t="inlineStr">
        <is>
          <t>HALLANDS LÄN</t>
        </is>
      </c>
      <c r="G1192" t="inlineStr">
        <is>
          <t>LAHOLM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34272-2025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45845</v>
      </c>
      <c r="E1193" s="1" t="n">
        <v>46265</v>
      </c>
      <c r="F1193" t="inlineStr">
        <is>
          <t>HALLANDS LÄN</t>
        </is>
      </c>
      <c r="G1193" t="inlineStr">
        <is>
          <t>HYLTE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12315-2023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44999</v>
      </c>
      <c r="E1194" s="1" t="n">
        <v>46265</v>
      </c>
      <c r="F1194" t="inlineStr">
        <is>
          <t>HALLANDS LÄN</t>
        </is>
      </c>
      <c r="G1194" t="inlineStr">
        <is>
          <t>HYLTE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34271-2025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45845</v>
      </c>
      <c r="E1195" s="1" t="n">
        <v>46265</v>
      </c>
      <c r="F1195" t="inlineStr">
        <is>
          <t>HALLANDS LÄN</t>
        </is>
      </c>
      <c r="G1195" t="inlineStr">
        <is>
          <t>HYLTE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13504-2023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45006</v>
      </c>
      <c r="E1196" s="1" t="n">
        <v>46265</v>
      </c>
      <c r="F1196" t="inlineStr">
        <is>
          <t>HALLANDS LÄN</t>
        </is>
      </c>
      <c r="G1196" t="inlineStr">
        <is>
          <t>LAHOLM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13505-2023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45006</v>
      </c>
      <c r="E1197" s="1" t="n">
        <v>46265</v>
      </c>
      <c r="F1197" t="inlineStr">
        <is>
          <t>HALLANDS LÄN</t>
        </is>
      </c>
      <c r="G1197" t="inlineStr">
        <is>
          <t>LAHOLM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13594-2023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45006</v>
      </c>
      <c r="E1198" s="1" t="n">
        <v>46265</v>
      </c>
      <c r="F1198" t="inlineStr">
        <is>
          <t>HALLANDS LÄN</t>
        </is>
      </c>
      <c r="G1198" t="inlineStr">
        <is>
          <t>HALMSTAD</t>
        </is>
      </c>
      <c r="H1198" t="inlineStr">
        <is>
          <t>Bergvik skog väst AB</t>
        </is>
      </c>
      <c r="I1198" t="n">
        <v>8.6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25167-2025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45800</v>
      </c>
      <c r="E1199" s="1" t="n">
        <v>46265</v>
      </c>
      <c r="F1199" t="inlineStr">
        <is>
          <t>HALLANDS LÄN</t>
        </is>
      </c>
      <c r="G1199" t="inlineStr">
        <is>
          <t>HYLTE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34407-2025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45846</v>
      </c>
      <c r="E1200" s="1" t="n">
        <v>46265</v>
      </c>
      <c r="F1200" t="inlineStr">
        <is>
          <t>HALLANDS LÄN</t>
        </is>
      </c>
      <c r="G1200" t="inlineStr">
        <is>
          <t>KUNGSBACKA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34364-2025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45846</v>
      </c>
      <c r="E1201" s="1" t="n">
        <v>46265</v>
      </c>
      <c r="F1201" t="inlineStr">
        <is>
          <t>HALLANDS LÄN</t>
        </is>
      </c>
      <c r="G1201" t="inlineStr">
        <is>
          <t>HALMSTAD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14500-2025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45741</v>
      </c>
      <c r="E1202" s="1" t="n">
        <v>46265</v>
      </c>
      <c r="F1202" t="inlineStr">
        <is>
          <t>HALLANDS LÄN</t>
        </is>
      </c>
      <c r="G1202" t="inlineStr">
        <is>
          <t>FALKENBERG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9807-2023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44984</v>
      </c>
      <c r="E1203" s="1" t="n">
        <v>46265</v>
      </c>
      <c r="F1203" t="inlineStr">
        <is>
          <t>HALLANDS LÄN</t>
        </is>
      </c>
      <c r="G1203" t="inlineStr">
        <is>
          <t>FALKENBERG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27365-2022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44742</v>
      </c>
      <c r="E1204" s="1" t="n">
        <v>46265</v>
      </c>
      <c r="F1204" t="inlineStr">
        <is>
          <t>HALLANDS LÄN</t>
        </is>
      </c>
      <c r="G1204" t="inlineStr">
        <is>
          <t>HALMSTAD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34246-2025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45845</v>
      </c>
      <c r="E1205" s="1" t="n">
        <v>46265</v>
      </c>
      <c r="F1205" t="inlineStr">
        <is>
          <t>HALLANDS LÄN</t>
        </is>
      </c>
      <c r="G1205" t="inlineStr">
        <is>
          <t>FALKENBERG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19595-2025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45770</v>
      </c>
      <c r="E1206" s="1" t="n">
        <v>46265</v>
      </c>
      <c r="F1206" t="inlineStr">
        <is>
          <t>HALLANDS LÄN</t>
        </is>
      </c>
      <c r="G1206" t="inlineStr">
        <is>
          <t>VARBERG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34555-2025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45846</v>
      </c>
      <c r="E1207" s="1" t="n">
        <v>46265</v>
      </c>
      <c r="F1207" t="inlineStr">
        <is>
          <t>HALLANDS LÄN</t>
        </is>
      </c>
      <c r="G1207" t="inlineStr">
        <is>
          <t>HYLTE</t>
        </is>
      </c>
      <c r="H1207" t="inlineStr">
        <is>
          <t>Kyrkan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34550-2025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45846</v>
      </c>
      <c r="E1208" s="1" t="n">
        <v>46265</v>
      </c>
      <c r="F1208" t="inlineStr">
        <is>
          <t>HALLANDS LÄN</t>
        </is>
      </c>
      <c r="G1208" t="inlineStr">
        <is>
          <t>HYLTE</t>
        </is>
      </c>
      <c r="H1208" t="inlineStr">
        <is>
          <t>Kyrkan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34561-2025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45846</v>
      </c>
      <c r="E1209" s="1" t="n">
        <v>46265</v>
      </c>
      <c r="F1209" t="inlineStr">
        <is>
          <t>HALLANDS LÄN</t>
        </is>
      </c>
      <c r="G1209" t="inlineStr">
        <is>
          <t>HYLTE</t>
        </is>
      </c>
      <c r="H1209" t="inlineStr">
        <is>
          <t>Kyrkan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40652-2023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45168</v>
      </c>
      <c r="E1210" s="1" t="n">
        <v>46265</v>
      </c>
      <c r="F1210" t="inlineStr">
        <is>
          <t>HALLANDS LÄN</t>
        </is>
      </c>
      <c r="G1210" t="inlineStr">
        <is>
          <t>HALMSTAD</t>
        </is>
      </c>
      <c r="H1210" t="inlineStr">
        <is>
          <t>Kommuner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34782-2025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45848</v>
      </c>
      <c r="E1211" s="1" t="n">
        <v>46265</v>
      </c>
      <c r="F1211" t="inlineStr">
        <is>
          <t>HALLANDS LÄN</t>
        </is>
      </c>
      <c r="G1211" t="inlineStr">
        <is>
          <t>KUNGSBACKA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34453-2025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45847</v>
      </c>
      <c r="E1212" s="1" t="n">
        <v>46265</v>
      </c>
      <c r="F1212" t="inlineStr">
        <is>
          <t>HALLANDS LÄN</t>
        </is>
      </c>
      <c r="G1212" t="inlineStr">
        <is>
          <t>HYLTE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46782-2024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45583</v>
      </c>
      <c r="E1213" s="1" t="n">
        <v>46265</v>
      </c>
      <c r="F1213" t="inlineStr">
        <is>
          <t>HALLANDS LÄN</t>
        </is>
      </c>
      <c r="G1213" t="inlineStr">
        <is>
          <t>VARBERG</t>
        </is>
      </c>
      <c r="I1213" t="n">
        <v>10.9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23785-2025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45793</v>
      </c>
      <c r="E1214" s="1" t="n">
        <v>46265</v>
      </c>
      <c r="F1214" t="inlineStr">
        <is>
          <t>HALLANDS LÄN</t>
        </is>
      </c>
      <c r="G1214" t="inlineStr">
        <is>
          <t>HALMSTAD</t>
        </is>
      </c>
      <c r="I1214" t="n">
        <v>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34454-2025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45847</v>
      </c>
      <c r="E1215" s="1" t="n">
        <v>46265</v>
      </c>
      <c r="F1215" t="inlineStr">
        <is>
          <t>HALLANDS LÄN</t>
        </is>
      </c>
      <c r="G1215" t="inlineStr">
        <is>
          <t>HYLTE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30996-2023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45113</v>
      </c>
      <c r="E1216" s="1" t="n">
        <v>46265</v>
      </c>
      <c r="F1216" t="inlineStr">
        <is>
          <t>HALLANDS LÄN</t>
        </is>
      </c>
      <c r="G1216" t="inlineStr">
        <is>
          <t>KUNGSBACKA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8211-2025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45708</v>
      </c>
      <c r="E1217" s="1" t="n">
        <v>46265</v>
      </c>
      <c r="F1217" t="inlineStr">
        <is>
          <t>HALLANDS LÄN</t>
        </is>
      </c>
      <c r="G1217" t="inlineStr">
        <is>
          <t>HALMSTAD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42205-2024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45562</v>
      </c>
      <c r="E1218" s="1" t="n">
        <v>46265</v>
      </c>
      <c r="F1218" t="inlineStr">
        <is>
          <t>HALLANDS LÄN</t>
        </is>
      </c>
      <c r="G1218" t="inlineStr">
        <is>
          <t>HALMSTAD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34867-2025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45849</v>
      </c>
      <c r="E1219" s="1" t="n">
        <v>46265</v>
      </c>
      <c r="F1219" t="inlineStr">
        <is>
          <t>HALLANDS LÄN</t>
        </is>
      </c>
      <c r="G1219" t="inlineStr">
        <is>
          <t>LAHOLM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34800-2025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45848</v>
      </c>
      <c r="E1220" s="1" t="n">
        <v>46265</v>
      </c>
      <c r="F1220" t="inlineStr">
        <is>
          <t>HALLANDS LÄN</t>
        </is>
      </c>
      <c r="G1220" t="inlineStr">
        <is>
          <t>FALKENBERG</t>
        </is>
      </c>
      <c r="I1220" t="n">
        <v>2.4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25560-2025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45803</v>
      </c>
      <c r="E1221" s="1" t="n">
        <v>46265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57135-2022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44895</v>
      </c>
      <c r="E1222" s="1" t="n">
        <v>46265</v>
      </c>
      <c r="F1222" t="inlineStr">
        <is>
          <t>HALLANDS LÄN</t>
        </is>
      </c>
      <c r="G1222" t="inlineStr">
        <is>
          <t>LAHOLM</t>
        </is>
      </c>
      <c r="I1222" t="n">
        <v>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34817-2025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45849</v>
      </c>
      <c r="E1223" s="1" t="n">
        <v>46265</v>
      </c>
      <c r="F1223" t="inlineStr">
        <is>
          <t>HALLANDS LÄN</t>
        </is>
      </c>
      <c r="G1223" t="inlineStr">
        <is>
          <t>LAHOLM</t>
        </is>
      </c>
      <c r="I1223" t="n">
        <v>8.699999999999999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50319-2024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45600</v>
      </c>
      <c r="E1224" s="1" t="n">
        <v>46265</v>
      </c>
      <c r="F1224" t="inlineStr">
        <is>
          <t>HALLANDS LÄN</t>
        </is>
      </c>
      <c r="G1224" t="inlineStr">
        <is>
          <t>HALMSTAD</t>
        </is>
      </c>
      <c r="I1224" t="n">
        <v>7.1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47904-2024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45589</v>
      </c>
      <c r="E1225" s="1" t="n">
        <v>46265</v>
      </c>
      <c r="F1225" t="inlineStr">
        <is>
          <t>HALLANDS LÄN</t>
        </is>
      </c>
      <c r="G1225" t="inlineStr">
        <is>
          <t>HALMSTAD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35126-2025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45852</v>
      </c>
      <c r="E1226" s="1" t="n">
        <v>46265</v>
      </c>
      <c r="F1226" t="inlineStr">
        <is>
          <t>HALLANDS LÄN</t>
        </is>
      </c>
      <c r="G1226" t="inlineStr">
        <is>
          <t>VARBERG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34949-2025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45849</v>
      </c>
      <c r="E1227" s="1" t="n">
        <v>46265</v>
      </c>
      <c r="F1227" t="inlineStr">
        <is>
          <t>HALLANDS LÄN</t>
        </is>
      </c>
      <c r="G1227" t="inlineStr">
        <is>
          <t>VARBERG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8676-2025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45712</v>
      </c>
      <c r="E1228" s="1" t="n">
        <v>46265</v>
      </c>
      <c r="F1228" t="inlineStr">
        <is>
          <t>HALLANDS LÄN</t>
        </is>
      </c>
      <c r="G1228" t="inlineStr">
        <is>
          <t>HALMSTAD</t>
        </is>
      </c>
      <c r="I1228" t="n">
        <v>9.300000000000001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3764-2025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45681</v>
      </c>
      <c r="E1229" s="1" t="n">
        <v>46265</v>
      </c>
      <c r="F1229" t="inlineStr">
        <is>
          <t>HALLANDS LÄN</t>
        </is>
      </c>
      <c r="G1229" t="inlineStr">
        <is>
          <t>HALMSTAD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35116-2025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45852</v>
      </c>
      <c r="E1230" s="1" t="n">
        <v>46265</v>
      </c>
      <c r="F1230" t="inlineStr">
        <is>
          <t>HALLANDS LÄN</t>
        </is>
      </c>
      <c r="G1230" t="inlineStr">
        <is>
          <t>VARBERG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14538-2025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45741</v>
      </c>
      <c r="E1231" s="1" t="n">
        <v>46265</v>
      </c>
      <c r="F1231" t="inlineStr">
        <is>
          <t>HALLANDS LÄN</t>
        </is>
      </c>
      <c r="G1231" t="inlineStr">
        <is>
          <t>VARBERG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34844-2025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45849</v>
      </c>
      <c r="E1232" s="1" t="n">
        <v>46265</v>
      </c>
      <c r="F1232" t="inlineStr">
        <is>
          <t>HALLANDS LÄN</t>
        </is>
      </c>
      <c r="G1232" t="inlineStr">
        <is>
          <t>LAHOLM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34975-2025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45849</v>
      </c>
      <c r="E1233" s="1" t="n">
        <v>46265</v>
      </c>
      <c r="F1233" t="inlineStr">
        <is>
          <t>HALLANDS LÄN</t>
        </is>
      </c>
      <c r="G1233" t="inlineStr">
        <is>
          <t>KUNGSBACKA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63608-2023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45275</v>
      </c>
      <c r="E1234" s="1" t="n">
        <v>46265</v>
      </c>
      <c r="F1234" t="inlineStr">
        <is>
          <t>HALLANDS LÄN</t>
        </is>
      </c>
      <c r="G1234" t="inlineStr">
        <is>
          <t>HALMSTAD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61889-2023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45266</v>
      </c>
      <c r="E1235" s="1" t="n">
        <v>46265</v>
      </c>
      <c r="F1235" t="inlineStr">
        <is>
          <t>HALLANDS LÄN</t>
        </is>
      </c>
      <c r="G1235" t="inlineStr">
        <is>
          <t>FALKENBERG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35124-2025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45852</v>
      </c>
      <c r="E1236" s="1" t="n">
        <v>46265</v>
      </c>
      <c r="F1236" t="inlineStr">
        <is>
          <t>HALLANDS LÄN</t>
        </is>
      </c>
      <c r="G1236" t="inlineStr">
        <is>
          <t>VARBERG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13430-2025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45736</v>
      </c>
      <c r="E1237" s="1" t="n">
        <v>46265</v>
      </c>
      <c r="F1237" t="inlineStr">
        <is>
          <t>HALLANDS LÄN</t>
        </is>
      </c>
      <c r="G1237" t="inlineStr">
        <is>
          <t>VARBERG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64922-2023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45282</v>
      </c>
      <c r="E1238" s="1" t="n">
        <v>46265</v>
      </c>
      <c r="F1238" t="inlineStr">
        <is>
          <t>HALLANDS LÄN</t>
        </is>
      </c>
      <c r="G1238" t="inlineStr">
        <is>
          <t>LAHOLM</t>
        </is>
      </c>
      <c r="H1238" t="inlineStr">
        <is>
          <t>Övriga Aktiebolag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15640-2023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45020</v>
      </c>
      <c r="E1239" s="1" t="n">
        <v>46265</v>
      </c>
      <c r="F1239" t="inlineStr">
        <is>
          <t>HALLANDS LÄN</t>
        </is>
      </c>
      <c r="G1239" t="inlineStr">
        <is>
          <t>LAHOLM</t>
        </is>
      </c>
      <c r="I1239" t="n">
        <v>2.9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6978-2023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44967</v>
      </c>
      <c r="E1240" s="1" t="n">
        <v>46265</v>
      </c>
      <c r="F1240" t="inlineStr">
        <is>
          <t>HALLANDS LÄN</t>
        </is>
      </c>
      <c r="G1240" t="inlineStr">
        <is>
          <t>KUNGSBACKA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35362-2025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45854</v>
      </c>
      <c r="E1241" s="1" t="n">
        <v>46265</v>
      </c>
      <c r="F1241" t="inlineStr">
        <is>
          <t>HALLANDS LÄN</t>
        </is>
      </c>
      <c r="G1241" t="inlineStr">
        <is>
          <t>HALMSTAD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42562-2022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44831</v>
      </c>
      <c r="E1242" s="1" t="n">
        <v>46265</v>
      </c>
      <c r="F1242" t="inlineStr">
        <is>
          <t>HALLANDS LÄN</t>
        </is>
      </c>
      <c r="G1242" t="inlineStr">
        <is>
          <t>LAHOLM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60831-2023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45260</v>
      </c>
      <c r="E1243" s="1" t="n">
        <v>46265</v>
      </c>
      <c r="F1243" t="inlineStr">
        <is>
          <t>HALLANDS LÄN</t>
        </is>
      </c>
      <c r="G1243" t="inlineStr">
        <is>
          <t>HALMSTAD</t>
        </is>
      </c>
      <c r="I1243" t="n">
        <v>5.2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35515-2025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45856</v>
      </c>
      <c r="E1244" s="1" t="n">
        <v>46265</v>
      </c>
      <c r="F1244" t="inlineStr">
        <is>
          <t>HALLANDS LÄN</t>
        </is>
      </c>
      <c r="G1244" t="inlineStr">
        <is>
          <t>HALMSTAD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46063-2024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45581</v>
      </c>
      <c r="E1245" s="1" t="n">
        <v>46265</v>
      </c>
      <c r="F1245" t="inlineStr">
        <is>
          <t>HALLANDS LÄN</t>
        </is>
      </c>
      <c r="G1245" t="inlineStr">
        <is>
          <t>FALKENBERG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35399-2025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45855</v>
      </c>
      <c r="E1246" s="1" t="n">
        <v>46265</v>
      </c>
      <c r="F1246" t="inlineStr">
        <is>
          <t>HALLANDS LÄN</t>
        </is>
      </c>
      <c r="G1246" t="inlineStr">
        <is>
          <t>KUNGSBACKA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14052-2023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45008</v>
      </c>
      <c r="E1247" s="1" t="n">
        <v>46265</v>
      </c>
      <c r="F1247" t="inlineStr">
        <is>
          <t>HALLANDS LÄN</t>
        </is>
      </c>
      <c r="G1247" t="inlineStr">
        <is>
          <t>KUNGSBACKA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9352-2025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45714</v>
      </c>
      <c r="E1248" s="1" t="n">
        <v>46265</v>
      </c>
      <c r="F1248" t="inlineStr">
        <is>
          <t>HALLANDS LÄN</t>
        </is>
      </c>
      <c r="G1248" t="inlineStr">
        <is>
          <t>FALKENBERG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13085-2025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45734</v>
      </c>
      <c r="E1249" s="1" t="n">
        <v>46265</v>
      </c>
      <c r="F1249" t="inlineStr">
        <is>
          <t>HALLANDS LÄN</t>
        </is>
      </c>
      <c r="G1249" t="inlineStr">
        <is>
          <t>LAHOLM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16198-2025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45750</v>
      </c>
      <c r="E1250" s="1" t="n">
        <v>46265</v>
      </c>
      <c r="F1250" t="inlineStr">
        <is>
          <t>HALLANDS LÄN</t>
        </is>
      </c>
      <c r="G1250" t="inlineStr">
        <is>
          <t>HALMSTAD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16194-2025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45750</v>
      </c>
      <c r="E1251" s="1" t="n">
        <v>46265</v>
      </c>
      <c r="F1251" t="inlineStr">
        <is>
          <t>HALLANDS LÄN</t>
        </is>
      </c>
      <c r="G1251" t="inlineStr">
        <is>
          <t>FALKENBERG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14521-2025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45741</v>
      </c>
      <c r="E1252" s="1" t="n">
        <v>46265</v>
      </c>
      <c r="F1252" t="inlineStr">
        <is>
          <t>HALLANDS LÄN</t>
        </is>
      </c>
      <c r="G1252" t="inlineStr">
        <is>
          <t>HALMSTAD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59627-2023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45254</v>
      </c>
      <c r="E1253" s="1" t="n">
        <v>46265</v>
      </c>
      <c r="F1253" t="inlineStr">
        <is>
          <t>HALLANDS LÄN</t>
        </is>
      </c>
      <c r="G1253" t="inlineStr">
        <is>
          <t>HYLTE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6486-2023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44966</v>
      </c>
      <c r="E1254" s="1" t="n">
        <v>46265</v>
      </c>
      <c r="F1254" t="inlineStr">
        <is>
          <t>HALLANDS LÄN</t>
        </is>
      </c>
      <c r="G1254" t="inlineStr">
        <is>
          <t>VARBERG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24585-2024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45460</v>
      </c>
      <c r="E1255" s="1" t="n">
        <v>46265</v>
      </c>
      <c r="F1255" t="inlineStr">
        <is>
          <t>HALLANDS LÄN</t>
        </is>
      </c>
      <c r="G1255" t="inlineStr">
        <is>
          <t>HYLTE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45626-2024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45579</v>
      </c>
      <c r="E1256" s="1" t="n">
        <v>46265</v>
      </c>
      <c r="F1256" t="inlineStr">
        <is>
          <t>HALLANDS LÄN</t>
        </is>
      </c>
      <c r="G1256" t="inlineStr">
        <is>
          <t>VARBERG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6272-2023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44965</v>
      </c>
      <c r="E1257" s="1" t="n">
        <v>46265</v>
      </c>
      <c r="F1257" t="inlineStr">
        <is>
          <t>HALLANDS LÄN</t>
        </is>
      </c>
      <c r="G1257" t="inlineStr">
        <is>
          <t>HYLTE</t>
        </is>
      </c>
      <c r="H1257" t="inlineStr">
        <is>
          <t>Bergvik skog väst AB</t>
        </is>
      </c>
      <c r="I1257" t="n">
        <v>6.6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35801-2025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45861</v>
      </c>
      <c r="E1258" s="1" t="n">
        <v>46265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35898-2025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45862</v>
      </c>
      <c r="E1259" s="1" t="n">
        <v>46265</v>
      </c>
      <c r="F1259" t="inlineStr">
        <is>
          <t>HALLANDS LÄN</t>
        </is>
      </c>
      <c r="G1259" t="inlineStr">
        <is>
          <t>KUNGSBACKA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18179-2025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45761</v>
      </c>
      <c r="E1260" s="1" t="n">
        <v>46265</v>
      </c>
      <c r="F1260" t="inlineStr">
        <is>
          <t>HALLANDS LÄN</t>
        </is>
      </c>
      <c r="G1260" t="inlineStr">
        <is>
          <t>KUNGSBACKA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25129-2025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45800</v>
      </c>
      <c r="E1261" s="1" t="n">
        <v>46265</v>
      </c>
      <c r="F1261" t="inlineStr">
        <is>
          <t>HALLANDS LÄN</t>
        </is>
      </c>
      <c r="G1261" t="inlineStr">
        <is>
          <t>FALKENBERG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30599-2024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45493</v>
      </c>
      <c r="E1262" s="1" t="n">
        <v>46265</v>
      </c>
      <c r="F1262" t="inlineStr">
        <is>
          <t>HALLANDS LÄN</t>
        </is>
      </c>
      <c r="G1262" t="inlineStr">
        <is>
          <t>HALMSTAD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6596-2025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45700</v>
      </c>
      <c r="E1263" s="1" t="n">
        <v>46265</v>
      </c>
      <c r="F1263" t="inlineStr">
        <is>
          <t>HALLANDS LÄN</t>
        </is>
      </c>
      <c r="G1263" t="inlineStr">
        <is>
          <t>HYLTE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6593-2025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45700</v>
      </c>
      <c r="E1264" s="1" t="n">
        <v>46265</v>
      </c>
      <c r="F1264" t="inlineStr">
        <is>
          <t>HALLANDS LÄN</t>
        </is>
      </c>
      <c r="G1264" t="inlineStr">
        <is>
          <t>HYLTE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4596-2025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45687</v>
      </c>
      <c r="E1265" s="1" t="n">
        <v>46265</v>
      </c>
      <c r="F1265" t="inlineStr">
        <is>
          <t>HALLANDS LÄN</t>
        </is>
      </c>
      <c r="G1265" t="inlineStr">
        <is>
          <t>HYLTE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25478-2025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45802</v>
      </c>
      <c r="E1266" s="1" t="n">
        <v>46265</v>
      </c>
      <c r="F1266" t="inlineStr">
        <is>
          <t>HALLANDS LÄN</t>
        </is>
      </c>
      <c r="G1266" t="inlineStr">
        <is>
          <t>LAHOLM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20902-2025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45777</v>
      </c>
      <c r="E1267" s="1" t="n">
        <v>46265</v>
      </c>
      <c r="F1267" t="inlineStr">
        <is>
          <t>HALLANDS LÄN</t>
        </is>
      </c>
      <c r="G1267" t="inlineStr">
        <is>
          <t>FALKENBERG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32444-2025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45838</v>
      </c>
      <c r="E1268" s="1" t="n">
        <v>46265</v>
      </c>
      <c r="F1268" t="inlineStr">
        <is>
          <t>HALLANDS LÄN</t>
        </is>
      </c>
      <c r="G1268" t="inlineStr">
        <is>
          <t>HYLTE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65081-2021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44515</v>
      </c>
      <c r="E1269" s="1" t="n">
        <v>46265</v>
      </c>
      <c r="F1269" t="inlineStr">
        <is>
          <t>HALLANDS LÄN</t>
        </is>
      </c>
      <c r="G1269" t="inlineStr">
        <is>
          <t>FALKENBERG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66747-2021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44521</v>
      </c>
      <c r="E1270" s="1" t="n">
        <v>46265</v>
      </c>
      <c r="F1270" t="inlineStr">
        <is>
          <t>HALLANDS LÄN</t>
        </is>
      </c>
      <c r="G1270" t="inlineStr">
        <is>
          <t>FALKENBERG</t>
        </is>
      </c>
      <c r="I1270" t="n">
        <v>10.7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6119-2023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44964</v>
      </c>
      <c r="E1271" s="1" t="n">
        <v>46265</v>
      </c>
      <c r="F1271" t="inlineStr">
        <is>
          <t>HALLANDS LÄN</t>
        </is>
      </c>
      <c r="G1271" t="inlineStr">
        <is>
          <t>LAHOLM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58557-2022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44902</v>
      </c>
      <c r="E1272" s="1" t="n">
        <v>46265</v>
      </c>
      <c r="F1272" t="inlineStr">
        <is>
          <t>HALLANDS LÄN</t>
        </is>
      </c>
      <c r="G1272" t="inlineStr">
        <is>
          <t>LAHOLM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3437-2023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44949</v>
      </c>
      <c r="E1273" s="1" t="n">
        <v>46265</v>
      </c>
      <c r="F1273" t="inlineStr">
        <is>
          <t>HALLANDS LÄN</t>
        </is>
      </c>
      <c r="G1273" t="inlineStr">
        <is>
          <t>VARBERG</t>
        </is>
      </c>
      <c r="I1273" t="n">
        <v>6.5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3821-2023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44951</v>
      </c>
      <c r="E1274" s="1" t="n">
        <v>46265</v>
      </c>
      <c r="F1274" t="inlineStr">
        <is>
          <t>HALLANDS LÄN</t>
        </is>
      </c>
      <c r="G1274" t="inlineStr">
        <is>
          <t>LAHOLM</t>
        </is>
      </c>
      <c r="I1274" t="n">
        <v>4.1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61775-2022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44917</v>
      </c>
      <c r="E1275" s="1" t="n">
        <v>46265</v>
      </c>
      <c r="F1275" t="inlineStr">
        <is>
          <t>HALLANDS LÄN</t>
        </is>
      </c>
      <c r="G1275" t="inlineStr">
        <is>
          <t>HALMSTAD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61783-2022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44917</v>
      </c>
      <c r="E1276" s="1" t="n">
        <v>46265</v>
      </c>
      <c r="F1276" t="inlineStr">
        <is>
          <t>HALLANDS LÄN</t>
        </is>
      </c>
      <c r="G1276" t="inlineStr">
        <is>
          <t>HALMSTAD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28069-2023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45099</v>
      </c>
      <c r="E1277" s="1" t="n">
        <v>46265</v>
      </c>
      <c r="F1277" t="inlineStr">
        <is>
          <t>HALLANDS LÄN</t>
        </is>
      </c>
      <c r="G1277" t="inlineStr">
        <is>
          <t>HALMSTAD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18321-2024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45422</v>
      </c>
      <c r="E1278" s="1" t="n">
        <v>46265</v>
      </c>
      <c r="F1278" t="inlineStr">
        <is>
          <t>HALLANDS LÄN</t>
        </is>
      </c>
      <c r="G1278" t="inlineStr">
        <is>
          <t>FALKENBERG</t>
        </is>
      </c>
      <c r="H1278" t="inlineStr">
        <is>
          <t>Bergvik skog väst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28800-2023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45104</v>
      </c>
      <c r="E1279" s="1" t="n">
        <v>46265</v>
      </c>
      <c r="F1279" t="inlineStr">
        <is>
          <t>HALLANDS LÄN</t>
        </is>
      </c>
      <c r="G1279" t="inlineStr">
        <is>
          <t>LAHOLM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28574-2024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45478</v>
      </c>
      <c r="E1280" s="1" t="n">
        <v>46265</v>
      </c>
      <c r="F1280" t="inlineStr">
        <is>
          <t>HALLANDS LÄN</t>
        </is>
      </c>
      <c r="G1280" t="inlineStr">
        <is>
          <t>KUNGSBACKA</t>
        </is>
      </c>
      <c r="I1280" t="n">
        <v>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18323-2024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45422</v>
      </c>
      <c r="E1281" s="1" t="n">
        <v>46265</v>
      </c>
      <c r="F1281" t="inlineStr">
        <is>
          <t>HALLANDS LÄN</t>
        </is>
      </c>
      <c r="G1281" t="inlineStr">
        <is>
          <t>FALKENBERG</t>
        </is>
      </c>
      <c r="H1281" t="inlineStr">
        <is>
          <t>Bergvik skog väst AB</t>
        </is>
      </c>
      <c r="I1281" t="n">
        <v>10.4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18329-2024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45422</v>
      </c>
      <c r="E1282" s="1" t="n">
        <v>46265</v>
      </c>
      <c r="F1282" t="inlineStr">
        <is>
          <t>HALLANDS LÄN</t>
        </is>
      </c>
      <c r="G1282" t="inlineStr">
        <is>
          <t>FALKENBERG</t>
        </is>
      </c>
      <c r="H1282" t="inlineStr">
        <is>
          <t>Bergvik skog väst AB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7709-2025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45706</v>
      </c>
      <c r="E1283" s="1" t="n">
        <v>46265</v>
      </c>
      <c r="F1283" t="inlineStr">
        <is>
          <t>HALLANDS LÄN</t>
        </is>
      </c>
      <c r="G1283" t="inlineStr">
        <is>
          <t>KUNGSBACKA</t>
        </is>
      </c>
      <c r="I1283" t="n">
        <v>6.3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12762-2023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45001</v>
      </c>
      <c r="E1284" s="1" t="n">
        <v>46265</v>
      </c>
      <c r="F1284" t="inlineStr">
        <is>
          <t>HALLANDS LÄN</t>
        </is>
      </c>
      <c r="G1284" t="inlineStr">
        <is>
          <t>HALMSTAD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56853-2021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44481</v>
      </c>
      <c r="E1285" s="1" t="n">
        <v>46265</v>
      </c>
      <c r="F1285" t="inlineStr">
        <is>
          <t>HALLANDS LÄN</t>
        </is>
      </c>
      <c r="G1285" t="inlineStr">
        <is>
          <t>VARBERG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39593-2022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44818</v>
      </c>
      <c r="E1286" s="1" t="n">
        <v>46265</v>
      </c>
      <c r="F1286" t="inlineStr">
        <is>
          <t>HALLANDS LÄN</t>
        </is>
      </c>
      <c r="G1286" t="inlineStr">
        <is>
          <t>FALKENBERG</t>
        </is>
      </c>
      <c r="H1286" t="inlineStr">
        <is>
          <t>Bergvik skog väst AB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21815-2023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45068</v>
      </c>
      <c r="E1287" s="1" t="n">
        <v>46265</v>
      </c>
      <c r="F1287" t="inlineStr">
        <is>
          <t>HALLANDS LÄN</t>
        </is>
      </c>
      <c r="G1287" t="inlineStr">
        <is>
          <t>FALKENBERG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34620-2025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45847</v>
      </c>
      <c r="E1288" s="1" t="n">
        <v>46265</v>
      </c>
      <c r="F1288" t="inlineStr">
        <is>
          <t>HALLANDS LÄN</t>
        </is>
      </c>
      <c r="G1288" t="inlineStr">
        <is>
          <t>KUNGSBACKA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50381-2022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44866</v>
      </c>
      <c r="E1289" s="1" t="n">
        <v>46265</v>
      </c>
      <c r="F1289" t="inlineStr">
        <is>
          <t>HALLANDS LÄN</t>
        </is>
      </c>
      <c r="G1289" t="inlineStr">
        <is>
          <t>FALKENBERG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51549-2023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45222</v>
      </c>
      <c r="E1290" s="1" t="n">
        <v>46265</v>
      </c>
      <c r="F1290" t="inlineStr">
        <is>
          <t>HALLANDS LÄN</t>
        </is>
      </c>
      <c r="G1290" t="inlineStr">
        <is>
          <t>LAHOLM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13514-2024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45387</v>
      </c>
      <c r="E1291" s="1" t="n">
        <v>46265</v>
      </c>
      <c r="F1291" t="inlineStr">
        <is>
          <t>HALLANDS LÄN</t>
        </is>
      </c>
      <c r="G1291" t="inlineStr">
        <is>
          <t>FALKENBERG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65126-2023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45288</v>
      </c>
      <c r="E1292" s="1" t="n">
        <v>46265</v>
      </c>
      <c r="F1292" t="inlineStr">
        <is>
          <t>HALLANDS LÄN</t>
        </is>
      </c>
      <c r="G1292" t="inlineStr">
        <is>
          <t>HYLTE</t>
        </is>
      </c>
      <c r="H1292" t="inlineStr">
        <is>
          <t>Kommuner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45322</v>
      </c>
      <c r="E1293" s="1" t="n">
        <v>46265</v>
      </c>
      <c r="F1293" t="inlineStr">
        <is>
          <t>HALLANDS LÄN</t>
        </is>
      </c>
      <c r="G1293" t="inlineStr">
        <is>
          <t>LAHOLM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2094-2024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45309</v>
      </c>
      <c r="E1294" s="1" t="n">
        <v>46265</v>
      </c>
      <c r="F1294" t="inlineStr">
        <is>
          <t>HALLANDS LÄN</t>
        </is>
      </c>
      <c r="G1294" t="inlineStr">
        <is>
          <t>HYLTE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16295-2024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45407</v>
      </c>
      <c r="E1295" s="1" t="n">
        <v>46265</v>
      </c>
      <c r="F1295" t="inlineStr">
        <is>
          <t>HALLANDS LÄN</t>
        </is>
      </c>
      <c r="G1295" t="inlineStr">
        <is>
          <t>HYLTE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20250-2024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45434</v>
      </c>
      <c r="E1296" s="1" t="n">
        <v>46265</v>
      </c>
      <c r="F1296" t="inlineStr">
        <is>
          <t>HALLANDS LÄN</t>
        </is>
      </c>
      <c r="G1296" t="inlineStr">
        <is>
          <t>FALKENBERG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25590-2023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45089</v>
      </c>
      <c r="E1297" s="1" t="n">
        <v>46265</v>
      </c>
      <c r="F1297" t="inlineStr">
        <is>
          <t>HALLANDS LÄN</t>
        </is>
      </c>
      <c r="G1297" t="inlineStr">
        <is>
          <t>LAHOLM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40467-2024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45555</v>
      </c>
      <c r="E1298" s="1" t="n">
        <v>46265</v>
      </c>
      <c r="F1298" t="inlineStr">
        <is>
          <t>HALLANDS LÄN</t>
        </is>
      </c>
      <c r="G1298" t="inlineStr">
        <is>
          <t>LAHOLM</t>
        </is>
      </c>
      <c r="I1298" t="n">
        <v>4.8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36770-2025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45873</v>
      </c>
      <c r="E1299" s="1" t="n">
        <v>46265</v>
      </c>
      <c r="F1299" t="inlineStr">
        <is>
          <t>HALLANDS LÄN</t>
        </is>
      </c>
      <c r="G1299" t="inlineStr">
        <is>
          <t>KUNGSBACKA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28583-2024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45478</v>
      </c>
      <c r="E1300" s="1" t="n">
        <v>46265</v>
      </c>
      <c r="F1300" t="inlineStr">
        <is>
          <t>HALLANDS LÄN</t>
        </is>
      </c>
      <c r="G1300" t="inlineStr">
        <is>
          <t>KUNGSBACKA</t>
        </is>
      </c>
      <c r="I1300" t="n">
        <v>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2817-2025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45677</v>
      </c>
      <c r="E1301" s="1" t="n">
        <v>46265</v>
      </c>
      <c r="F1301" t="inlineStr">
        <is>
          <t>HALLANDS LÄN</t>
        </is>
      </c>
      <c r="G1301" t="inlineStr">
        <is>
          <t>HYLTE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24266-2025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45797</v>
      </c>
      <c r="E1302" s="1" t="n">
        <v>46265</v>
      </c>
      <c r="F1302" t="inlineStr">
        <is>
          <t>HALLANDS LÄN</t>
        </is>
      </c>
      <c r="G1302" t="inlineStr">
        <is>
          <t>HALMSTAD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46877-2023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45200</v>
      </c>
      <c r="E1303" s="1" t="n">
        <v>46265</v>
      </c>
      <c r="F1303" t="inlineStr">
        <is>
          <t>HALLANDS LÄN</t>
        </is>
      </c>
      <c r="G1303" t="inlineStr">
        <is>
          <t>VARBERG</t>
        </is>
      </c>
      <c r="I1303" t="n">
        <v>8.800000000000001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53427-2023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45229</v>
      </c>
      <c r="E1304" s="1" t="n">
        <v>46265</v>
      </c>
      <c r="F1304" t="inlineStr">
        <is>
          <t>HALLANDS LÄN</t>
        </is>
      </c>
      <c r="G1304" t="inlineStr">
        <is>
          <t>FALKENBERG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63254-2023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45273</v>
      </c>
      <c r="E1305" s="1" t="n">
        <v>46265</v>
      </c>
      <c r="F1305" t="inlineStr">
        <is>
          <t>HALLANDS LÄN</t>
        </is>
      </c>
      <c r="G1305" t="inlineStr">
        <is>
          <t>FALKENBERG</t>
        </is>
      </c>
      <c r="I1305" t="n">
        <v>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24198-2023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45079</v>
      </c>
      <c r="E1306" s="1" t="n">
        <v>46265</v>
      </c>
      <c r="F1306" t="inlineStr">
        <is>
          <t>HALLANDS LÄN</t>
        </is>
      </c>
      <c r="G1306" t="inlineStr">
        <is>
          <t>FALKENBERG</t>
        </is>
      </c>
      <c r="I1306" t="n">
        <v>4.1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6103-2024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45337</v>
      </c>
      <c r="E1307" s="1" t="n">
        <v>46265</v>
      </c>
      <c r="F1307" t="inlineStr">
        <is>
          <t>HALLANDS LÄN</t>
        </is>
      </c>
      <c r="G1307" t="inlineStr">
        <is>
          <t>KUNGSBACKA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6214-2024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45337</v>
      </c>
      <c r="E1308" s="1" t="n">
        <v>46265</v>
      </c>
      <c r="F1308" t="inlineStr">
        <is>
          <t>HALLANDS LÄN</t>
        </is>
      </c>
      <c r="G1308" t="inlineStr">
        <is>
          <t>KUNGSBACKA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60181-2023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45257</v>
      </c>
      <c r="E1309" s="1" t="n">
        <v>46265</v>
      </c>
      <c r="F1309" t="inlineStr">
        <is>
          <t>HALLANDS LÄN</t>
        </is>
      </c>
      <c r="G1309" t="inlineStr">
        <is>
          <t>HYLTE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14584-2024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45395</v>
      </c>
      <c r="E1310" s="1" t="n">
        <v>46265</v>
      </c>
      <c r="F1310" t="inlineStr">
        <is>
          <t>HALLANDS LÄN</t>
        </is>
      </c>
      <c r="G1310" t="inlineStr">
        <is>
          <t>HYLTE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16230-2023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45028</v>
      </c>
      <c r="E1311" s="1" t="n">
        <v>46265</v>
      </c>
      <c r="F1311" t="inlineStr">
        <is>
          <t>HALLANDS LÄN</t>
        </is>
      </c>
      <c r="G1311" t="inlineStr">
        <is>
          <t>KUNGSBACKA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49760-2024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45597</v>
      </c>
      <c r="E1312" s="1" t="n">
        <v>46265</v>
      </c>
      <c r="F1312" t="inlineStr">
        <is>
          <t>HALLANDS LÄN</t>
        </is>
      </c>
      <c r="G1312" t="inlineStr">
        <is>
          <t>VARBERG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1480-2024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45305</v>
      </c>
      <c r="E1313" s="1" t="n">
        <v>46265</v>
      </c>
      <c r="F1313" t="inlineStr">
        <is>
          <t>HALLANDS LÄN</t>
        </is>
      </c>
      <c r="G1313" t="inlineStr">
        <is>
          <t>FALKENBERG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34315-2024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45524</v>
      </c>
      <c r="E1314" s="1" t="n">
        <v>46265</v>
      </c>
      <c r="F1314" t="inlineStr">
        <is>
          <t>HALLANDS LÄN</t>
        </is>
      </c>
      <c r="G1314" t="inlineStr">
        <is>
          <t>KUNGSBACKA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34319-2024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45524</v>
      </c>
      <c r="E1315" s="1" t="n">
        <v>46265</v>
      </c>
      <c r="F1315" t="inlineStr">
        <is>
          <t>HALLANDS LÄN</t>
        </is>
      </c>
      <c r="G1315" t="inlineStr">
        <is>
          <t>KUNGSBACKA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19534-2022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44693</v>
      </c>
      <c r="E1316" s="1" t="n">
        <v>46265</v>
      </c>
      <c r="F1316" t="inlineStr">
        <is>
          <t>HALLANDS LÄN</t>
        </is>
      </c>
      <c r="G1316" t="inlineStr">
        <is>
          <t>FALKENBERG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16412-2022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44671</v>
      </c>
      <c r="E1317" s="1" t="n">
        <v>46265</v>
      </c>
      <c r="F1317" t="inlineStr">
        <is>
          <t>HALLANDS LÄN</t>
        </is>
      </c>
      <c r="G1317" t="inlineStr">
        <is>
          <t>HYLTE</t>
        </is>
      </c>
      <c r="I1317" t="n">
        <v>6.3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4072-2023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44952</v>
      </c>
      <c r="E1318" s="1" t="n">
        <v>46265</v>
      </c>
      <c r="F1318" t="inlineStr">
        <is>
          <t>HALLANDS LÄN</t>
        </is>
      </c>
      <c r="G1318" t="inlineStr">
        <is>
          <t>FALKENBERG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29704-2024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45485</v>
      </c>
      <c r="E1319" s="1" t="n">
        <v>46265</v>
      </c>
      <c r="F1319" t="inlineStr">
        <is>
          <t>HALLANDS LÄN</t>
        </is>
      </c>
      <c r="G1319" t="inlineStr">
        <is>
          <t>LAHOLM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34192-2024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45524</v>
      </c>
      <c r="E1320" s="1" t="n">
        <v>46265</v>
      </c>
      <c r="F1320" t="inlineStr">
        <is>
          <t>HALLANDS LÄN</t>
        </is>
      </c>
      <c r="G1320" t="inlineStr">
        <is>
          <t>HYLTE</t>
        </is>
      </c>
      <c r="I1320" t="n">
        <v>2.9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63008-2023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45272</v>
      </c>
      <c r="E1321" s="1" t="n">
        <v>46265</v>
      </c>
      <c r="F1321" t="inlineStr">
        <is>
          <t>HALLANDS LÄN</t>
        </is>
      </c>
      <c r="G1321" t="inlineStr">
        <is>
          <t>HYLTE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37319-2023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45156</v>
      </c>
      <c r="E1322" s="1" t="n">
        <v>46265</v>
      </c>
      <c r="F1322" t="inlineStr">
        <is>
          <t>HALLANDS LÄN</t>
        </is>
      </c>
      <c r="G1322" t="inlineStr">
        <is>
          <t>LAHOLM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37322-2023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45156</v>
      </c>
      <c r="E1323" s="1" t="n">
        <v>46265</v>
      </c>
      <c r="F1323" t="inlineStr">
        <is>
          <t>HALLANDS LÄN</t>
        </is>
      </c>
      <c r="G1323" t="inlineStr">
        <is>
          <t>LAHOLM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39274-2022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44817</v>
      </c>
      <c r="E1324" s="1" t="n">
        <v>46265</v>
      </c>
      <c r="F1324" t="inlineStr">
        <is>
          <t>HALLANDS LÄN</t>
        </is>
      </c>
      <c r="G1324" t="inlineStr">
        <is>
          <t>HALMSTAD</t>
        </is>
      </c>
      <c r="I1324" t="n">
        <v>2.9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53109-2024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45611</v>
      </c>
      <c r="E1325" s="1" t="n">
        <v>46265</v>
      </c>
      <c r="F1325" t="inlineStr">
        <is>
          <t>HALLANDS LÄN</t>
        </is>
      </c>
      <c r="G1325" t="inlineStr">
        <is>
          <t>HALMSTAD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65916-2021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44517</v>
      </c>
      <c r="E1326" s="1" t="n">
        <v>46265</v>
      </c>
      <c r="F1326" t="inlineStr">
        <is>
          <t>HALLANDS LÄN</t>
        </is>
      </c>
      <c r="G1326" t="inlineStr">
        <is>
          <t>LAHOLM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57383-2021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44483</v>
      </c>
      <c r="E1327" s="1" t="n">
        <v>46265</v>
      </c>
      <c r="F1327" t="inlineStr">
        <is>
          <t>HALLANDS LÄN</t>
        </is>
      </c>
      <c r="G1327" t="inlineStr">
        <is>
          <t>HYLTE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57812-2024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45631</v>
      </c>
      <c r="E1328" s="1" t="n">
        <v>46265</v>
      </c>
      <c r="F1328" t="inlineStr">
        <is>
          <t>HALLANDS LÄN</t>
        </is>
      </c>
      <c r="G1328" t="inlineStr">
        <is>
          <t>KUNGSBACKA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58241-2023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45245</v>
      </c>
      <c r="E1329" s="1" t="n">
        <v>46265</v>
      </c>
      <c r="F1329" t="inlineStr">
        <is>
          <t>HALLANDS LÄN</t>
        </is>
      </c>
      <c r="G1329" t="inlineStr">
        <is>
          <t>HYLTE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13538-2025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45736</v>
      </c>
      <c r="E1330" s="1" t="n">
        <v>46265</v>
      </c>
      <c r="F1330" t="inlineStr">
        <is>
          <t>HALLANDS LÄN</t>
        </is>
      </c>
      <c r="G1330" t="inlineStr">
        <is>
          <t>HALMSTAD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28103-2025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45817</v>
      </c>
      <c r="E1331" s="1" t="n">
        <v>46265</v>
      </c>
      <c r="F1331" t="inlineStr">
        <is>
          <t>HALLANDS LÄN</t>
        </is>
      </c>
      <c r="G1331" t="inlineStr">
        <is>
          <t>FALKENBERG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29349-2025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45824</v>
      </c>
      <c r="E1332" s="1" t="n">
        <v>46265</v>
      </c>
      <c r="F1332" t="inlineStr">
        <is>
          <t>HALLANDS LÄN</t>
        </is>
      </c>
      <c r="G1332" t="inlineStr">
        <is>
          <t>LAHOLM</t>
        </is>
      </c>
      <c r="I1332" t="n">
        <v>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4382-2025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45686</v>
      </c>
      <c r="E1333" s="1" t="n">
        <v>46265</v>
      </c>
      <c r="F1333" t="inlineStr">
        <is>
          <t>HALLANDS LÄN</t>
        </is>
      </c>
      <c r="G1333" t="inlineStr">
        <is>
          <t>KUNGSBACKA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56903-2024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45628</v>
      </c>
      <c r="E1334" s="1" t="n">
        <v>46265</v>
      </c>
      <c r="F1334" t="inlineStr">
        <is>
          <t>HALLANDS LÄN</t>
        </is>
      </c>
      <c r="G1334" t="inlineStr">
        <is>
          <t>LAHOLM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3262-2025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45679</v>
      </c>
      <c r="E1335" s="1" t="n">
        <v>46265</v>
      </c>
      <c r="F1335" t="inlineStr">
        <is>
          <t>HALLANDS LÄN</t>
        </is>
      </c>
      <c r="G1335" t="inlineStr">
        <is>
          <t>HYLTE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45695</v>
      </c>
      <c r="E1336" s="1" t="n">
        <v>46265</v>
      </c>
      <c r="F1336" t="inlineStr">
        <is>
          <t>HALLANDS LÄN</t>
        </is>
      </c>
      <c r="G1336" t="inlineStr">
        <is>
          <t>LAHOLM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5239-2025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45692</v>
      </c>
      <c r="E1337" s="1" t="n">
        <v>46265</v>
      </c>
      <c r="F1337" t="inlineStr">
        <is>
          <t>HALLANDS LÄN</t>
        </is>
      </c>
      <c r="G1337" t="inlineStr">
        <is>
          <t>HALMSTAD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21279-2024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45440</v>
      </c>
      <c r="E1338" s="1" t="n">
        <v>46265</v>
      </c>
      <c r="F1338" t="inlineStr">
        <is>
          <t>HALLANDS LÄN</t>
        </is>
      </c>
      <c r="G1338" t="inlineStr">
        <is>
          <t>KUNGSBACKA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23160-2024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45450</v>
      </c>
      <c r="E1339" s="1" t="n">
        <v>46265</v>
      </c>
      <c r="F1339" t="inlineStr">
        <is>
          <t>HALLANDS LÄN</t>
        </is>
      </c>
      <c r="G1339" t="inlineStr">
        <is>
          <t>LAHOLM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42047-2024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45561</v>
      </c>
      <c r="E1340" s="1" t="n">
        <v>46265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53539-2022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44879</v>
      </c>
      <c r="E1341" s="1" t="n">
        <v>46265</v>
      </c>
      <c r="F1341" t="inlineStr">
        <is>
          <t>HALLANDS LÄN</t>
        </is>
      </c>
      <c r="G1341" t="inlineStr">
        <is>
          <t>HALMSTAD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53550-2022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44879</v>
      </c>
      <c r="E1342" s="1" t="n">
        <v>46265</v>
      </c>
      <c r="F1342" t="inlineStr">
        <is>
          <t>HALLANDS LÄN</t>
        </is>
      </c>
      <c r="G1342" t="inlineStr">
        <is>
          <t>HALMSTAD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61778-2022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44917</v>
      </c>
      <c r="E1343" s="1" t="n">
        <v>46265</v>
      </c>
      <c r="F1343" t="inlineStr">
        <is>
          <t>HALLANDS LÄN</t>
        </is>
      </c>
      <c r="G1343" t="inlineStr">
        <is>
          <t>HALMSTAD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27226-2023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45096</v>
      </c>
      <c r="E1344" s="1" t="n">
        <v>46265</v>
      </c>
      <c r="F1344" t="inlineStr">
        <is>
          <t>HALLANDS LÄN</t>
        </is>
      </c>
      <c r="G1344" t="inlineStr">
        <is>
          <t>LAHOLM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35310-2023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45146</v>
      </c>
      <c r="E1345" s="1" t="n">
        <v>46265</v>
      </c>
      <c r="F1345" t="inlineStr">
        <is>
          <t>HALLANDS LÄN</t>
        </is>
      </c>
      <c r="G1345" t="inlineStr">
        <is>
          <t>FALKENBERG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39903-2023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45168</v>
      </c>
      <c r="E1346" s="1" t="n">
        <v>46265</v>
      </c>
      <c r="F1346" t="inlineStr">
        <is>
          <t>HALLANDS LÄN</t>
        </is>
      </c>
      <c r="G1346" t="inlineStr">
        <is>
          <t>LAHOLM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52742-2024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45610</v>
      </c>
      <c r="E1347" s="1" t="n">
        <v>46265</v>
      </c>
      <c r="F1347" t="inlineStr">
        <is>
          <t>HALLANDS LÄN</t>
        </is>
      </c>
      <c r="G1347" t="inlineStr">
        <is>
          <t>HYLTE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19675-2024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45432</v>
      </c>
      <c r="E1348" s="1" t="n">
        <v>46265</v>
      </c>
      <c r="F1348" t="inlineStr">
        <is>
          <t>HALLANDS LÄN</t>
        </is>
      </c>
      <c r="G1348" t="inlineStr">
        <is>
          <t>HYLTE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33071-2025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45840</v>
      </c>
      <c r="E1349" s="1" t="n">
        <v>46265</v>
      </c>
      <c r="F1349" t="inlineStr">
        <is>
          <t>HALLANDS LÄN</t>
        </is>
      </c>
      <c r="G1349" t="inlineStr">
        <is>
          <t>FALKENBERG</t>
        </is>
      </c>
      <c r="H1349" t="inlineStr">
        <is>
          <t>Bergvik skog väst AB</t>
        </is>
      </c>
      <c r="I1349" t="n">
        <v>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16350-2025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45751</v>
      </c>
      <c r="E1350" s="1" t="n">
        <v>46265</v>
      </c>
      <c r="F1350" t="inlineStr">
        <is>
          <t>HALLANDS LÄN</t>
        </is>
      </c>
      <c r="G1350" t="inlineStr">
        <is>
          <t>LAHOLM</t>
        </is>
      </c>
      <c r="I1350" t="n">
        <v>4.8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21869-2023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45068</v>
      </c>
      <c r="E1351" s="1" t="n">
        <v>46265</v>
      </c>
      <c r="F1351" t="inlineStr">
        <is>
          <t>HALLANDS LÄN</t>
        </is>
      </c>
      <c r="G1351" t="inlineStr">
        <is>
          <t>HALMSTAD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22184-2022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44712</v>
      </c>
      <c r="E1352" s="1" t="n">
        <v>46265</v>
      </c>
      <c r="F1352" t="inlineStr">
        <is>
          <t>HALLANDS LÄN</t>
        </is>
      </c>
      <c r="G1352" t="inlineStr">
        <is>
          <t>HYLTE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36597-2023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45153</v>
      </c>
      <c r="E1353" s="1" t="n">
        <v>46265</v>
      </c>
      <c r="F1353" t="inlineStr">
        <is>
          <t>HALLANDS LÄN</t>
        </is>
      </c>
      <c r="G1353" t="inlineStr">
        <is>
          <t>KUNGSBACKA</t>
        </is>
      </c>
      <c r="I1353" t="n">
        <v>2.2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37748-2023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45159</v>
      </c>
      <c r="E1354" s="1" t="n">
        <v>46265</v>
      </c>
      <c r="F1354" t="inlineStr">
        <is>
          <t>HALLANDS LÄN</t>
        </is>
      </c>
      <c r="G1354" t="inlineStr">
        <is>
          <t>HALMSTAD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34337-2023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45131</v>
      </c>
      <c r="E1355" s="1" t="n">
        <v>46265</v>
      </c>
      <c r="F1355" t="inlineStr">
        <is>
          <t>HALLANDS LÄN</t>
        </is>
      </c>
      <c r="G1355" t="inlineStr">
        <is>
          <t>HYLTE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40481-2023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45170</v>
      </c>
      <c r="E1356" s="1" t="n">
        <v>46265</v>
      </c>
      <c r="F1356" t="inlineStr">
        <is>
          <t>HALLANDS LÄN</t>
        </is>
      </c>
      <c r="G1356" t="inlineStr">
        <is>
          <t>LAHOLM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20414-2022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44699</v>
      </c>
      <c r="E1357" s="1" t="n">
        <v>46265</v>
      </c>
      <c r="F1357" t="inlineStr">
        <is>
          <t>HALLANDS LÄN</t>
        </is>
      </c>
      <c r="G1357" t="inlineStr">
        <is>
          <t>HALMSTAD</t>
        </is>
      </c>
      <c r="H1357" t="inlineStr">
        <is>
          <t>Kommuner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42582-2023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45176</v>
      </c>
      <c r="E1358" s="1" t="n">
        <v>46265</v>
      </c>
      <c r="F1358" t="inlineStr">
        <is>
          <t>HALLANDS LÄN</t>
        </is>
      </c>
      <c r="G1358" t="inlineStr">
        <is>
          <t>HYLTE</t>
        </is>
      </c>
      <c r="I1358" t="n">
        <v>4.7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10396-2024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45365</v>
      </c>
      <c r="E1359" s="1" t="n">
        <v>46265</v>
      </c>
      <c r="F1359" t="inlineStr">
        <is>
          <t>HALLANDS LÄN</t>
        </is>
      </c>
      <c r="G1359" t="inlineStr">
        <is>
          <t>KUNGSBACKA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6122-2024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45337</v>
      </c>
      <c r="E1360" s="1" t="n">
        <v>46265</v>
      </c>
      <c r="F1360" t="inlineStr">
        <is>
          <t>HALLANDS LÄN</t>
        </is>
      </c>
      <c r="G1360" t="inlineStr">
        <is>
          <t>FALKENBERG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11406-2024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45372</v>
      </c>
      <c r="E1361" s="1" t="n">
        <v>46265</v>
      </c>
      <c r="F1361" t="inlineStr">
        <is>
          <t>HALLANDS LÄN</t>
        </is>
      </c>
      <c r="G1361" t="inlineStr">
        <is>
          <t>HYLTE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6911-2024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45343</v>
      </c>
      <c r="E1362" s="1" t="n">
        <v>46265</v>
      </c>
      <c r="F1362" t="inlineStr">
        <is>
          <t>HALLANDS LÄN</t>
        </is>
      </c>
      <c r="G1362" t="inlineStr">
        <is>
          <t>LAHOLM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9613-2024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45361</v>
      </c>
      <c r="E1363" s="1" t="n">
        <v>46265</v>
      </c>
      <c r="F1363" t="inlineStr">
        <is>
          <t>HALLANDS LÄN</t>
        </is>
      </c>
      <c r="G1363" t="inlineStr">
        <is>
          <t>HYLTE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37752-2024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45541</v>
      </c>
      <c r="E1364" s="1" t="n">
        <v>46265</v>
      </c>
      <c r="F1364" t="inlineStr">
        <is>
          <t>HALLANDS LÄN</t>
        </is>
      </c>
      <c r="G1364" t="inlineStr">
        <is>
          <t>HYLTE</t>
        </is>
      </c>
      <c r="I1364" t="n">
        <v>5.5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60176-2023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45257</v>
      </c>
      <c r="E1365" s="1" t="n">
        <v>46265</v>
      </c>
      <c r="F1365" t="inlineStr">
        <is>
          <t>HALLANDS LÄN</t>
        </is>
      </c>
      <c r="G1365" t="inlineStr">
        <is>
          <t>HYLTE</t>
        </is>
      </c>
      <c r="H1365" t="inlineStr">
        <is>
          <t>Kommuner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11743-2025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45727</v>
      </c>
      <c r="E1366" s="1" t="n">
        <v>46265</v>
      </c>
      <c r="F1366" t="inlineStr">
        <is>
          <t>HALLANDS LÄN</t>
        </is>
      </c>
      <c r="G1366" t="inlineStr">
        <is>
          <t>HYLTE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2647-2022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44580</v>
      </c>
      <c r="E1367" s="1" t="n">
        <v>46265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61843-2022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44917</v>
      </c>
      <c r="E1368" s="1" t="n">
        <v>46265</v>
      </c>
      <c r="F1368" t="inlineStr">
        <is>
          <t>HALLANDS LÄN</t>
        </is>
      </c>
      <c r="G1368" t="inlineStr">
        <is>
          <t>HYLTE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4073-2023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44952</v>
      </c>
      <c r="E1369" s="1" t="n">
        <v>46265</v>
      </c>
      <c r="F1369" t="inlineStr">
        <is>
          <t>HALLANDS LÄN</t>
        </is>
      </c>
      <c r="G1369" t="inlineStr">
        <is>
          <t>FALKENBERG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12448-2025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45730</v>
      </c>
      <c r="E1370" s="1" t="n">
        <v>46265</v>
      </c>
      <c r="F1370" t="inlineStr">
        <is>
          <t>HALLANDS LÄN</t>
        </is>
      </c>
      <c r="G1370" t="inlineStr">
        <is>
          <t>LAHOLM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18077-2025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45761</v>
      </c>
      <c r="E1371" s="1" t="n">
        <v>46265</v>
      </c>
      <c r="F1371" t="inlineStr">
        <is>
          <t>HALLANDS LÄN</t>
        </is>
      </c>
      <c r="G1371" t="inlineStr">
        <is>
          <t>FALKENBERG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60442-2024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45642</v>
      </c>
      <c r="E1372" s="1" t="n">
        <v>46265</v>
      </c>
      <c r="F1372" t="inlineStr">
        <is>
          <t>HALLANDS LÄN</t>
        </is>
      </c>
      <c r="G1372" t="inlineStr">
        <is>
          <t>HALMSTAD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53598-2021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44469</v>
      </c>
      <c r="E1373" s="1" t="n">
        <v>46265</v>
      </c>
      <c r="F1373" t="inlineStr">
        <is>
          <t>HALLANDS LÄN</t>
        </is>
      </c>
      <c r="G1373" t="inlineStr">
        <is>
          <t>LAHOLM</t>
        </is>
      </c>
      <c r="I1373" t="n">
        <v>3.6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64455-2023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45280</v>
      </c>
      <c r="E1374" s="1" t="n">
        <v>46265</v>
      </c>
      <c r="F1374" t="inlineStr">
        <is>
          <t>HALLANDS LÄN</t>
        </is>
      </c>
      <c r="G1374" t="inlineStr">
        <is>
          <t>FALKENBERG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13232-2025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45735</v>
      </c>
      <c r="E1375" s="1" t="n">
        <v>46265</v>
      </c>
      <c r="F1375" t="inlineStr">
        <is>
          <t>HALLANDS LÄN</t>
        </is>
      </c>
      <c r="G1375" t="inlineStr">
        <is>
          <t>HYLTE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45299</v>
      </c>
      <c r="E1376" s="1" t="n">
        <v>46265</v>
      </c>
      <c r="F1376" t="inlineStr">
        <is>
          <t>HALLANDS LÄN</t>
        </is>
      </c>
      <c r="G1376" t="inlineStr">
        <is>
          <t>HALMSTAD</t>
        </is>
      </c>
      <c r="I1376" t="n">
        <v>4.6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2016-2025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45672</v>
      </c>
      <c r="E1377" s="1" t="n">
        <v>46265</v>
      </c>
      <c r="F1377" t="inlineStr">
        <is>
          <t>HALLANDS LÄN</t>
        </is>
      </c>
      <c r="G1377" t="inlineStr">
        <is>
          <t>HYLTE</t>
        </is>
      </c>
      <c r="I1377" t="n">
        <v>7.4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23582-2025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45792</v>
      </c>
      <c r="E1378" s="1" t="n">
        <v>46265</v>
      </c>
      <c r="F1378" t="inlineStr">
        <is>
          <t>HALLANDS LÄN</t>
        </is>
      </c>
      <c r="G1378" t="inlineStr">
        <is>
          <t>LAHOLM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6149-2024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45337</v>
      </c>
      <c r="E1379" s="1" t="n">
        <v>46265</v>
      </c>
      <c r="F1379" t="inlineStr">
        <is>
          <t>HALLANDS LÄN</t>
        </is>
      </c>
      <c r="G1379" t="inlineStr">
        <is>
          <t>FALKENBERG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21978-2023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45068</v>
      </c>
      <c r="E1380" s="1" t="n">
        <v>46265</v>
      </c>
      <c r="F1380" t="inlineStr">
        <is>
          <t>HALLANDS LÄN</t>
        </is>
      </c>
      <c r="G1380" t="inlineStr">
        <is>
          <t>FALKENBERG</t>
        </is>
      </c>
      <c r="I1380" t="n">
        <v>13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5210-2023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44959</v>
      </c>
      <c r="E1381" s="1" t="n">
        <v>46265</v>
      </c>
      <c r="F1381" t="inlineStr">
        <is>
          <t>HALLANDS LÄN</t>
        </is>
      </c>
      <c r="G1381" t="inlineStr">
        <is>
          <t>HALMSTAD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23036-2023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45074</v>
      </c>
      <c r="E1382" s="1" t="n">
        <v>46265</v>
      </c>
      <c r="F1382" t="inlineStr">
        <is>
          <t>HALLANDS LÄN</t>
        </is>
      </c>
      <c r="G1382" t="inlineStr">
        <is>
          <t>FALKENBERG</t>
        </is>
      </c>
      <c r="I1382" t="n">
        <v>2.7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26148-2023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45091</v>
      </c>
      <c r="E1383" s="1" t="n">
        <v>46265</v>
      </c>
      <c r="F1383" t="inlineStr">
        <is>
          <t>HALLANDS LÄN</t>
        </is>
      </c>
      <c r="G1383" t="inlineStr">
        <is>
          <t>KUNGSBACKA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31885-2023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45118</v>
      </c>
      <c r="E1384" s="1" t="n">
        <v>46265</v>
      </c>
      <c r="F1384" t="inlineStr">
        <is>
          <t>HALLANDS LÄN</t>
        </is>
      </c>
      <c r="G1384" t="inlineStr">
        <is>
          <t>KUNGSBACKA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26920-2023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45093</v>
      </c>
      <c r="E1385" s="1" t="n">
        <v>46265</v>
      </c>
      <c r="F1385" t="inlineStr">
        <is>
          <t>HALLANDS LÄN</t>
        </is>
      </c>
      <c r="G1385" t="inlineStr">
        <is>
          <t>LAHOLM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21163-2023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45062</v>
      </c>
      <c r="E1386" s="1" t="n">
        <v>46265</v>
      </c>
      <c r="F1386" t="inlineStr">
        <is>
          <t>HALLANDS LÄN</t>
        </is>
      </c>
      <c r="G1386" t="inlineStr">
        <is>
          <t>KUNGSBACKA</t>
        </is>
      </c>
      <c r="I1386" t="n">
        <v>3.3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62582-2023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45270</v>
      </c>
      <c r="E1387" s="1" t="n">
        <v>46265</v>
      </c>
      <c r="F1387" t="inlineStr">
        <is>
          <t>HALLANDS LÄN</t>
        </is>
      </c>
      <c r="G1387" t="inlineStr">
        <is>
          <t>FALKENBERG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62655-2023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45271</v>
      </c>
      <c r="E1388" s="1" t="n">
        <v>46265</v>
      </c>
      <c r="F1388" t="inlineStr">
        <is>
          <t>HALLANDS LÄN</t>
        </is>
      </c>
      <c r="G1388" t="inlineStr">
        <is>
          <t>VARBERG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48044-2023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45204</v>
      </c>
      <c r="E1389" s="1" t="n">
        <v>46265</v>
      </c>
      <c r="F1389" t="inlineStr">
        <is>
          <t>HALLANDS LÄN</t>
        </is>
      </c>
      <c r="G1389" t="inlineStr">
        <is>
          <t>HYLTE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45293</v>
      </c>
      <c r="E1390" s="1" t="n">
        <v>46265</v>
      </c>
      <c r="F1390" t="inlineStr">
        <is>
          <t>HALLANDS LÄN</t>
        </is>
      </c>
      <c r="G1390" t="inlineStr">
        <is>
          <t>HYLTE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57378-2023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45245</v>
      </c>
      <c r="E1391" s="1" t="n">
        <v>46265</v>
      </c>
      <c r="F1391" t="inlineStr">
        <is>
          <t>HALLANDS LÄN</t>
        </is>
      </c>
      <c r="G1391" t="inlineStr">
        <is>
          <t>HYLTE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3832-2023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44951</v>
      </c>
      <c r="E1392" s="1" t="n">
        <v>46265</v>
      </c>
      <c r="F1392" t="inlineStr">
        <is>
          <t>HALLANDS LÄN</t>
        </is>
      </c>
      <c r="G1392" t="inlineStr">
        <is>
          <t>LAHOLM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2438-2024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45311</v>
      </c>
      <c r="E1393" s="1" t="n">
        <v>46265</v>
      </c>
      <c r="F1393" t="inlineStr">
        <is>
          <t>HALLANDS LÄN</t>
        </is>
      </c>
      <c r="G1393" t="inlineStr">
        <is>
          <t>HALMSTAD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58107-2023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45249</v>
      </c>
      <c r="E1394" s="1" t="n">
        <v>46265</v>
      </c>
      <c r="F1394" t="inlineStr">
        <is>
          <t>HALLANDS LÄN</t>
        </is>
      </c>
      <c r="G1394" t="inlineStr">
        <is>
          <t>FALKENBERG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7301-2023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44970</v>
      </c>
      <c r="E1395" s="1" t="n">
        <v>46265</v>
      </c>
      <c r="F1395" t="inlineStr">
        <is>
          <t>HALLANDS LÄN</t>
        </is>
      </c>
      <c r="G1395" t="inlineStr">
        <is>
          <t>HYLTE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7302-2023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44970</v>
      </c>
      <c r="E1396" s="1" t="n">
        <v>46265</v>
      </c>
      <c r="F1396" t="inlineStr">
        <is>
          <t>HALLANDS LÄN</t>
        </is>
      </c>
      <c r="G1396" t="inlineStr">
        <is>
          <t>HYLTE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10061-2022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44621</v>
      </c>
      <c r="E1397" s="1" t="n">
        <v>46265</v>
      </c>
      <c r="F1397" t="inlineStr">
        <is>
          <t>HALLANDS LÄN</t>
        </is>
      </c>
      <c r="G1397" t="inlineStr">
        <is>
          <t>HALMSTAD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16410-2022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44671</v>
      </c>
      <c r="E1398" s="1" t="n">
        <v>46265</v>
      </c>
      <c r="F1398" t="inlineStr">
        <is>
          <t>HALLANDS LÄN</t>
        </is>
      </c>
      <c r="G1398" t="inlineStr">
        <is>
          <t>HYLTE</t>
        </is>
      </c>
      <c r="I1398" t="n">
        <v>3.1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72361-2021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44545</v>
      </c>
      <c r="E1399" s="1" t="n">
        <v>46265</v>
      </c>
      <c r="F1399" t="inlineStr">
        <is>
          <t>HALLANDS LÄN</t>
        </is>
      </c>
      <c r="G1399" t="inlineStr">
        <is>
          <t>VARBERG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57420-2022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44896</v>
      </c>
      <c r="E1400" s="1" t="n">
        <v>46265</v>
      </c>
      <c r="F1400" t="inlineStr">
        <is>
          <t>HALLANDS LÄN</t>
        </is>
      </c>
      <c r="G1400" t="inlineStr">
        <is>
          <t>HYLTE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45974-2022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44846</v>
      </c>
      <c r="E1401" s="1" t="n">
        <v>46265</v>
      </c>
      <c r="F1401" t="inlineStr">
        <is>
          <t>HALLANDS LÄN</t>
        </is>
      </c>
      <c r="G1401" t="inlineStr">
        <is>
          <t>FALKENBERG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59921-2022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44909</v>
      </c>
      <c r="E1402" s="1" t="n">
        <v>46265</v>
      </c>
      <c r="F1402" t="inlineStr">
        <is>
          <t>HALLANDS LÄN</t>
        </is>
      </c>
      <c r="G1402" t="inlineStr">
        <is>
          <t>LAHOLM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14606-2023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45013</v>
      </c>
      <c r="E1403" s="1" t="n">
        <v>46265</v>
      </c>
      <c r="F1403" t="inlineStr">
        <is>
          <t>HALLANDS LÄN</t>
        </is>
      </c>
      <c r="G1403" t="inlineStr">
        <is>
          <t>FALKENBERG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13326-2022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44645</v>
      </c>
      <c r="E1404" s="1" t="n">
        <v>46265</v>
      </c>
      <c r="F1404" t="inlineStr">
        <is>
          <t>HALLANDS LÄN</t>
        </is>
      </c>
      <c r="G1404" t="inlineStr">
        <is>
          <t>LAHOLM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9572-2023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44982</v>
      </c>
      <c r="E1405" s="1" t="n">
        <v>46265</v>
      </c>
      <c r="F1405" t="inlineStr">
        <is>
          <t>HALLANDS LÄN</t>
        </is>
      </c>
      <c r="G1405" t="inlineStr">
        <is>
          <t>VARBERG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8574-2023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44977</v>
      </c>
      <c r="E1406" s="1" t="n">
        <v>46265</v>
      </c>
      <c r="F1406" t="inlineStr">
        <is>
          <t>HALLANDS LÄN</t>
        </is>
      </c>
      <c r="G1406" t="inlineStr">
        <is>
          <t>LAHOLM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12717-2023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45000</v>
      </c>
      <c r="E1407" s="1" t="n">
        <v>46265</v>
      </c>
      <c r="F1407" t="inlineStr">
        <is>
          <t>HALLANDS LÄN</t>
        </is>
      </c>
      <c r="G1407" t="inlineStr">
        <is>
          <t>HALMSTAD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13532-2023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45006</v>
      </c>
      <c r="E1408" s="1" t="n">
        <v>46265</v>
      </c>
      <c r="F1408" t="inlineStr">
        <is>
          <t>HALLANDS LÄN</t>
        </is>
      </c>
      <c r="G1408" t="inlineStr">
        <is>
          <t>HALMSTAD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45970-2022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44846</v>
      </c>
      <c r="E1409" s="1" t="n">
        <v>46265</v>
      </c>
      <c r="F1409" t="inlineStr">
        <is>
          <t>HALLANDS LÄN</t>
        </is>
      </c>
      <c r="G1409" t="inlineStr">
        <is>
          <t>FALKENBERG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4757-2022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44592</v>
      </c>
      <c r="E1410" s="1" t="n">
        <v>46265</v>
      </c>
      <c r="F1410" t="inlineStr">
        <is>
          <t>HALLANDS LÄN</t>
        </is>
      </c>
      <c r="G1410" t="inlineStr">
        <is>
          <t>HYLTE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46317-2021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44442</v>
      </c>
      <c r="E1411" s="1" t="n">
        <v>46265</v>
      </c>
      <c r="F1411" t="inlineStr">
        <is>
          <t>HALLANDS LÄN</t>
        </is>
      </c>
      <c r="G1411" t="inlineStr">
        <is>
          <t>LAHOLM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53126-2023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45229</v>
      </c>
      <c r="E1412" s="1" t="n">
        <v>46265</v>
      </c>
      <c r="F1412" t="inlineStr">
        <is>
          <t>HALLANDS LÄN</t>
        </is>
      </c>
      <c r="G1412" t="inlineStr">
        <is>
          <t>HALMSTAD</t>
        </is>
      </c>
      <c r="I1412" t="n">
        <v>4.1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57320-2021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44483</v>
      </c>
      <c r="E1413" s="1" t="n">
        <v>46265</v>
      </c>
      <c r="F1413" t="inlineStr">
        <is>
          <t>HALLANDS LÄN</t>
        </is>
      </c>
      <c r="G1413" t="inlineStr">
        <is>
          <t>LAHOLM</t>
        </is>
      </c>
      <c r="I1413" t="n">
        <v>5.8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41864-2022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44829</v>
      </c>
      <c r="E1414" s="1" t="n">
        <v>46265</v>
      </c>
      <c r="F1414" t="inlineStr">
        <is>
          <t>HALLANDS LÄN</t>
        </is>
      </c>
      <c r="G1414" t="inlineStr">
        <is>
          <t>VARBERG</t>
        </is>
      </c>
      <c r="I1414" t="n">
        <v>2.6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60594-2023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45260</v>
      </c>
      <c r="E1415" s="1" t="n">
        <v>46265</v>
      </c>
      <c r="F1415" t="inlineStr">
        <is>
          <t>HALLANDS LÄN</t>
        </is>
      </c>
      <c r="G1415" t="inlineStr">
        <is>
          <t>FALKENBERG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61835-2023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45266</v>
      </c>
      <c r="E1416" s="1" t="n">
        <v>46265</v>
      </c>
      <c r="F1416" t="inlineStr">
        <is>
          <t>HALLANDS LÄN</t>
        </is>
      </c>
      <c r="G1416" t="inlineStr">
        <is>
          <t>HALMSTAD</t>
        </is>
      </c>
      <c r="I1416" t="n">
        <v>12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58089-2023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45248</v>
      </c>
      <c r="E1417" s="1" t="n">
        <v>46265</v>
      </c>
      <c r="F1417" t="inlineStr">
        <is>
          <t>HALLANDS LÄN</t>
        </is>
      </c>
      <c r="G1417" t="inlineStr">
        <is>
          <t>FALKENBERG</t>
        </is>
      </c>
      <c r="H1417" t="inlineStr">
        <is>
          <t>Bergvik skog väst AB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58106-2023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45249</v>
      </c>
      <c r="E1418" s="1" t="n">
        <v>46265</v>
      </c>
      <c r="F1418" t="inlineStr">
        <is>
          <t>HALLANDS LÄN</t>
        </is>
      </c>
      <c r="G1418" t="inlineStr">
        <is>
          <t>FALKENBERG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62712-2023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45271</v>
      </c>
      <c r="E1419" s="1" t="n">
        <v>46265</v>
      </c>
      <c r="F1419" t="inlineStr">
        <is>
          <t>HALLANDS LÄN</t>
        </is>
      </c>
      <c r="G1419" t="inlineStr">
        <is>
          <t>FALKENBERG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62791-2023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45271</v>
      </c>
      <c r="E1420" s="1" t="n">
        <v>46265</v>
      </c>
      <c r="F1420" t="inlineStr">
        <is>
          <t>HALLANDS LÄN</t>
        </is>
      </c>
      <c r="G1420" t="inlineStr">
        <is>
          <t>VARBERG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63104-2023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45273</v>
      </c>
      <c r="E1421" s="1" t="n">
        <v>46265</v>
      </c>
      <c r="F1421" t="inlineStr">
        <is>
          <t>HALLANDS LÄN</t>
        </is>
      </c>
      <c r="G1421" t="inlineStr">
        <is>
          <t>KUNGSBACKA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63823-2023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45278</v>
      </c>
      <c r="E1422" s="1" t="n">
        <v>46265</v>
      </c>
      <c r="F1422" t="inlineStr">
        <is>
          <t>HALLANDS LÄN</t>
        </is>
      </c>
      <c r="G1422" t="inlineStr">
        <is>
          <t>HALMSTAD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59999-2022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44909</v>
      </c>
      <c r="E1423" s="1" t="n">
        <v>46265</v>
      </c>
      <c r="F1423" t="inlineStr">
        <is>
          <t>HALLANDS LÄN</t>
        </is>
      </c>
      <c r="G1423" t="inlineStr">
        <is>
          <t>LAHOLM</t>
        </is>
      </c>
      <c r="I1423" t="n">
        <v>2.6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45293</v>
      </c>
      <c r="E1424" s="1" t="n">
        <v>46265</v>
      </c>
      <c r="F1424" t="inlineStr">
        <is>
          <t>HALLANDS LÄN</t>
        </is>
      </c>
      <c r="G1424" t="inlineStr">
        <is>
          <t>HYLTE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55861-2024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45623</v>
      </c>
      <c r="E1425" s="1" t="n">
        <v>46265</v>
      </c>
      <c r="F1425" t="inlineStr">
        <is>
          <t>HALLANDS LÄN</t>
        </is>
      </c>
      <c r="G1425" t="inlineStr">
        <is>
          <t>HYLTE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73894-2021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44553</v>
      </c>
      <c r="E1426" s="1" t="n">
        <v>46265</v>
      </c>
      <c r="F1426" t="inlineStr">
        <is>
          <t>HALLANDS LÄN</t>
        </is>
      </c>
      <c r="G1426" t="inlineStr">
        <is>
          <t>LAHOLM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46846-2023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45199</v>
      </c>
      <c r="E1427" s="1" t="n">
        <v>46265</v>
      </c>
      <c r="F1427" t="inlineStr">
        <is>
          <t>HALLANDS LÄN</t>
        </is>
      </c>
      <c r="G1427" t="inlineStr">
        <is>
          <t>HYLTE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28643-2025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45819</v>
      </c>
      <c r="E1428" s="1" t="n">
        <v>46265</v>
      </c>
      <c r="F1428" t="inlineStr">
        <is>
          <t>HALLANDS LÄN</t>
        </is>
      </c>
      <c r="G1428" t="inlineStr">
        <is>
          <t>VARBERG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26145-2023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45091</v>
      </c>
      <c r="E1429" s="1" t="n">
        <v>46265</v>
      </c>
      <c r="F1429" t="inlineStr">
        <is>
          <t>HALLANDS LÄN</t>
        </is>
      </c>
      <c r="G1429" t="inlineStr">
        <is>
          <t>KUNGSBACKA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10428-2024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45365</v>
      </c>
      <c r="E1430" s="1" t="n">
        <v>46265</v>
      </c>
      <c r="F1430" t="inlineStr">
        <is>
          <t>HALLANDS LÄN</t>
        </is>
      </c>
      <c r="G1430" t="inlineStr">
        <is>
          <t>VARBERG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33983-2023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45134</v>
      </c>
      <c r="E1431" s="1" t="n">
        <v>46265</v>
      </c>
      <c r="F1431" t="inlineStr">
        <is>
          <t>HALLANDS LÄN</t>
        </is>
      </c>
      <c r="G1431" t="inlineStr">
        <is>
          <t>KUNGSBACKA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19353-2025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45769</v>
      </c>
      <c r="E1432" s="1" t="n">
        <v>46265</v>
      </c>
      <c r="F1432" t="inlineStr">
        <is>
          <t>HALLANDS LÄN</t>
        </is>
      </c>
      <c r="G1432" t="inlineStr">
        <is>
          <t>HYLTE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3178-2023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44946</v>
      </c>
      <c r="E1433" s="1" t="n">
        <v>46265</v>
      </c>
      <c r="F1433" t="inlineStr">
        <is>
          <t>HALLANDS LÄN</t>
        </is>
      </c>
      <c r="G1433" t="inlineStr">
        <is>
          <t>FALKENBERG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9092-2024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45357</v>
      </c>
      <c r="E1434" s="1" t="n">
        <v>46265</v>
      </c>
      <c r="F1434" t="inlineStr">
        <is>
          <t>HALLANDS LÄN</t>
        </is>
      </c>
      <c r="G1434" t="inlineStr">
        <is>
          <t>HALMSTAD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9972-2024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45363</v>
      </c>
      <c r="E1435" s="1" t="n">
        <v>46265</v>
      </c>
      <c r="F1435" t="inlineStr">
        <is>
          <t>HALLANDS LÄN</t>
        </is>
      </c>
      <c r="G1435" t="inlineStr">
        <is>
          <t>LAHOLM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14015-2024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45392</v>
      </c>
      <c r="E1436" s="1" t="n">
        <v>46265</v>
      </c>
      <c r="F1436" t="inlineStr">
        <is>
          <t>HALLANDS LÄN</t>
        </is>
      </c>
      <c r="G1436" t="inlineStr">
        <is>
          <t>HYLTE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2532-2024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45313</v>
      </c>
      <c r="E1437" s="1" t="n">
        <v>46265</v>
      </c>
      <c r="F1437" t="inlineStr">
        <is>
          <t>HALLANDS LÄN</t>
        </is>
      </c>
      <c r="G1437" t="inlineStr">
        <is>
          <t>VARBERG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14585-2024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45395</v>
      </c>
      <c r="E1438" s="1" t="n">
        <v>46265</v>
      </c>
      <c r="F1438" t="inlineStr">
        <is>
          <t>HALLANDS LÄN</t>
        </is>
      </c>
      <c r="G1438" t="inlineStr">
        <is>
          <t>HYLTE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20251-2024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45434</v>
      </c>
      <c r="E1439" s="1" t="n">
        <v>46265</v>
      </c>
      <c r="F1439" t="inlineStr">
        <is>
          <t>HALLANDS LÄN</t>
        </is>
      </c>
      <c r="G1439" t="inlineStr">
        <is>
          <t>FALKENBERG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46295-2024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45581</v>
      </c>
      <c r="E1440" s="1" t="n">
        <v>46265</v>
      </c>
      <c r="F1440" t="inlineStr">
        <is>
          <t>HALLANDS LÄN</t>
        </is>
      </c>
      <c r="G1440" t="inlineStr">
        <is>
          <t>HALMSTAD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50133-2023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45215</v>
      </c>
      <c r="E1441" s="1" t="n">
        <v>46265</v>
      </c>
      <c r="F1441" t="inlineStr">
        <is>
          <t>HALLANDS LÄN</t>
        </is>
      </c>
      <c r="G1441" t="inlineStr">
        <is>
          <t>FALKENBERG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36654-2024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45537</v>
      </c>
      <c r="E1442" s="1" t="n">
        <v>46265</v>
      </c>
      <c r="F1442" t="inlineStr">
        <is>
          <t>HALLANDS LÄN</t>
        </is>
      </c>
      <c r="G1442" t="inlineStr">
        <is>
          <t>KUNGSBACKA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47998-2024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45589</v>
      </c>
      <c r="E1443" s="1" t="n">
        <v>46265</v>
      </c>
      <c r="F1443" t="inlineStr">
        <is>
          <t>HALLANDS LÄN</t>
        </is>
      </c>
      <c r="G1443" t="inlineStr">
        <is>
          <t>HYLTE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55705-2024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45622</v>
      </c>
      <c r="E1444" s="1" t="n">
        <v>46265</v>
      </c>
      <c r="F1444" t="inlineStr">
        <is>
          <t>HALLANDS LÄN</t>
        </is>
      </c>
      <c r="G1444" t="inlineStr">
        <is>
          <t>VARBERG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62662-2025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46265</v>
      </c>
      <c r="F1445" t="inlineStr">
        <is>
          <t>HALLANDS LÄN</t>
        </is>
      </c>
      <c r="G1445" t="inlineStr">
        <is>
          <t>HALMSTAD</t>
        </is>
      </c>
      <c r="H1445" t="inlineStr">
        <is>
          <t>Kommuner</t>
        </is>
      </c>
      <c r="I1445" t="n">
        <v>3.4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59726-2024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45639</v>
      </c>
      <c r="E1446" s="1" t="n">
        <v>46265</v>
      </c>
      <c r="F1446" t="inlineStr">
        <is>
          <t>HALLANDS LÄN</t>
        </is>
      </c>
      <c r="G1446" t="inlineStr">
        <is>
          <t>KUNGSBACKA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38381-2024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45546</v>
      </c>
      <c r="E1447" s="1" t="n">
        <v>46265</v>
      </c>
      <c r="F1447" t="inlineStr">
        <is>
          <t>HALLANDS LÄN</t>
        </is>
      </c>
      <c r="G1447" t="inlineStr">
        <is>
          <t>HYLTE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40316-2024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45554</v>
      </c>
      <c r="E1448" s="1" t="n">
        <v>46265</v>
      </c>
      <c r="F1448" t="inlineStr">
        <is>
          <t>HALLANDS LÄN</t>
        </is>
      </c>
      <c r="G1448" t="inlineStr">
        <is>
          <t>LAHOLM</t>
        </is>
      </c>
      <c r="I1448" t="n">
        <v>4.1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38242-2024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45545</v>
      </c>
      <c r="E1449" s="1" t="n">
        <v>46265</v>
      </c>
      <c r="F1449" t="inlineStr">
        <is>
          <t>HALLANDS LÄN</t>
        </is>
      </c>
      <c r="G1449" t="inlineStr">
        <is>
          <t>LAHOLM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40468-2024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45555</v>
      </c>
      <c r="E1450" s="1" t="n">
        <v>46265</v>
      </c>
      <c r="F1450" t="inlineStr">
        <is>
          <t>HALLANDS LÄN</t>
        </is>
      </c>
      <c r="G1450" t="inlineStr">
        <is>
          <t>LAHOLM</t>
        </is>
      </c>
      <c r="I1450" t="n">
        <v>6.5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30893-2022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44767</v>
      </c>
      <c r="E1451" s="1" t="n">
        <v>46265</v>
      </c>
      <c r="F1451" t="inlineStr">
        <is>
          <t>HALLANDS LÄN</t>
        </is>
      </c>
      <c r="G1451" t="inlineStr">
        <is>
          <t>FALKENBERG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30910-2022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44767</v>
      </c>
      <c r="E1452" s="1" t="n">
        <v>46265</v>
      </c>
      <c r="F1452" t="inlineStr">
        <is>
          <t>HALLANDS LÄN</t>
        </is>
      </c>
      <c r="G1452" t="inlineStr">
        <is>
          <t>VARBERG</t>
        </is>
      </c>
      <c r="I1452" t="n">
        <v>7.4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30917-2022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44767</v>
      </c>
      <c r="E1453" s="1" t="n">
        <v>46265</v>
      </c>
      <c r="F1453" t="inlineStr">
        <is>
          <t>HALLANDS LÄN</t>
        </is>
      </c>
      <c r="G1453" t="inlineStr">
        <is>
          <t>VARBERG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20879-2022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44701</v>
      </c>
      <c r="E1454" s="1" t="n">
        <v>46265</v>
      </c>
      <c r="F1454" t="inlineStr">
        <is>
          <t>HALLANDS LÄN</t>
        </is>
      </c>
      <c r="G1454" t="inlineStr">
        <is>
          <t>HYLTE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35175-2023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45145</v>
      </c>
      <c r="E1455" s="1" t="n">
        <v>46265</v>
      </c>
      <c r="F1455" t="inlineStr">
        <is>
          <t>HALLANDS LÄN</t>
        </is>
      </c>
      <c r="G1455" t="inlineStr">
        <is>
          <t>HYLTE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32992-2024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45517</v>
      </c>
      <c r="E1456" s="1" t="n">
        <v>46265</v>
      </c>
      <c r="F1456" t="inlineStr">
        <is>
          <t>HALLANDS LÄN</t>
        </is>
      </c>
      <c r="G1456" t="inlineStr">
        <is>
          <t>HYLTE</t>
        </is>
      </c>
      <c r="I1456" t="n">
        <v>2.6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14602-2023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45013</v>
      </c>
      <c r="E1457" s="1" t="n">
        <v>46265</v>
      </c>
      <c r="F1457" t="inlineStr">
        <is>
          <t>HALLANDS LÄN</t>
        </is>
      </c>
      <c r="G1457" t="inlineStr">
        <is>
          <t>FALKENBERG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22253-2023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45070</v>
      </c>
      <c r="E1458" s="1" t="n">
        <v>46265</v>
      </c>
      <c r="F1458" t="inlineStr">
        <is>
          <t>HALLANDS LÄN</t>
        </is>
      </c>
      <c r="G1458" t="inlineStr">
        <is>
          <t>LAHOLM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45836-2024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45579</v>
      </c>
      <c r="E1459" s="1" t="n">
        <v>46265</v>
      </c>
      <c r="F1459" t="inlineStr">
        <is>
          <t>HALLANDS LÄN</t>
        </is>
      </c>
      <c r="G1459" t="inlineStr">
        <is>
          <t>HALMSTAD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24087-2023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45079</v>
      </c>
      <c r="E1460" s="1" t="n">
        <v>46265</v>
      </c>
      <c r="F1460" t="inlineStr">
        <is>
          <t>HALLANDS LÄN</t>
        </is>
      </c>
      <c r="G1460" t="inlineStr">
        <is>
          <t>HALMSTAD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52520-2023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45225</v>
      </c>
      <c r="E1461" s="1" t="n">
        <v>46265</v>
      </c>
      <c r="F1461" t="inlineStr">
        <is>
          <t>HALLANDS LÄN</t>
        </is>
      </c>
      <c r="G1461" t="inlineStr">
        <is>
          <t>LAHOLM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6757-2025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45700</v>
      </c>
      <c r="E1462" s="1" t="n">
        <v>46265</v>
      </c>
      <c r="F1462" t="inlineStr">
        <is>
          <t>HALLANDS LÄN</t>
        </is>
      </c>
      <c r="G1462" t="inlineStr">
        <is>
          <t>KUNGSBACKA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9108-2025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45713</v>
      </c>
      <c r="E1463" s="1" t="n">
        <v>46265</v>
      </c>
      <c r="F1463" t="inlineStr">
        <is>
          <t>HALLANDS LÄN</t>
        </is>
      </c>
      <c r="G1463" t="inlineStr">
        <is>
          <t>VARBERG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55116-2023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45230</v>
      </c>
      <c r="E1464" s="1" t="n">
        <v>46265</v>
      </c>
      <c r="F1464" t="inlineStr">
        <is>
          <t>HALLANDS LÄN</t>
        </is>
      </c>
      <c r="G1464" t="inlineStr">
        <is>
          <t>HYLTE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2819-2025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45677</v>
      </c>
      <c r="E1465" s="1" t="n">
        <v>46265</v>
      </c>
      <c r="F1465" t="inlineStr">
        <is>
          <t>HALLANDS LÄN</t>
        </is>
      </c>
      <c r="G1465" t="inlineStr">
        <is>
          <t>HYLTE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2154-2025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45672</v>
      </c>
      <c r="E1466" s="1" t="n">
        <v>46265</v>
      </c>
      <c r="F1466" t="inlineStr">
        <is>
          <t>HALLANDS LÄN</t>
        </is>
      </c>
      <c r="G1466" t="inlineStr">
        <is>
          <t>HYLTE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45672</v>
      </c>
      <c r="E1467" s="1" t="n">
        <v>46265</v>
      </c>
      <c r="F1467" t="inlineStr">
        <is>
          <t>HALLANDS LÄN</t>
        </is>
      </c>
      <c r="G1467" t="inlineStr">
        <is>
          <t>HYLTE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16268-2025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45750</v>
      </c>
      <c r="E1468" s="1" t="n">
        <v>46265</v>
      </c>
      <c r="F1468" t="inlineStr">
        <is>
          <t>HALLANDS LÄN</t>
        </is>
      </c>
      <c r="G1468" t="inlineStr">
        <is>
          <t>HALMSTAD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16675-2025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45754</v>
      </c>
      <c r="E1469" s="1" t="n">
        <v>46265</v>
      </c>
      <c r="F1469" t="inlineStr">
        <is>
          <t>HALLANDS LÄN</t>
        </is>
      </c>
      <c r="G1469" t="inlineStr">
        <is>
          <t>FALKENBERG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12439-2025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45730</v>
      </c>
      <c r="E1470" s="1" t="n">
        <v>46265</v>
      </c>
      <c r="F1470" t="inlineStr">
        <is>
          <t>HALLANDS LÄN</t>
        </is>
      </c>
      <c r="G1470" t="inlineStr">
        <is>
          <t>LAHOLM</t>
        </is>
      </c>
      <c r="I1470" t="n">
        <v>2.6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57397-2021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44483</v>
      </c>
      <c r="E1471" s="1" t="n">
        <v>46265</v>
      </c>
      <c r="F1471" t="inlineStr">
        <is>
          <t>HALLANDS LÄN</t>
        </is>
      </c>
      <c r="G1471" t="inlineStr">
        <is>
          <t>HYLTE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61931-2021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44502</v>
      </c>
      <c r="E1472" s="1" t="n">
        <v>46265</v>
      </c>
      <c r="F1472" t="inlineStr">
        <is>
          <t>HALLANDS LÄN</t>
        </is>
      </c>
      <c r="G1472" t="inlineStr">
        <is>
          <t>FALKENBERG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55792-2021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44476</v>
      </c>
      <c r="E1473" s="1" t="n">
        <v>46265</v>
      </c>
      <c r="F1473" t="inlineStr">
        <is>
          <t>HALLANDS LÄN</t>
        </is>
      </c>
      <c r="G1473" t="inlineStr">
        <is>
          <t>HYLTE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6106-2023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44964</v>
      </c>
      <c r="E1474" s="1" t="n">
        <v>46265</v>
      </c>
      <c r="F1474" t="inlineStr">
        <is>
          <t>HALLANDS LÄN</t>
        </is>
      </c>
      <c r="G1474" t="inlineStr">
        <is>
          <t>HYLTE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13245-2025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45735</v>
      </c>
      <c r="E1475" s="1" t="n">
        <v>46265</v>
      </c>
      <c r="F1475" t="inlineStr">
        <is>
          <t>HALLANDS LÄN</t>
        </is>
      </c>
      <c r="G1475" t="inlineStr">
        <is>
          <t>HYLTE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29819-2023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45107</v>
      </c>
      <c r="E1476" s="1" t="n">
        <v>46265</v>
      </c>
      <c r="F1476" t="inlineStr">
        <is>
          <t>HALLANDS LÄN</t>
        </is>
      </c>
      <c r="G1476" t="inlineStr">
        <is>
          <t>HYLTE</t>
        </is>
      </c>
      <c r="I1476" t="n">
        <v>4.3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29863-2025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45826</v>
      </c>
      <c r="E1477" s="1" t="n">
        <v>46265</v>
      </c>
      <c r="F1477" t="inlineStr">
        <is>
          <t>HALLANDS LÄN</t>
        </is>
      </c>
      <c r="G1477" t="inlineStr">
        <is>
          <t>FALKENBERG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21171-2023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45062</v>
      </c>
      <c r="E1478" s="1" t="n">
        <v>46265</v>
      </c>
      <c r="F1478" t="inlineStr">
        <is>
          <t>HALLANDS LÄN</t>
        </is>
      </c>
      <c r="G1478" t="inlineStr">
        <is>
          <t>KUNGSBACKA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21306-2023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45062</v>
      </c>
      <c r="E1479" s="1" t="n">
        <v>46265</v>
      </c>
      <c r="F1479" t="inlineStr">
        <is>
          <t>HALLANDS LÄN</t>
        </is>
      </c>
      <c r="G1479" t="inlineStr">
        <is>
          <t>KUNGSBACKA</t>
        </is>
      </c>
      <c r="I1479" t="n">
        <v>3.9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26602-2022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44739</v>
      </c>
      <c r="E1480" s="1" t="n">
        <v>46265</v>
      </c>
      <c r="F1480" t="inlineStr">
        <is>
          <t>HALLANDS LÄN</t>
        </is>
      </c>
      <c r="G1480" t="inlineStr">
        <is>
          <t>HYLTE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53909-2022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44880</v>
      </c>
      <c r="E1481" s="1" t="n">
        <v>46265</v>
      </c>
      <c r="F1481" t="inlineStr">
        <is>
          <t>HALLANDS LÄN</t>
        </is>
      </c>
      <c r="G1481" t="inlineStr">
        <is>
          <t>LAHOLM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2088-2024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45309</v>
      </c>
      <c r="E1482" s="1" t="n">
        <v>46265</v>
      </c>
      <c r="F1482" t="inlineStr">
        <is>
          <t>HALLANDS LÄN</t>
        </is>
      </c>
      <c r="G1482" t="inlineStr">
        <is>
          <t>HYLTE</t>
        </is>
      </c>
      <c r="I1482" t="n">
        <v>8.1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63808-2021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44508</v>
      </c>
      <c r="E1483" s="1" t="n">
        <v>46265</v>
      </c>
      <c r="F1483" t="inlineStr">
        <is>
          <t>HALLANDS LÄN</t>
        </is>
      </c>
      <c r="G1483" t="inlineStr">
        <is>
          <t>HYLTE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55865-2024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45623</v>
      </c>
      <c r="E1484" s="1" t="n">
        <v>46265</v>
      </c>
      <c r="F1484" t="inlineStr">
        <is>
          <t>HALLANDS LÄN</t>
        </is>
      </c>
      <c r="G1484" t="inlineStr">
        <is>
          <t>HYLTE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58109-2023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45249</v>
      </c>
      <c r="E1485" s="1" t="n">
        <v>46265</v>
      </c>
      <c r="F1485" t="inlineStr">
        <is>
          <t>HALLANDS LÄN</t>
        </is>
      </c>
      <c r="G1485" t="inlineStr">
        <is>
          <t>FALKENBERG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58417-2023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45250</v>
      </c>
      <c r="E1486" s="1" t="n">
        <v>46265</v>
      </c>
      <c r="F1486" t="inlineStr">
        <is>
          <t>HALLANDS LÄN</t>
        </is>
      </c>
      <c r="G1486" t="inlineStr">
        <is>
          <t>FALKENBERG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59353-2023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45252</v>
      </c>
      <c r="E1487" s="1" t="n">
        <v>46265</v>
      </c>
      <c r="F1487" t="inlineStr">
        <is>
          <t>HALLANDS LÄN</t>
        </is>
      </c>
      <c r="G1487" t="inlineStr">
        <is>
          <t>HYLTE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58779-2024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45635</v>
      </c>
      <c r="E1488" s="1" t="n">
        <v>46265</v>
      </c>
      <c r="F1488" t="inlineStr">
        <is>
          <t>HALLANDS LÄN</t>
        </is>
      </c>
      <c r="G1488" t="inlineStr">
        <is>
          <t>KUNGSBACKA</t>
        </is>
      </c>
      <c r="I1488" t="n">
        <v>3.7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47996-2024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45589</v>
      </c>
      <c r="E1489" s="1" t="n">
        <v>46265</v>
      </c>
      <c r="F1489" t="inlineStr">
        <is>
          <t>HALLANDS LÄN</t>
        </is>
      </c>
      <c r="G1489" t="inlineStr">
        <is>
          <t>HYLTE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58771-2024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45635</v>
      </c>
      <c r="E1490" s="1" t="n">
        <v>46265</v>
      </c>
      <c r="F1490" t="inlineStr">
        <is>
          <t>HALLANDS LÄN</t>
        </is>
      </c>
      <c r="G1490" t="inlineStr">
        <is>
          <t>LAHOLM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56652-2023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45243</v>
      </c>
      <c r="E1491" s="1" t="n">
        <v>46265</v>
      </c>
      <c r="F1491" t="inlineStr">
        <is>
          <t>HALLANDS LÄN</t>
        </is>
      </c>
      <c r="G1491" t="inlineStr">
        <is>
          <t>FALKENBERG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44866-2023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45190</v>
      </c>
      <c r="E1492" s="1" t="n">
        <v>46265</v>
      </c>
      <c r="F1492" t="inlineStr">
        <is>
          <t>HALLANDS LÄN</t>
        </is>
      </c>
      <c r="G1492" t="inlineStr">
        <is>
          <t>HYLTE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41855-2024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45561</v>
      </c>
      <c r="E1493" s="1" t="n">
        <v>46265</v>
      </c>
      <c r="F1493" t="inlineStr">
        <is>
          <t>HALLANDS LÄN</t>
        </is>
      </c>
      <c r="G1493" t="inlineStr">
        <is>
          <t>KUNGSBACKA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39143-2022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44817</v>
      </c>
      <c r="E1494" s="1" t="n">
        <v>46265</v>
      </c>
      <c r="F1494" t="inlineStr">
        <is>
          <t>HALLANDS LÄN</t>
        </is>
      </c>
      <c r="G1494" t="inlineStr">
        <is>
          <t>HYLTE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36980-2025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45874</v>
      </c>
      <c r="E1495" s="1" t="n">
        <v>46265</v>
      </c>
      <c r="F1495" t="inlineStr">
        <is>
          <t>HALLANDS LÄN</t>
        </is>
      </c>
      <c r="G1495" t="inlineStr">
        <is>
          <t>HALMSTAD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36812-2025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45873</v>
      </c>
      <c r="E1496" s="1" t="n">
        <v>46265</v>
      </c>
      <c r="F1496" t="inlineStr">
        <is>
          <t>HALLANDS LÄN</t>
        </is>
      </c>
      <c r="G1496" t="inlineStr">
        <is>
          <t>VARBERG</t>
        </is>
      </c>
      <c r="I1496" t="n">
        <v>2.5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46316-2024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45581</v>
      </c>
      <c r="E1497" s="1" t="n">
        <v>46265</v>
      </c>
      <c r="F1497" t="inlineStr">
        <is>
          <t>HALLANDS LÄN</t>
        </is>
      </c>
      <c r="G1497" t="inlineStr">
        <is>
          <t>HALMSTAD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29868-2025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45826</v>
      </c>
      <c r="E1498" s="1" t="n">
        <v>46265</v>
      </c>
      <c r="F1498" t="inlineStr">
        <is>
          <t>HALLANDS LÄN</t>
        </is>
      </c>
      <c r="G1498" t="inlineStr">
        <is>
          <t>LAHOLM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44551-2024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45574</v>
      </c>
      <c r="E1499" s="1" t="n">
        <v>46265</v>
      </c>
      <c r="F1499" t="inlineStr">
        <is>
          <t>HALLANDS LÄN</t>
        </is>
      </c>
      <c r="G1499" t="inlineStr">
        <is>
          <t>HYLTE</t>
        </is>
      </c>
      <c r="I1499" t="n">
        <v>13.3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45281-2024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45576</v>
      </c>
      <c r="E1500" s="1" t="n">
        <v>46265</v>
      </c>
      <c r="F1500" t="inlineStr">
        <is>
          <t>HALLANDS LÄN</t>
        </is>
      </c>
      <c r="G1500" t="inlineStr">
        <is>
          <t>KUNGSBACKA</t>
        </is>
      </c>
      <c r="I1500" t="n">
        <v>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38372-2024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45545</v>
      </c>
      <c r="E1501" s="1" t="n">
        <v>46265</v>
      </c>
      <c r="F1501" t="inlineStr">
        <is>
          <t>HALLANDS LÄN</t>
        </is>
      </c>
      <c r="G1501" t="inlineStr">
        <is>
          <t>HYLTE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40465-2024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45555</v>
      </c>
      <c r="E1502" s="1" t="n">
        <v>46265</v>
      </c>
      <c r="F1502" t="inlineStr">
        <is>
          <t>HALLANDS LÄN</t>
        </is>
      </c>
      <c r="G1502" t="inlineStr">
        <is>
          <t>LAHOLM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63674-2023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45275</v>
      </c>
      <c r="E1503" s="1" t="n">
        <v>46265</v>
      </c>
      <c r="F1503" t="inlineStr">
        <is>
          <t>HALLANDS LÄN</t>
        </is>
      </c>
      <c r="G1503" t="inlineStr">
        <is>
          <t>LAHOLM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37136-2025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45874</v>
      </c>
      <c r="E1504" s="1" t="n">
        <v>46265</v>
      </c>
      <c r="F1504" t="inlineStr">
        <is>
          <t>HALLANDS LÄN</t>
        </is>
      </c>
      <c r="G1504" t="inlineStr">
        <is>
          <t>HALMSTAD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37138-2025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45874</v>
      </c>
      <c r="E1505" s="1" t="n">
        <v>46265</v>
      </c>
      <c r="F1505" t="inlineStr">
        <is>
          <t>HALLANDS LÄN</t>
        </is>
      </c>
      <c r="G1505" t="inlineStr">
        <is>
          <t>HALMSTAD</t>
        </is>
      </c>
      <c r="I1505" t="n">
        <v>2.8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6123-2023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44964</v>
      </c>
      <c r="E1506" s="1" t="n">
        <v>46265</v>
      </c>
      <c r="F1506" t="inlineStr">
        <is>
          <t>HALLANDS LÄN</t>
        </is>
      </c>
      <c r="G1506" t="inlineStr">
        <is>
          <t>LAHOLM</t>
        </is>
      </c>
      <c r="I1506" t="n">
        <v>5.7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61779-2022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44917</v>
      </c>
      <c r="E1507" s="1" t="n">
        <v>46265</v>
      </c>
      <c r="F1507" t="inlineStr">
        <is>
          <t>HALLANDS LÄN</t>
        </is>
      </c>
      <c r="G1507" t="inlineStr">
        <is>
          <t>HALMSTAD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52325-2024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45609</v>
      </c>
      <c r="E1508" s="1" t="n">
        <v>46265</v>
      </c>
      <c r="F1508" t="inlineStr">
        <is>
          <t>HALLANDS LÄN</t>
        </is>
      </c>
      <c r="G1508" t="inlineStr">
        <is>
          <t>VARBERG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62664-2022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44925</v>
      </c>
      <c r="E1509" s="1" t="n">
        <v>46265</v>
      </c>
      <c r="F1509" t="inlineStr">
        <is>
          <t>HALLANDS LÄN</t>
        </is>
      </c>
      <c r="G1509" t="inlineStr">
        <is>
          <t>KUNGSBACKA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8575-2023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44977</v>
      </c>
      <c r="E1510" s="1" t="n">
        <v>46265</v>
      </c>
      <c r="F1510" t="inlineStr">
        <is>
          <t>HALLANDS LÄN</t>
        </is>
      </c>
      <c r="G1510" t="inlineStr">
        <is>
          <t>LAHOLM</t>
        </is>
      </c>
      <c r="I1510" t="n">
        <v>6.1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2562-2023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44943</v>
      </c>
      <c r="E1511" s="1" t="n">
        <v>46265</v>
      </c>
      <c r="F1511" t="inlineStr">
        <is>
          <t>HALLANDS LÄN</t>
        </is>
      </c>
      <c r="G1511" t="inlineStr">
        <is>
          <t>FALKENBERG</t>
        </is>
      </c>
      <c r="H1511" t="inlineStr">
        <is>
          <t>Bergvik skog väst AB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2566-2023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44943</v>
      </c>
      <c r="E1512" s="1" t="n">
        <v>46265</v>
      </c>
      <c r="F1512" t="inlineStr">
        <is>
          <t>HALLANDS LÄN</t>
        </is>
      </c>
      <c r="G1512" t="inlineStr">
        <is>
          <t>FALKENBERG</t>
        </is>
      </c>
      <c r="H1512" t="inlineStr">
        <is>
          <t>Bergvik skog väst AB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35603-2023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45147</v>
      </c>
      <c r="E1513" s="1" t="n">
        <v>46265</v>
      </c>
      <c r="F1513" t="inlineStr">
        <is>
          <t>HALLANDS LÄN</t>
        </is>
      </c>
      <c r="G1513" t="inlineStr">
        <is>
          <t>LAHOLM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28789-2023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46265</v>
      </c>
      <c r="F1514" t="inlineStr">
        <is>
          <t>HALLANDS LÄN</t>
        </is>
      </c>
      <c r="G1514" t="inlineStr">
        <is>
          <t>LAHOLM</t>
        </is>
      </c>
      <c r="I1514" t="n">
        <v>10.8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40846-2023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45172</v>
      </c>
      <c r="E1515" s="1" t="n">
        <v>46265</v>
      </c>
      <c r="F1515" t="inlineStr">
        <is>
          <t>HALLANDS LÄN</t>
        </is>
      </c>
      <c r="G1515" t="inlineStr">
        <is>
          <t>HALMSTAD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46845-2023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45199</v>
      </c>
      <c r="E1516" s="1" t="n">
        <v>46265</v>
      </c>
      <c r="F1516" t="inlineStr">
        <is>
          <t>HALLANDS LÄN</t>
        </is>
      </c>
      <c r="G1516" t="inlineStr">
        <is>
          <t>HYLTE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43581-2023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45184</v>
      </c>
      <c r="E1517" s="1" t="n">
        <v>46265</v>
      </c>
      <c r="F1517" t="inlineStr">
        <is>
          <t>HALLANDS LÄN</t>
        </is>
      </c>
      <c r="G1517" t="inlineStr">
        <is>
          <t>FALKENBERG</t>
        </is>
      </c>
      <c r="I1517" t="n">
        <v>2.2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46148-2023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45190</v>
      </c>
      <c r="E1518" s="1" t="n">
        <v>46265</v>
      </c>
      <c r="F1518" t="inlineStr">
        <is>
          <t>HALLANDS LÄN</t>
        </is>
      </c>
      <c r="G1518" t="inlineStr">
        <is>
          <t>HYLTE</t>
        </is>
      </c>
      <c r="H1518" t="inlineStr">
        <is>
          <t>Bergvik skog väst AB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43437-2023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45184</v>
      </c>
      <c r="E1519" s="1" t="n">
        <v>46265</v>
      </c>
      <c r="F1519" t="inlineStr">
        <is>
          <t>HALLANDS LÄN</t>
        </is>
      </c>
      <c r="G1519" t="inlineStr">
        <is>
          <t>LAHOLM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43576-2023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45184</v>
      </c>
      <c r="E1520" s="1" t="n">
        <v>46265</v>
      </c>
      <c r="F1520" t="inlineStr">
        <is>
          <t>HALLANDS LÄN</t>
        </is>
      </c>
      <c r="G1520" t="inlineStr">
        <is>
          <t>FALKENBERG</t>
        </is>
      </c>
      <c r="I1520" t="n">
        <v>5.6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43610-2023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45184</v>
      </c>
      <c r="E1521" s="1" t="n">
        <v>46265</v>
      </c>
      <c r="F1521" t="inlineStr">
        <is>
          <t>HALLANDS LÄN</t>
        </is>
      </c>
      <c r="G1521" t="inlineStr">
        <is>
          <t>FALKENBERG</t>
        </is>
      </c>
      <c r="I1521" t="n">
        <v>3.2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22003-2024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45443</v>
      </c>
      <c r="E1522" s="1" t="n">
        <v>46265</v>
      </c>
      <c r="F1522" t="inlineStr">
        <is>
          <t>HALLANDS LÄN</t>
        </is>
      </c>
      <c r="G1522" t="inlineStr">
        <is>
          <t>KUNGSBACKA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24375-2023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45082</v>
      </c>
      <c r="E1523" s="1" t="n">
        <v>46265</v>
      </c>
      <c r="F1523" t="inlineStr">
        <is>
          <t>HALLANDS LÄN</t>
        </is>
      </c>
      <c r="G1523" t="inlineStr">
        <is>
          <t>HALMSTAD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57211-2022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44889</v>
      </c>
      <c r="E1524" s="1" t="n">
        <v>46265</v>
      </c>
      <c r="F1524" t="inlineStr">
        <is>
          <t>HALLANDS LÄN</t>
        </is>
      </c>
      <c r="G1524" t="inlineStr">
        <is>
          <t>HYLTE</t>
        </is>
      </c>
      <c r="I1524" t="n">
        <v>2.6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63675-2023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45275</v>
      </c>
      <c r="E1525" s="1" t="n">
        <v>46265</v>
      </c>
      <c r="F1525" t="inlineStr">
        <is>
          <t>HALLANDS LÄN</t>
        </is>
      </c>
      <c r="G1525" t="inlineStr">
        <is>
          <t>LAHOLM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39464-2022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44818</v>
      </c>
      <c r="E1526" s="1" t="n">
        <v>46265</v>
      </c>
      <c r="F1526" t="inlineStr">
        <is>
          <t>HALLANDS LÄN</t>
        </is>
      </c>
      <c r="G1526" t="inlineStr">
        <is>
          <t>VARBERG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42566-2022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44831</v>
      </c>
      <c r="E1527" s="1" t="n">
        <v>46265</v>
      </c>
      <c r="F1527" t="inlineStr">
        <is>
          <t>HALLANDS LÄN</t>
        </is>
      </c>
      <c r="G1527" t="inlineStr">
        <is>
          <t>VARBERG</t>
        </is>
      </c>
      <c r="I1527" t="n">
        <v>5.8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55858-2024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45623</v>
      </c>
      <c r="E1528" s="1" t="n">
        <v>46265</v>
      </c>
      <c r="F1528" t="inlineStr">
        <is>
          <t>HALLANDS LÄN</t>
        </is>
      </c>
      <c r="G1528" t="inlineStr">
        <is>
          <t>HYLTE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27021-2022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44740</v>
      </c>
      <c r="E1529" s="1" t="n">
        <v>46265</v>
      </c>
      <c r="F1529" t="inlineStr">
        <is>
          <t>HALLANDS LÄN</t>
        </is>
      </c>
      <c r="G1529" t="inlineStr">
        <is>
          <t>VARBERG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37051-2025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45875</v>
      </c>
      <c r="E1530" s="1" t="n">
        <v>46265</v>
      </c>
      <c r="F1530" t="inlineStr">
        <is>
          <t>HALLANDS LÄN</t>
        </is>
      </c>
      <c r="G1530" t="inlineStr">
        <is>
          <t>KUNGSBACKA</t>
        </is>
      </c>
      <c r="I1530" t="n">
        <v>0.6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37270-2025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45876</v>
      </c>
      <c r="E1531" s="1" t="n">
        <v>46265</v>
      </c>
      <c r="F1531" t="inlineStr">
        <is>
          <t>HALLANDS LÄN</t>
        </is>
      </c>
      <c r="G1531" t="inlineStr">
        <is>
          <t>HALMSTAD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37324-2025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45876</v>
      </c>
      <c r="E1532" s="1" t="n">
        <v>46265</v>
      </c>
      <c r="F1532" t="inlineStr">
        <is>
          <t>HALLANDS LÄN</t>
        </is>
      </c>
      <c r="G1532" t="inlineStr">
        <is>
          <t>HYLTE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37675-2025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45880</v>
      </c>
      <c r="E1533" s="1" t="n">
        <v>46265</v>
      </c>
      <c r="F1533" t="inlineStr">
        <is>
          <t>HALLANDS LÄN</t>
        </is>
      </c>
      <c r="G1533" t="inlineStr">
        <is>
          <t>HYLTE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37596-2025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45880</v>
      </c>
      <c r="E1534" s="1" t="n">
        <v>46265</v>
      </c>
      <c r="F1534" t="inlineStr">
        <is>
          <t>HALLANDS LÄN</t>
        </is>
      </c>
      <c r="G1534" t="inlineStr">
        <is>
          <t>HYLTE</t>
        </is>
      </c>
      <c r="I1534" t="n">
        <v>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37745-2025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45880</v>
      </c>
      <c r="E1535" s="1" t="n">
        <v>46265</v>
      </c>
      <c r="F1535" t="inlineStr">
        <is>
          <t>HALLANDS LÄN</t>
        </is>
      </c>
      <c r="G1535" t="inlineStr">
        <is>
          <t>HALMSTAD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24045-2024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45456</v>
      </c>
      <c r="E1536" s="1" t="n">
        <v>46265</v>
      </c>
      <c r="F1536" t="inlineStr">
        <is>
          <t>HALLANDS LÄN</t>
        </is>
      </c>
      <c r="G1536" t="inlineStr">
        <is>
          <t>HYLTE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37428-2025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45877</v>
      </c>
      <c r="E1537" s="1" t="n">
        <v>46265</v>
      </c>
      <c r="F1537" t="inlineStr">
        <is>
          <t>HALLANDS LÄN</t>
        </is>
      </c>
      <c r="G1537" t="inlineStr">
        <is>
          <t>HYLTE</t>
        </is>
      </c>
      <c r="I1537" t="n">
        <v>7.1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26432-2023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45092</v>
      </c>
      <c r="E1538" s="1" t="n">
        <v>46265</v>
      </c>
      <c r="F1538" t="inlineStr">
        <is>
          <t>HALLANDS LÄN</t>
        </is>
      </c>
      <c r="G1538" t="inlineStr">
        <is>
          <t>HYLTE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62812-2025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46008</v>
      </c>
      <c r="E1539" s="1" t="n">
        <v>46265</v>
      </c>
      <c r="F1539" t="inlineStr">
        <is>
          <t>HALLANDS LÄN</t>
        </is>
      </c>
      <c r="G1539" t="inlineStr">
        <is>
          <t>HALMSTAD</t>
        </is>
      </c>
      <c r="H1539" t="inlineStr">
        <is>
          <t>Kommuner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37365-2025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45877</v>
      </c>
      <c r="E1540" s="1" t="n">
        <v>46265</v>
      </c>
      <c r="F1540" t="inlineStr">
        <is>
          <t>HALLANDS LÄN</t>
        </is>
      </c>
      <c r="G1540" t="inlineStr">
        <is>
          <t>VARBERG</t>
        </is>
      </c>
      <c r="I1540" t="n">
        <v>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20645-2023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45058</v>
      </c>
      <c r="E1541" s="1" t="n">
        <v>46265</v>
      </c>
      <c r="F1541" t="inlineStr">
        <is>
          <t>HALLANDS LÄN</t>
        </is>
      </c>
      <c r="G1541" t="inlineStr">
        <is>
          <t>VARBERG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51302-2021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44461</v>
      </c>
      <c r="E1542" s="1" t="n">
        <v>46265</v>
      </c>
      <c r="F1542" t="inlineStr">
        <is>
          <t>HALLANDS LÄN</t>
        </is>
      </c>
      <c r="G1542" t="inlineStr">
        <is>
          <t>HALMSTAD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1277-2025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45667</v>
      </c>
      <c r="E1543" s="1" t="n">
        <v>46265</v>
      </c>
      <c r="F1543" t="inlineStr">
        <is>
          <t>HALLANDS LÄN</t>
        </is>
      </c>
      <c r="G1543" t="inlineStr">
        <is>
          <t>FALKENBERG</t>
        </is>
      </c>
      <c r="H1543" t="inlineStr">
        <is>
          <t>Kyrkan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37673-2025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46265</v>
      </c>
      <c r="F1544" t="inlineStr">
        <is>
          <t>HALLANDS LÄN</t>
        </is>
      </c>
      <c r="G1544" t="inlineStr">
        <is>
          <t>HYLTE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7810-2025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45706</v>
      </c>
      <c r="E1545" s="1" t="n">
        <v>46265</v>
      </c>
      <c r="F1545" t="inlineStr">
        <is>
          <t>HALLANDS LÄN</t>
        </is>
      </c>
      <c r="G1545" t="inlineStr">
        <is>
          <t>KUNGSBACKA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62553-2025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46007</v>
      </c>
      <c r="E1546" s="1" t="n">
        <v>46265</v>
      </c>
      <c r="F1546" t="inlineStr">
        <is>
          <t>HALLANDS LÄN</t>
        </is>
      </c>
      <c r="G1546" t="inlineStr">
        <is>
          <t>VARBERG</t>
        </is>
      </c>
      <c r="I1546" t="n">
        <v>6.8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24964-2024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45461</v>
      </c>
      <c r="E1547" s="1" t="n">
        <v>46265</v>
      </c>
      <c r="F1547" t="inlineStr">
        <is>
          <t>HALLANDS LÄN</t>
        </is>
      </c>
      <c r="G1547" t="inlineStr">
        <is>
          <t>KUNGSBACKA</t>
        </is>
      </c>
      <c r="H1547" t="inlineStr">
        <is>
          <t>Kommuner</t>
        </is>
      </c>
      <c r="I1547" t="n">
        <v>3.2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47412-2023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45202</v>
      </c>
      <c r="E1548" s="1" t="n">
        <v>46265</v>
      </c>
      <c r="F1548" t="inlineStr">
        <is>
          <t>HALLANDS LÄN</t>
        </is>
      </c>
      <c r="G1548" t="inlineStr">
        <is>
          <t>FALKENBERG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37595-2025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45880</v>
      </c>
      <c r="E1549" s="1" t="n">
        <v>46265</v>
      </c>
      <c r="F1549" t="inlineStr">
        <is>
          <t>HALLANDS LÄN</t>
        </is>
      </c>
      <c r="G1549" t="inlineStr">
        <is>
          <t>HYLTE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33461-2023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45131</v>
      </c>
      <c r="E1550" s="1" t="n">
        <v>46265</v>
      </c>
      <c r="F1550" t="inlineStr">
        <is>
          <t>HALLANDS LÄN</t>
        </is>
      </c>
      <c r="G1550" t="inlineStr">
        <is>
          <t>VARBERG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53182-2023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45229</v>
      </c>
      <c r="E1551" s="1" t="n">
        <v>46265</v>
      </c>
      <c r="F1551" t="inlineStr">
        <is>
          <t>HALLANDS LÄN</t>
        </is>
      </c>
      <c r="G1551" t="inlineStr">
        <is>
          <t>HYLTE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13214-2023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45002</v>
      </c>
      <c r="E1552" s="1" t="n">
        <v>46265</v>
      </c>
      <c r="F1552" t="inlineStr">
        <is>
          <t>HALLANDS LÄN</t>
        </is>
      </c>
      <c r="G1552" t="inlineStr">
        <is>
          <t>HYLTE</t>
        </is>
      </c>
      <c r="I1552" t="n">
        <v>3.9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20694-2023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45058</v>
      </c>
      <c r="E1553" s="1" t="n">
        <v>46265</v>
      </c>
      <c r="F1553" t="inlineStr">
        <is>
          <t>HALLANDS LÄN</t>
        </is>
      </c>
      <c r="G1553" t="inlineStr">
        <is>
          <t>FALKENBERG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14895-2023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45015</v>
      </c>
      <c r="E1554" s="1" t="n">
        <v>46265</v>
      </c>
      <c r="F1554" t="inlineStr">
        <is>
          <t>HALLANDS LÄN</t>
        </is>
      </c>
      <c r="G1554" t="inlineStr">
        <is>
          <t>FALKENBERG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62740-2023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45271</v>
      </c>
      <c r="E1555" s="1" t="n">
        <v>46265</v>
      </c>
      <c r="F1555" t="inlineStr">
        <is>
          <t>HALLANDS LÄN</t>
        </is>
      </c>
      <c r="G1555" t="inlineStr">
        <is>
          <t>VARBERG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29718-2023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45107</v>
      </c>
      <c r="E1556" s="1" t="n">
        <v>46265</v>
      </c>
      <c r="F1556" t="inlineStr">
        <is>
          <t>HALLANDS LÄN</t>
        </is>
      </c>
      <c r="G1556" t="inlineStr">
        <is>
          <t>HYLTE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12632-2023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45000</v>
      </c>
      <c r="E1557" s="1" t="n">
        <v>46265</v>
      </c>
      <c r="F1557" t="inlineStr">
        <is>
          <t>HALLANDS LÄN</t>
        </is>
      </c>
      <c r="G1557" t="inlineStr">
        <is>
          <t>HALMSTAD</t>
        </is>
      </c>
      <c r="I1557" t="n">
        <v>3.4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8705-2024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45356</v>
      </c>
      <c r="E1558" s="1" t="n">
        <v>46265</v>
      </c>
      <c r="F1558" t="inlineStr">
        <is>
          <t>HALLANDS LÄN</t>
        </is>
      </c>
      <c r="G1558" t="inlineStr">
        <is>
          <t>HALMSTAD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24699-2023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45084</v>
      </c>
      <c r="E1559" s="1" t="n">
        <v>46265</v>
      </c>
      <c r="F1559" t="inlineStr">
        <is>
          <t>HALLANDS LÄN</t>
        </is>
      </c>
      <c r="G1559" t="inlineStr">
        <is>
          <t>FALKENBERG</t>
        </is>
      </c>
      <c r="I1559" t="n">
        <v>8.1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19893-2025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45771</v>
      </c>
      <c r="E1560" s="1" t="n">
        <v>46265</v>
      </c>
      <c r="F1560" t="inlineStr">
        <is>
          <t>HALLANDS LÄN</t>
        </is>
      </c>
      <c r="G1560" t="inlineStr">
        <is>
          <t>VARBERG</t>
        </is>
      </c>
      <c r="I1560" t="n">
        <v>3.9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61261-2024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45645</v>
      </c>
      <c r="E1561" s="1" t="n">
        <v>46265</v>
      </c>
      <c r="F1561" t="inlineStr">
        <is>
          <t>HALLANDS LÄN</t>
        </is>
      </c>
      <c r="G1561" t="inlineStr">
        <is>
          <t>HYLTE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6036-2023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44964</v>
      </c>
      <c r="E1562" s="1" t="n">
        <v>46265</v>
      </c>
      <c r="F1562" t="inlineStr">
        <is>
          <t>HALLANDS LÄN</t>
        </is>
      </c>
      <c r="G1562" t="inlineStr">
        <is>
          <t>FALKENBERG</t>
        </is>
      </c>
      <c r="I1562" t="n">
        <v>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6087-2023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44964</v>
      </c>
      <c r="E1563" s="1" t="n">
        <v>46265</v>
      </c>
      <c r="F1563" t="inlineStr">
        <is>
          <t>HALLANDS LÄN</t>
        </is>
      </c>
      <c r="G1563" t="inlineStr">
        <is>
          <t>HALMSTAD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49492-2024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45596</v>
      </c>
      <c r="E1564" s="1" t="n">
        <v>46265</v>
      </c>
      <c r="F1564" t="inlineStr">
        <is>
          <t>HALLANDS LÄN</t>
        </is>
      </c>
      <c r="G1564" t="inlineStr">
        <is>
          <t>KUNGSBACKA</t>
        </is>
      </c>
      <c r="I1564" t="n">
        <v>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27286-2023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45096</v>
      </c>
      <c r="E1565" s="1" t="n">
        <v>46265</v>
      </c>
      <c r="F1565" t="inlineStr">
        <is>
          <t>HALLANDS LÄN</t>
        </is>
      </c>
      <c r="G1565" t="inlineStr">
        <is>
          <t>VARBERG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27287-2023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45096</v>
      </c>
      <c r="E1566" s="1" t="n">
        <v>46265</v>
      </c>
      <c r="F1566" t="inlineStr">
        <is>
          <t>HALLANDS LÄN</t>
        </is>
      </c>
      <c r="G1566" t="inlineStr">
        <is>
          <t>KUNGSBACKA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14987-2023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45015</v>
      </c>
      <c r="E1567" s="1" t="n">
        <v>46265</v>
      </c>
      <c r="F1567" t="inlineStr">
        <is>
          <t>HALLANDS LÄN</t>
        </is>
      </c>
      <c r="G1567" t="inlineStr">
        <is>
          <t>HALMSTAD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27432-2024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45474</v>
      </c>
      <c r="E1568" s="1" t="n">
        <v>46265</v>
      </c>
      <c r="F1568" t="inlineStr">
        <is>
          <t>HALLANDS LÄN</t>
        </is>
      </c>
      <c r="G1568" t="inlineStr">
        <is>
          <t>FALKENBERG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52820-2024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45610</v>
      </c>
      <c r="E1569" s="1" t="n">
        <v>46265</v>
      </c>
      <c r="F1569" t="inlineStr">
        <is>
          <t>HALLANDS LÄN</t>
        </is>
      </c>
      <c r="G1569" t="inlineStr">
        <is>
          <t>HALMSTAD</t>
        </is>
      </c>
      <c r="H1569" t="inlineStr">
        <is>
          <t>Kyrkan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35134-2023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45145</v>
      </c>
      <c r="E1570" s="1" t="n">
        <v>46265</v>
      </c>
      <c r="F1570" t="inlineStr">
        <is>
          <t>HALLANDS LÄN</t>
        </is>
      </c>
      <c r="G1570" t="inlineStr">
        <is>
          <t>HYLTE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37571-2023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45159</v>
      </c>
      <c r="E1571" s="1" t="n">
        <v>46265</v>
      </c>
      <c r="F1571" t="inlineStr">
        <is>
          <t>HALLANDS LÄN</t>
        </is>
      </c>
      <c r="G1571" t="inlineStr">
        <is>
          <t>HALMSTAD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13052-2023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45002</v>
      </c>
      <c r="E1572" s="1" t="n">
        <v>46265</v>
      </c>
      <c r="F1572" t="inlineStr">
        <is>
          <t>HALLANDS LÄN</t>
        </is>
      </c>
      <c r="G1572" t="inlineStr">
        <is>
          <t>LAHOLM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9409-2024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45359</v>
      </c>
      <c r="E1573" s="1" t="n">
        <v>46265</v>
      </c>
      <c r="F1573" t="inlineStr">
        <is>
          <t>HALLANDS LÄN</t>
        </is>
      </c>
      <c r="G1573" t="inlineStr">
        <is>
          <t>KUNGSBACKA</t>
        </is>
      </c>
      <c r="H1573" t="inlineStr">
        <is>
          <t>Kyrkan</t>
        </is>
      </c>
      <c r="I1573" t="n">
        <v>0.1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9412-2024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46265</v>
      </c>
      <c r="F1574" t="inlineStr">
        <is>
          <t>HALLANDS LÄN</t>
        </is>
      </c>
      <c r="G1574" t="inlineStr">
        <is>
          <t>KUNGSBACKA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38467-2025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45883</v>
      </c>
      <c r="E1575" s="1" t="n">
        <v>46265</v>
      </c>
      <c r="F1575" t="inlineStr">
        <is>
          <t>HALLANDS LÄN</t>
        </is>
      </c>
      <c r="G1575" t="inlineStr">
        <is>
          <t>HALMSTAD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62353-2025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46265</v>
      </c>
      <c r="F1576" t="inlineStr">
        <is>
          <t>HALLANDS LÄN</t>
        </is>
      </c>
      <c r="G1576" t="inlineStr">
        <is>
          <t>VARBERG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62354-2025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46007</v>
      </c>
      <c r="E1577" s="1" t="n">
        <v>46265</v>
      </c>
      <c r="F1577" t="inlineStr">
        <is>
          <t>HALLANDS LÄN</t>
        </is>
      </c>
      <c r="G1577" t="inlineStr">
        <is>
          <t>VARBERG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62583-2025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46007</v>
      </c>
      <c r="E1578" s="1" t="n">
        <v>46265</v>
      </c>
      <c r="F1578" t="inlineStr">
        <is>
          <t>HALLANDS LÄN</t>
        </is>
      </c>
      <c r="G1578" t="inlineStr">
        <is>
          <t>HALMSTAD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62608-2025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46008</v>
      </c>
      <c r="E1579" s="1" t="n">
        <v>46265</v>
      </c>
      <c r="F1579" t="inlineStr">
        <is>
          <t>HALLANDS LÄN</t>
        </is>
      </c>
      <c r="G1579" t="inlineStr">
        <is>
          <t>VARBERG</t>
        </is>
      </c>
      <c r="I1579" t="n">
        <v>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8350-2023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44977</v>
      </c>
      <c r="E1580" s="1" t="n">
        <v>46265</v>
      </c>
      <c r="F1580" t="inlineStr">
        <is>
          <t>HALLANDS LÄN</t>
        </is>
      </c>
      <c r="G1580" t="inlineStr">
        <is>
          <t>FALKENBERG</t>
        </is>
      </c>
      <c r="H1580" t="inlineStr">
        <is>
          <t>Bergvik skog väst AB</t>
        </is>
      </c>
      <c r="I1580" t="n">
        <v>6.3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62356-2025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46007</v>
      </c>
      <c r="E1581" s="1" t="n">
        <v>46265</v>
      </c>
      <c r="F1581" t="inlineStr">
        <is>
          <t>HALLANDS LÄN</t>
        </is>
      </c>
      <c r="G1581" t="inlineStr">
        <is>
          <t>VARBERG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53873-2022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44880</v>
      </c>
      <c r="E1582" s="1" t="n">
        <v>46265</v>
      </c>
      <c r="F1582" t="inlineStr">
        <is>
          <t>HALLANDS LÄN</t>
        </is>
      </c>
      <c r="G1582" t="inlineStr">
        <is>
          <t>HALMSTAD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50340-2024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45600</v>
      </c>
      <c r="E1583" s="1" t="n">
        <v>46265</v>
      </c>
      <c r="F1583" t="inlineStr">
        <is>
          <t>HALLANDS LÄN</t>
        </is>
      </c>
      <c r="G1583" t="inlineStr">
        <is>
          <t>VARBERG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59254-2022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44897</v>
      </c>
      <c r="E1584" s="1" t="n">
        <v>46265</v>
      </c>
      <c r="F1584" t="inlineStr">
        <is>
          <t>HALLANDS LÄN</t>
        </is>
      </c>
      <c r="G1584" t="inlineStr">
        <is>
          <t>HALMSTAD</t>
        </is>
      </c>
      <c r="H1584" t="inlineStr">
        <is>
          <t>Bergvik skog väst AB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61493-2024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45646</v>
      </c>
      <c r="E1585" s="1" t="n">
        <v>46265</v>
      </c>
      <c r="F1585" t="inlineStr">
        <is>
          <t>HALLANDS LÄN</t>
        </is>
      </c>
      <c r="G1585" t="inlineStr">
        <is>
          <t>LAHOLM</t>
        </is>
      </c>
      <c r="I1585" t="n">
        <v>0.4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29471-2022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44753</v>
      </c>
      <c r="E1586" s="1" t="n">
        <v>46265</v>
      </c>
      <c r="F1586" t="inlineStr">
        <is>
          <t>HALLANDS LÄN</t>
        </is>
      </c>
      <c r="G1586" t="inlineStr">
        <is>
          <t>HALMSTAD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59618-2024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45638</v>
      </c>
      <c r="E1587" s="1" t="n">
        <v>46265</v>
      </c>
      <c r="F1587" t="inlineStr">
        <is>
          <t>HALLANDS LÄN</t>
        </is>
      </c>
      <c r="G1587" t="inlineStr">
        <is>
          <t>HYLTE</t>
        </is>
      </c>
      <c r="I1587" t="n">
        <v>1.9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59344-2024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45637</v>
      </c>
      <c r="E1588" s="1" t="n">
        <v>46265</v>
      </c>
      <c r="F1588" t="inlineStr">
        <is>
          <t>HALLANDS LÄN</t>
        </is>
      </c>
      <c r="G1588" t="inlineStr">
        <is>
          <t>VARBERG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17382-2023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45035</v>
      </c>
      <c r="E1589" s="1" t="n">
        <v>46265</v>
      </c>
      <c r="F1589" t="inlineStr">
        <is>
          <t>HALLANDS LÄN</t>
        </is>
      </c>
      <c r="G1589" t="inlineStr">
        <is>
          <t>FALKENBERG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13799-2022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44649</v>
      </c>
      <c r="E1590" s="1" t="n">
        <v>46265</v>
      </c>
      <c r="F1590" t="inlineStr">
        <is>
          <t>HALLANDS LÄN</t>
        </is>
      </c>
      <c r="G1590" t="inlineStr">
        <is>
          <t>VARBERG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13825-2022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44649</v>
      </c>
      <c r="E1591" s="1" t="n">
        <v>46265</v>
      </c>
      <c r="F1591" t="inlineStr">
        <is>
          <t>HALLANDS LÄN</t>
        </is>
      </c>
      <c r="G1591" t="inlineStr">
        <is>
          <t>VARBERG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43261-2024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45568</v>
      </c>
      <c r="E1592" s="1" t="n">
        <v>46265</v>
      </c>
      <c r="F1592" t="inlineStr">
        <is>
          <t>HALLANDS LÄN</t>
        </is>
      </c>
      <c r="G1592" t="inlineStr">
        <is>
          <t>HYLTE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51978-2024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45607</v>
      </c>
      <c r="E1593" s="1" t="n">
        <v>46265</v>
      </c>
      <c r="F1593" t="inlineStr">
        <is>
          <t>HALLANDS LÄN</t>
        </is>
      </c>
      <c r="G1593" t="inlineStr">
        <is>
          <t>KUNGSBACKA</t>
        </is>
      </c>
      <c r="I1593" t="n">
        <v>0.2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31656-2023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45117</v>
      </c>
      <c r="E1594" s="1" t="n">
        <v>46265</v>
      </c>
      <c r="F1594" t="inlineStr">
        <is>
          <t>HALLANDS LÄN</t>
        </is>
      </c>
      <c r="G1594" t="inlineStr">
        <is>
          <t>HALMSTAD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46567-2024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45582</v>
      </c>
      <c r="E1595" s="1" t="n">
        <v>46265</v>
      </c>
      <c r="F1595" t="inlineStr">
        <is>
          <t>HALLANDS LÄN</t>
        </is>
      </c>
      <c r="G1595" t="inlineStr">
        <is>
          <t>LAHOLM</t>
        </is>
      </c>
      <c r="I1595" t="n">
        <v>1.3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46441-2024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45582</v>
      </c>
      <c r="E1596" s="1" t="n">
        <v>46265</v>
      </c>
      <c r="F1596" t="inlineStr">
        <is>
          <t>HALLANDS LÄN</t>
        </is>
      </c>
      <c r="G1596" t="inlineStr">
        <is>
          <t>FALKENBERG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40582-2023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45168</v>
      </c>
      <c r="E1597" s="1" t="n">
        <v>46265</v>
      </c>
      <c r="F1597" t="inlineStr">
        <is>
          <t>HALLANDS LÄN</t>
        </is>
      </c>
      <c r="G1597" t="inlineStr">
        <is>
          <t>HALMSTAD</t>
        </is>
      </c>
      <c r="H1597" t="inlineStr">
        <is>
          <t>Kommuner</t>
        </is>
      </c>
      <c r="I1597" t="n">
        <v>0.6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40658-2023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45168</v>
      </c>
      <c r="E1598" s="1" t="n">
        <v>46265</v>
      </c>
      <c r="F1598" t="inlineStr">
        <is>
          <t>HALLANDS LÄN</t>
        </is>
      </c>
      <c r="G1598" t="inlineStr">
        <is>
          <t>HALMSTAD</t>
        </is>
      </c>
      <c r="H1598" t="inlineStr">
        <is>
          <t>Kommuner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22309-2022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44712</v>
      </c>
      <c r="E1599" s="1" t="n">
        <v>46265</v>
      </c>
      <c r="F1599" t="inlineStr">
        <is>
          <t>HALLANDS LÄN</t>
        </is>
      </c>
      <c r="G1599" t="inlineStr">
        <is>
          <t>HYLTE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49286-2024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45595</v>
      </c>
      <c r="E1600" s="1" t="n">
        <v>46265</v>
      </c>
      <c r="F1600" t="inlineStr">
        <is>
          <t>HALLANDS LÄN</t>
        </is>
      </c>
      <c r="G1600" t="inlineStr">
        <is>
          <t>FALKENBERG</t>
        </is>
      </c>
      <c r="I1600" t="n">
        <v>6.4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47832-2023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45204</v>
      </c>
      <c r="E1601" s="1" t="n">
        <v>46265</v>
      </c>
      <c r="F1601" t="inlineStr">
        <is>
          <t>HALLANDS LÄN</t>
        </is>
      </c>
      <c r="G1601" t="inlineStr">
        <is>
          <t>KUNGSBACKA</t>
        </is>
      </c>
      <c r="I1601" t="n">
        <v>2.9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6318-2025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45698</v>
      </c>
      <c r="E1602" s="1" t="n">
        <v>46265</v>
      </c>
      <c r="F1602" t="inlineStr">
        <is>
          <t>HALLANDS LÄN</t>
        </is>
      </c>
      <c r="G1602" t="inlineStr">
        <is>
          <t>KUNGSBACKA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7811-2025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45706</v>
      </c>
      <c r="E1603" s="1" t="n">
        <v>46265</v>
      </c>
      <c r="F1603" t="inlineStr">
        <is>
          <t>HALLANDS LÄN</t>
        </is>
      </c>
      <c r="G1603" t="inlineStr">
        <is>
          <t>VARBERG</t>
        </is>
      </c>
      <c r="H1603" t="inlineStr">
        <is>
          <t>Övriga statliga verk och myndigheter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7812-2025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45706</v>
      </c>
      <c r="E1604" s="1" t="n">
        <v>46265</v>
      </c>
      <c r="F1604" t="inlineStr">
        <is>
          <t>HALLANDS LÄN</t>
        </is>
      </c>
      <c r="G1604" t="inlineStr">
        <is>
          <t>VARBERG</t>
        </is>
      </c>
      <c r="H1604" t="inlineStr">
        <is>
          <t>Övriga statliga verk och myndigheter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31543-2022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44775</v>
      </c>
      <c r="E1605" s="1" t="n">
        <v>46265</v>
      </c>
      <c r="F1605" t="inlineStr">
        <is>
          <t>HALLANDS LÄN</t>
        </is>
      </c>
      <c r="G1605" t="inlineStr">
        <is>
          <t>HALMSTAD</t>
        </is>
      </c>
      <c r="I1605" t="n">
        <v>2.9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13141-2022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44644</v>
      </c>
      <c r="E1606" s="1" t="n">
        <v>46265</v>
      </c>
      <c r="F1606" t="inlineStr">
        <is>
          <t>HALLANDS LÄN</t>
        </is>
      </c>
      <c r="G1606" t="inlineStr">
        <is>
          <t>VARBERG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63003-2025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46265</v>
      </c>
      <c r="F1607" t="inlineStr">
        <is>
          <t>HALLANDS LÄN</t>
        </is>
      </c>
      <c r="G1607" t="inlineStr">
        <is>
          <t>LAHOLM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43897-2023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45187</v>
      </c>
      <c r="E1608" s="1" t="n">
        <v>46265</v>
      </c>
      <c r="F1608" t="inlineStr">
        <is>
          <t>HALLANDS LÄN</t>
        </is>
      </c>
      <c r="G1608" t="inlineStr">
        <is>
          <t>FALKENBERG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41233-2023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45174</v>
      </c>
      <c r="E1609" s="1" t="n">
        <v>46265</v>
      </c>
      <c r="F1609" t="inlineStr">
        <is>
          <t>HALLANDS LÄN</t>
        </is>
      </c>
      <c r="G1609" t="inlineStr">
        <is>
          <t>FALKENBERG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17097-2022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44677</v>
      </c>
      <c r="E1610" s="1" t="n">
        <v>46265</v>
      </c>
      <c r="F1610" t="inlineStr">
        <is>
          <t>HALLANDS LÄN</t>
        </is>
      </c>
      <c r="G1610" t="inlineStr">
        <is>
          <t>LAHOLM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36431-2023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45152</v>
      </c>
      <c r="E1611" s="1" t="n">
        <v>46265</v>
      </c>
      <c r="F1611" t="inlineStr">
        <is>
          <t>HALLANDS LÄN</t>
        </is>
      </c>
      <c r="G1611" t="inlineStr">
        <is>
          <t>FALKENBERG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10237-2023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44986</v>
      </c>
      <c r="E1612" s="1" t="n">
        <v>46265</v>
      </c>
      <c r="F1612" t="inlineStr">
        <is>
          <t>HALLANDS LÄN</t>
        </is>
      </c>
      <c r="G1612" t="inlineStr">
        <is>
          <t>FALKENBERG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23491-2023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45076</v>
      </c>
      <c r="E1613" s="1" t="n">
        <v>46265</v>
      </c>
      <c r="F1613" t="inlineStr">
        <is>
          <t>HALLANDS LÄN</t>
        </is>
      </c>
      <c r="G1613" t="inlineStr">
        <is>
          <t>LAHOLM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5667-2025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45693</v>
      </c>
      <c r="E1614" s="1" t="n">
        <v>46265</v>
      </c>
      <c r="F1614" t="inlineStr">
        <is>
          <t>HALLANDS LÄN</t>
        </is>
      </c>
      <c r="G1614" t="inlineStr">
        <is>
          <t>LAHOLM</t>
        </is>
      </c>
      <c r="H1614" t="inlineStr">
        <is>
          <t>Naturvårdsverket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41242-2023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45174</v>
      </c>
      <c r="E1615" s="1" t="n">
        <v>46265</v>
      </c>
      <c r="F1615" t="inlineStr">
        <is>
          <t>HALLANDS LÄN</t>
        </is>
      </c>
      <c r="G1615" t="inlineStr">
        <is>
          <t>FALKENBERG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41244-2023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45174</v>
      </c>
      <c r="E1616" s="1" t="n">
        <v>46265</v>
      </c>
      <c r="F1616" t="inlineStr">
        <is>
          <t>HALLANDS LÄN</t>
        </is>
      </c>
      <c r="G1616" t="inlineStr">
        <is>
          <t>FALKENBERG</t>
        </is>
      </c>
      <c r="I1616" t="n">
        <v>0.4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44537-2023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45189</v>
      </c>
      <c r="E1617" s="1" t="n">
        <v>46265</v>
      </c>
      <c r="F1617" t="inlineStr">
        <is>
          <t>HALLANDS LÄN</t>
        </is>
      </c>
      <c r="G1617" t="inlineStr">
        <is>
          <t>FALKENBERG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25217-2022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44729</v>
      </c>
      <c r="E1618" s="1" t="n">
        <v>46265</v>
      </c>
      <c r="F1618" t="inlineStr">
        <is>
          <t>HALLANDS LÄN</t>
        </is>
      </c>
      <c r="G1618" t="inlineStr">
        <is>
          <t>HYLTE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40398-2022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44823</v>
      </c>
      <c r="E1619" s="1" t="n">
        <v>46265</v>
      </c>
      <c r="F1619" t="inlineStr">
        <is>
          <t>HALLANDS LÄN</t>
        </is>
      </c>
      <c r="G1619" t="inlineStr">
        <is>
          <t>HALMSTAD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6861-2025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45701</v>
      </c>
      <c r="E1620" s="1" t="n">
        <v>46265</v>
      </c>
      <c r="F1620" t="inlineStr">
        <is>
          <t>HALLANDS LÄN</t>
        </is>
      </c>
      <c r="G1620" t="inlineStr">
        <is>
          <t>VARBERG</t>
        </is>
      </c>
      <c r="I1620" t="n">
        <v>3.6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15060-2025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45743</v>
      </c>
      <c r="E1621" s="1" t="n">
        <v>46265</v>
      </c>
      <c r="F1621" t="inlineStr">
        <is>
          <t>HALLANDS LÄN</t>
        </is>
      </c>
      <c r="G1621" t="inlineStr">
        <is>
          <t>KUNGSBACKA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15062-2025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45743</v>
      </c>
      <c r="E1622" s="1" t="n">
        <v>46265</v>
      </c>
      <c r="F1622" t="inlineStr">
        <is>
          <t>HALLANDS LÄN</t>
        </is>
      </c>
      <c r="G1622" t="inlineStr">
        <is>
          <t>KUNGSBACKA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29479-2024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45483</v>
      </c>
      <c r="E1623" s="1" t="n">
        <v>46265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8036-2025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45707</v>
      </c>
      <c r="E1624" s="1" t="n">
        <v>46265</v>
      </c>
      <c r="F1624" t="inlineStr">
        <is>
          <t>HALLANDS LÄN</t>
        </is>
      </c>
      <c r="G1624" t="inlineStr">
        <is>
          <t>LAHOLM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6773-2025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45700</v>
      </c>
      <c r="E1625" s="1" t="n">
        <v>46265</v>
      </c>
      <c r="F1625" t="inlineStr">
        <is>
          <t>HALLANDS LÄN</t>
        </is>
      </c>
      <c r="G1625" t="inlineStr">
        <is>
          <t>VARBERG</t>
        </is>
      </c>
      <c r="I1625" t="n">
        <v>4.1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63271-2025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46010</v>
      </c>
      <c r="E1626" s="1" t="n">
        <v>46265</v>
      </c>
      <c r="F1626" t="inlineStr">
        <is>
          <t>HALLANDS LÄN</t>
        </is>
      </c>
      <c r="G1626" t="inlineStr">
        <is>
          <t>VARBERG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29993-2024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45488</v>
      </c>
      <c r="E1627" s="1" t="n">
        <v>46265</v>
      </c>
      <c r="F1627" t="inlineStr">
        <is>
          <t>HALLANDS LÄN</t>
        </is>
      </c>
      <c r="G1627" t="inlineStr">
        <is>
          <t>HALMSTAD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24839-2023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45085</v>
      </c>
      <c r="E1628" s="1" t="n">
        <v>46265</v>
      </c>
      <c r="F1628" t="inlineStr">
        <is>
          <t>HALLANDS LÄN</t>
        </is>
      </c>
      <c r="G1628" t="inlineStr">
        <is>
          <t>VARBERG</t>
        </is>
      </c>
      <c r="I1628" t="n">
        <v>1.8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10364-2023</t>
        </is>
      </c>
      <c r="B1629" t="inlineStr">
        <is>
          <t>avverkningsanmälan</t>
        </is>
      </c>
      <c r="C1629" t="inlineStr">
        <is>
          <t>Avverkning för annat ändamål</t>
        </is>
      </c>
      <c r="D1629" s="1" t="n">
        <v>44980</v>
      </c>
      <c r="E1629" s="1" t="n">
        <v>46265</v>
      </c>
      <c r="F1629" t="inlineStr">
        <is>
          <t>HALLANDS LÄN</t>
        </is>
      </c>
      <c r="G1629" t="inlineStr">
        <is>
          <t>HYLTE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47021-2022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44852</v>
      </c>
      <c r="E1630" s="1" t="n">
        <v>46265</v>
      </c>
      <c r="F1630" t="inlineStr">
        <is>
          <t>HALLANDS LÄN</t>
        </is>
      </c>
      <c r="G1630" t="inlineStr">
        <is>
          <t>FALKENBERG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57461-2023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45246</v>
      </c>
      <c r="E1631" s="1" t="n">
        <v>46265</v>
      </c>
      <c r="F1631" t="inlineStr">
        <is>
          <t>HALLANDS LÄN</t>
        </is>
      </c>
      <c r="G1631" t="inlineStr">
        <is>
          <t>HYLTE</t>
        </is>
      </c>
      <c r="I1631" t="n">
        <v>3.3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12637-2025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45733</v>
      </c>
      <c r="E1632" s="1" t="n">
        <v>46265</v>
      </c>
      <c r="F1632" t="inlineStr">
        <is>
          <t>HALLANDS LÄN</t>
        </is>
      </c>
      <c r="G1632" t="inlineStr">
        <is>
          <t>HALMSTAD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40708-2023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45168</v>
      </c>
      <c r="E1633" s="1" t="n">
        <v>46265</v>
      </c>
      <c r="F1633" t="inlineStr">
        <is>
          <t>HALLANDS LÄN</t>
        </is>
      </c>
      <c r="G1633" t="inlineStr">
        <is>
          <t>HALMSTAD</t>
        </is>
      </c>
      <c r="H1633" t="inlineStr">
        <is>
          <t>Kommuner</t>
        </is>
      </c>
      <c r="I1633" t="n">
        <v>13.4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9603-2025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45715</v>
      </c>
      <c r="E1634" s="1" t="n">
        <v>46265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12094-2025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45729</v>
      </c>
      <c r="E1635" s="1" t="n">
        <v>46265</v>
      </c>
      <c r="F1635" t="inlineStr">
        <is>
          <t>HALLANDS LÄN</t>
        </is>
      </c>
      <c r="G1635" t="inlineStr">
        <is>
          <t>KUNGSBACKA</t>
        </is>
      </c>
      <c r="H1635" t="inlineStr">
        <is>
          <t>Övriga Aktiebolag</t>
        </is>
      </c>
      <c r="I1635" t="n">
        <v>6.7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67454-2021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44524</v>
      </c>
      <c r="E1636" s="1" t="n">
        <v>46265</v>
      </c>
      <c r="F1636" t="inlineStr">
        <is>
          <t>HALLANDS LÄN</t>
        </is>
      </c>
      <c r="G1636" t="inlineStr">
        <is>
          <t>FALKENBERG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45732-2022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44846</v>
      </c>
      <c r="E1637" s="1" t="n">
        <v>46265</v>
      </c>
      <c r="F1637" t="inlineStr">
        <is>
          <t>HALLANDS LÄN</t>
        </is>
      </c>
      <c r="G1637" t="inlineStr">
        <is>
          <t>LAHOLM</t>
        </is>
      </c>
      <c r="I1637" t="n">
        <v>1.3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9355-2025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45714</v>
      </c>
      <c r="E1638" s="1" t="n">
        <v>46265</v>
      </c>
      <c r="F1638" t="inlineStr">
        <is>
          <t>HALLANDS LÄN</t>
        </is>
      </c>
      <c r="G1638" t="inlineStr">
        <is>
          <t>FALKENBERG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37932-2024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45544</v>
      </c>
      <c r="E1639" s="1" t="n">
        <v>46265</v>
      </c>
      <c r="F1639" t="inlineStr">
        <is>
          <t>HALLANDS LÄN</t>
        </is>
      </c>
      <c r="G1639" t="inlineStr">
        <is>
          <t>HYLTE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37972-2024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45544</v>
      </c>
      <c r="E1640" s="1" t="n">
        <v>46265</v>
      </c>
      <c r="F1640" t="inlineStr">
        <is>
          <t>HALLANDS LÄN</t>
        </is>
      </c>
      <c r="G1640" t="inlineStr">
        <is>
          <t>LAHOLM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23994-2023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45078</v>
      </c>
      <c r="E1641" s="1" t="n">
        <v>46265</v>
      </c>
      <c r="F1641" t="inlineStr">
        <is>
          <t>HALLANDS LÄN</t>
        </is>
      </c>
      <c r="G1641" t="inlineStr">
        <is>
          <t>KUNGSBACKA</t>
        </is>
      </c>
      <c r="H1641" t="inlineStr">
        <is>
          <t>Övriga Aktiebolag</t>
        </is>
      </c>
      <c r="I1641" t="n">
        <v>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26049-2023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45091</v>
      </c>
      <c r="E1642" s="1" t="n">
        <v>46265</v>
      </c>
      <c r="F1642" t="inlineStr">
        <is>
          <t>HALLANDS LÄN</t>
        </is>
      </c>
      <c r="G1642" t="inlineStr">
        <is>
          <t>HALMSTAD</t>
        </is>
      </c>
      <c r="I1642" t="n">
        <v>0.4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13595-2025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45736</v>
      </c>
      <c r="E1643" s="1" t="n">
        <v>46265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3.7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17336-2023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45035</v>
      </c>
      <c r="E1644" s="1" t="n">
        <v>46265</v>
      </c>
      <c r="F1644" t="inlineStr">
        <is>
          <t>HALLANDS LÄN</t>
        </is>
      </c>
      <c r="G1644" t="inlineStr">
        <is>
          <t>FALKENBERG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57031-2021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44482</v>
      </c>
      <c r="E1645" s="1" t="n">
        <v>46265</v>
      </c>
      <c r="F1645" t="inlineStr">
        <is>
          <t>HALLANDS LÄN</t>
        </is>
      </c>
      <c r="G1645" t="inlineStr">
        <is>
          <t>HALMSTAD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15035-2025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45743</v>
      </c>
      <c r="E1646" s="1" t="n">
        <v>46265</v>
      </c>
      <c r="F1646" t="inlineStr">
        <is>
          <t>HALLANDS LÄN</t>
        </is>
      </c>
      <c r="G1646" t="inlineStr">
        <is>
          <t>VARBERG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62999-2025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46009</v>
      </c>
      <c r="E1647" s="1" t="n">
        <v>46265</v>
      </c>
      <c r="F1647" t="inlineStr">
        <is>
          <t>HALLANDS LÄN</t>
        </is>
      </c>
      <c r="G1647" t="inlineStr">
        <is>
          <t>LAHOLM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71120-2021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44539</v>
      </c>
      <c r="E1648" s="1" t="n">
        <v>46265</v>
      </c>
      <c r="F1648" t="inlineStr">
        <is>
          <t>HALLANDS LÄN</t>
        </is>
      </c>
      <c r="G1648" t="inlineStr">
        <is>
          <t>HYLTE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63524-2025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46013</v>
      </c>
      <c r="E1649" s="1" t="n">
        <v>46265</v>
      </c>
      <c r="F1649" t="inlineStr">
        <is>
          <t>HALLANDS LÄN</t>
        </is>
      </c>
      <c r="G1649" t="inlineStr">
        <is>
          <t>HALMSTAD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60112-2025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45994</v>
      </c>
      <c r="E1650" s="1" t="n">
        <v>46265</v>
      </c>
      <c r="F1650" t="inlineStr">
        <is>
          <t>HALLANDS LÄN</t>
        </is>
      </c>
      <c r="G1650" t="inlineStr">
        <is>
          <t>LAHOLM</t>
        </is>
      </c>
      <c r="H1650" t="inlineStr">
        <is>
          <t>Sveaskog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62612-2025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46008</v>
      </c>
      <c r="E1651" s="1" t="n">
        <v>46265</v>
      </c>
      <c r="F1651" t="inlineStr">
        <is>
          <t>HALLANDS LÄN</t>
        </is>
      </c>
      <c r="G1651" t="inlineStr">
        <is>
          <t>VARBERG</t>
        </is>
      </c>
      <c r="I1651" t="n">
        <v>5.5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60115-2025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45994</v>
      </c>
      <c r="E1652" s="1" t="n">
        <v>46265</v>
      </c>
      <c r="F1652" t="inlineStr">
        <is>
          <t>HALLANDS LÄN</t>
        </is>
      </c>
      <c r="G1652" t="inlineStr">
        <is>
          <t>LAHOLM</t>
        </is>
      </c>
      <c r="H1652" t="inlineStr">
        <is>
          <t>Sveaskog</t>
        </is>
      </c>
      <c r="I1652" t="n">
        <v>6.3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41626-2022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44827</v>
      </c>
      <c r="E1653" s="1" t="n">
        <v>46265</v>
      </c>
      <c r="F1653" t="inlineStr">
        <is>
          <t>HALLANDS LÄN</t>
        </is>
      </c>
      <c r="G1653" t="inlineStr">
        <is>
          <t>HALMSTAD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7836-2025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45706</v>
      </c>
      <c r="E1654" s="1" t="n">
        <v>46265</v>
      </c>
      <c r="F1654" t="inlineStr">
        <is>
          <t>HALLANDS LÄN</t>
        </is>
      </c>
      <c r="G1654" t="inlineStr">
        <is>
          <t>VARBERG</t>
        </is>
      </c>
      <c r="H1654" t="inlineStr">
        <is>
          <t>Övriga statliga verk och myndigheter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16413-2025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45751</v>
      </c>
      <c r="E1655" s="1" t="n">
        <v>46265</v>
      </c>
      <c r="F1655" t="inlineStr">
        <is>
          <t>HALLANDS LÄN</t>
        </is>
      </c>
      <c r="G1655" t="inlineStr">
        <is>
          <t>FALKENBERG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63634-2025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46014</v>
      </c>
      <c r="E1656" s="1" t="n">
        <v>46265</v>
      </c>
      <c r="F1656" t="inlineStr">
        <is>
          <t>HALLANDS LÄN</t>
        </is>
      </c>
      <c r="G1656" t="inlineStr">
        <is>
          <t>VARBERG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63638-2025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46014</v>
      </c>
      <c r="E1657" s="1" t="n">
        <v>46265</v>
      </c>
      <c r="F1657" t="inlineStr">
        <is>
          <t>HALLANDS LÄN</t>
        </is>
      </c>
      <c r="G1657" t="inlineStr">
        <is>
          <t>VARBERG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53207-2023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45229</v>
      </c>
      <c r="E1658" s="1" t="n">
        <v>46265</v>
      </c>
      <c r="F1658" t="inlineStr">
        <is>
          <t>HALLANDS LÄN</t>
        </is>
      </c>
      <c r="G1658" t="inlineStr">
        <is>
          <t>HYLTE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53211-2023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45229</v>
      </c>
      <c r="E1659" s="1" t="n">
        <v>46265</v>
      </c>
      <c r="F1659" t="inlineStr">
        <is>
          <t>HALLANDS LÄN</t>
        </is>
      </c>
      <c r="G1659" t="inlineStr">
        <is>
          <t>HALMSTAD</t>
        </is>
      </c>
      <c r="I1659" t="n">
        <v>2.9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14912-2025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45743</v>
      </c>
      <c r="E1660" s="1" t="n">
        <v>46265</v>
      </c>
      <c r="F1660" t="inlineStr">
        <is>
          <t>HALLANDS LÄN</t>
        </is>
      </c>
      <c r="G1660" t="inlineStr">
        <is>
          <t>VARBERG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52783-2023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45226</v>
      </c>
      <c r="E1661" s="1" t="n">
        <v>46265</v>
      </c>
      <c r="F1661" t="inlineStr">
        <is>
          <t>HALLANDS LÄN</t>
        </is>
      </c>
      <c r="G1661" t="inlineStr">
        <is>
          <t>FALKENBERG</t>
        </is>
      </c>
      <c r="I1661" t="n">
        <v>2.5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63632-2025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46014</v>
      </c>
      <c r="E1662" s="1" t="n">
        <v>46265</v>
      </c>
      <c r="F1662" t="inlineStr">
        <is>
          <t>HALLANDS LÄN</t>
        </is>
      </c>
      <c r="G1662" t="inlineStr">
        <is>
          <t>VARBERG</t>
        </is>
      </c>
      <c r="I1662" t="n">
        <v>5.7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63630-2025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46014</v>
      </c>
      <c r="E1663" s="1" t="n">
        <v>46265</v>
      </c>
      <c r="F1663" t="inlineStr">
        <is>
          <t>HALLANDS LÄN</t>
        </is>
      </c>
      <c r="G1663" t="inlineStr">
        <is>
          <t>VARBERG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63637-2025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46014</v>
      </c>
      <c r="E1664" s="1" t="n">
        <v>46265</v>
      </c>
      <c r="F1664" t="inlineStr">
        <is>
          <t>HALLANDS LÄN</t>
        </is>
      </c>
      <c r="G1664" t="inlineStr">
        <is>
          <t>VARBERG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52273-2025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45953</v>
      </c>
      <c r="E1665" s="1" t="n">
        <v>46265</v>
      </c>
      <c r="F1665" t="inlineStr">
        <is>
          <t>HALLANDS LÄN</t>
        </is>
      </c>
      <c r="G1665" t="inlineStr">
        <is>
          <t>FALKENBERG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9965-2025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45719</v>
      </c>
      <c r="E1666" s="1" t="n">
        <v>46265</v>
      </c>
      <c r="F1666" t="inlineStr">
        <is>
          <t>HALLANDS LÄN</t>
        </is>
      </c>
      <c r="G1666" t="inlineStr">
        <is>
          <t>KUNGSBACKA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9976-2025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45719</v>
      </c>
      <c r="E1667" s="1" t="n">
        <v>46265</v>
      </c>
      <c r="F1667" t="inlineStr">
        <is>
          <t>HALLANDS LÄN</t>
        </is>
      </c>
      <c r="G1667" t="inlineStr">
        <is>
          <t>KUNGSBACKA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63888-2025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46020</v>
      </c>
      <c r="E1668" s="1" t="n">
        <v>46265</v>
      </c>
      <c r="F1668" t="inlineStr">
        <is>
          <t>HALLANDS LÄN</t>
        </is>
      </c>
      <c r="G1668" t="inlineStr">
        <is>
          <t>HYLTE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328-2025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45660</v>
      </c>
      <c r="E1669" s="1" t="n">
        <v>46265</v>
      </c>
      <c r="F1669" t="inlineStr">
        <is>
          <t>HALLANDS LÄN</t>
        </is>
      </c>
      <c r="G1669" t="inlineStr">
        <is>
          <t>HALMSTAD</t>
        </is>
      </c>
      <c r="I1669" t="n">
        <v>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331-2025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45660</v>
      </c>
      <c r="E1670" s="1" t="n">
        <v>46265</v>
      </c>
      <c r="F1670" t="inlineStr">
        <is>
          <t>HALLANDS LÄN</t>
        </is>
      </c>
      <c r="G1670" t="inlineStr">
        <is>
          <t>HALMSTAD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11701-2025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45727</v>
      </c>
      <c r="E1671" s="1" t="n">
        <v>46265</v>
      </c>
      <c r="F1671" t="inlineStr">
        <is>
          <t>HALLANDS LÄN</t>
        </is>
      </c>
      <c r="G1671" t="inlineStr">
        <is>
          <t>LAHOLM</t>
        </is>
      </c>
      <c r="I1671" t="n">
        <v>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41526-2022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44827</v>
      </c>
      <c r="E1672" s="1" t="n">
        <v>46265</v>
      </c>
      <c r="F1672" t="inlineStr">
        <is>
          <t>HALLANDS LÄN</t>
        </is>
      </c>
      <c r="G1672" t="inlineStr">
        <is>
          <t>FALKENBERG</t>
        </is>
      </c>
      <c r="I1672" t="n">
        <v>4.9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31076-2024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45502</v>
      </c>
      <c r="E1673" s="1" t="n">
        <v>46265</v>
      </c>
      <c r="F1673" t="inlineStr">
        <is>
          <t>HALLANDS LÄN</t>
        </is>
      </c>
      <c r="G1673" t="inlineStr">
        <is>
          <t>HYLTE</t>
        </is>
      </c>
      <c r="I1673" t="n">
        <v>5.3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13528-2023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45006</v>
      </c>
      <c r="E1674" s="1" t="n">
        <v>46265</v>
      </c>
      <c r="F1674" t="inlineStr">
        <is>
          <t>HALLANDS LÄN</t>
        </is>
      </c>
      <c r="G1674" t="inlineStr">
        <is>
          <t>LAHOLM</t>
        </is>
      </c>
      <c r="I1674" t="n">
        <v>3.7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7109-2023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44970</v>
      </c>
      <c r="E1675" s="1" t="n">
        <v>46265</v>
      </c>
      <c r="F1675" t="inlineStr">
        <is>
          <t>HALLANDS LÄN</t>
        </is>
      </c>
      <c r="G1675" t="inlineStr">
        <is>
          <t>VARBERG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44261-2023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45188</v>
      </c>
      <c r="E1676" s="1" t="n">
        <v>46265</v>
      </c>
      <c r="F1676" t="inlineStr">
        <is>
          <t>HALLANDS LÄN</t>
        </is>
      </c>
      <c r="G1676" t="inlineStr">
        <is>
          <t>LAHOLM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20050-2025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45772</v>
      </c>
      <c r="E1677" s="1" t="n">
        <v>46265</v>
      </c>
      <c r="F1677" t="inlineStr">
        <is>
          <t>HALLANDS LÄN</t>
        </is>
      </c>
      <c r="G1677" t="inlineStr">
        <is>
          <t>VARBERG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12071-2025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45728</v>
      </c>
      <c r="E1678" s="1" t="n">
        <v>46265</v>
      </c>
      <c r="F1678" t="inlineStr">
        <is>
          <t>HALLANDS LÄN</t>
        </is>
      </c>
      <c r="G1678" t="inlineStr">
        <is>
          <t>KUNGSBACKA</t>
        </is>
      </c>
      <c r="I1678" t="n">
        <v>5.7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46026-2023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45196</v>
      </c>
      <c r="E1679" s="1" t="n">
        <v>46265</v>
      </c>
      <c r="F1679" t="inlineStr">
        <is>
          <t>HALLANDS LÄN</t>
        </is>
      </c>
      <c r="G1679" t="inlineStr">
        <is>
          <t>VARBERG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48222-2023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45205</v>
      </c>
      <c r="E1680" s="1" t="n">
        <v>46265</v>
      </c>
      <c r="F1680" t="inlineStr">
        <is>
          <t>HALLANDS LÄN</t>
        </is>
      </c>
      <c r="G1680" t="inlineStr">
        <is>
          <t>FALKENBERG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46924-2023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45201</v>
      </c>
      <c r="E1681" s="1" t="n">
        <v>46265</v>
      </c>
      <c r="F1681" t="inlineStr">
        <is>
          <t>HALLANDS LÄN</t>
        </is>
      </c>
      <c r="G1681" t="inlineStr">
        <is>
          <t>FALKENBERG</t>
        </is>
      </c>
      <c r="H1681" t="inlineStr">
        <is>
          <t>Kyrkan</t>
        </is>
      </c>
      <c r="I1681" t="n">
        <v>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19139-2025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45769</v>
      </c>
      <c r="E1682" s="1" t="n">
        <v>46265</v>
      </c>
      <c r="F1682" t="inlineStr">
        <is>
          <t>HALLANDS LÄN</t>
        </is>
      </c>
      <c r="G1682" t="inlineStr">
        <is>
          <t>LAHOLM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46024</v>
      </c>
      <c r="E1683" s="1" t="n">
        <v>46265</v>
      </c>
      <c r="F1683" t="inlineStr">
        <is>
          <t>HALLANDS LÄN</t>
        </is>
      </c>
      <c r="G1683" t="inlineStr">
        <is>
          <t>VARBERG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4607-2025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45687</v>
      </c>
      <c r="E1684" s="1" t="n">
        <v>46265</v>
      </c>
      <c r="F1684" t="inlineStr">
        <is>
          <t>HALLANDS LÄN</t>
        </is>
      </c>
      <c r="G1684" t="inlineStr">
        <is>
          <t>LAHOLM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50152-2021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44456</v>
      </c>
      <c r="E1685" s="1" t="n">
        <v>46265</v>
      </c>
      <c r="F1685" t="inlineStr">
        <is>
          <t>HALLANDS LÄN</t>
        </is>
      </c>
      <c r="G1685" t="inlineStr">
        <is>
          <t>HYLTE</t>
        </is>
      </c>
      <c r="I1685" t="n">
        <v>3.6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60328-2022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44910</v>
      </c>
      <c r="E1686" s="1" t="n">
        <v>46265</v>
      </c>
      <c r="F1686" t="inlineStr">
        <is>
          <t>HALLANDS LÄN</t>
        </is>
      </c>
      <c r="G1686" t="inlineStr">
        <is>
          <t>HYLTE</t>
        </is>
      </c>
      <c r="I1686" t="n">
        <v>2.5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55963-2025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45973</v>
      </c>
      <c r="E1687" s="1" t="n">
        <v>46265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60152-2022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44902</v>
      </c>
      <c r="E1688" s="1" t="n">
        <v>46265</v>
      </c>
      <c r="F1688" t="inlineStr">
        <is>
          <t>HALLANDS LÄN</t>
        </is>
      </c>
      <c r="G1688" t="inlineStr">
        <is>
          <t>LAHOLM</t>
        </is>
      </c>
      <c r="I1688" t="n">
        <v>7.8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31826-2024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45509</v>
      </c>
      <c r="E1689" s="1" t="n">
        <v>46265</v>
      </c>
      <c r="F1689" t="inlineStr">
        <is>
          <t>HALLANDS LÄN</t>
        </is>
      </c>
      <c r="G1689" t="inlineStr">
        <is>
          <t>VARBERG</t>
        </is>
      </c>
      <c r="H1689" t="inlineStr">
        <is>
          <t>Kyrkan</t>
        </is>
      </c>
      <c r="I1689" t="n">
        <v>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20011-2023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45054</v>
      </c>
      <c r="E1690" s="1" t="n">
        <v>46265</v>
      </c>
      <c r="F1690" t="inlineStr">
        <is>
          <t>HALLANDS LÄN</t>
        </is>
      </c>
      <c r="G1690" t="inlineStr">
        <is>
          <t>VARBERG</t>
        </is>
      </c>
      <c r="I1690" t="n">
        <v>10.1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54870-2022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44885</v>
      </c>
      <c r="E1691" s="1" t="n">
        <v>46265</v>
      </c>
      <c r="F1691" t="inlineStr">
        <is>
          <t>HALLANDS LÄN</t>
        </is>
      </c>
      <c r="G1691" t="inlineStr">
        <is>
          <t>HALMSTAD</t>
        </is>
      </c>
      <c r="I1691" t="n">
        <v>1.5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20111-2023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45055</v>
      </c>
      <c r="E1692" s="1" t="n">
        <v>46265</v>
      </c>
      <c r="F1692" t="inlineStr">
        <is>
          <t>HALLANDS LÄN</t>
        </is>
      </c>
      <c r="G1692" t="inlineStr">
        <is>
          <t>VARBERG</t>
        </is>
      </c>
      <c r="I1692" t="n">
        <v>5.7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46395-2023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45197</v>
      </c>
      <c r="E1693" s="1" t="n">
        <v>46265</v>
      </c>
      <c r="F1693" t="inlineStr">
        <is>
          <t>HALLANDS LÄN</t>
        </is>
      </c>
      <c r="G1693" t="inlineStr">
        <is>
          <t>VARBERG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23052-2023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45075</v>
      </c>
      <c r="E1694" s="1" t="n">
        <v>46265</v>
      </c>
      <c r="F1694" t="inlineStr">
        <is>
          <t>HALLANDS LÄN</t>
        </is>
      </c>
      <c r="G1694" t="inlineStr">
        <is>
          <t>VARBERG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56441-2021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44477</v>
      </c>
      <c r="E1695" s="1" t="n">
        <v>46265</v>
      </c>
      <c r="F1695" t="inlineStr">
        <is>
          <t>HALLANDS LÄN</t>
        </is>
      </c>
      <c r="G1695" t="inlineStr">
        <is>
          <t>HYLTE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26880-2022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44740</v>
      </c>
      <c r="E1696" s="1" t="n">
        <v>46265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26887-2022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44740</v>
      </c>
      <c r="E1697" s="1" t="n">
        <v>46265</v>
      </c>
      <c r="F1697" t="inlineStr">
        <is>
          <t>HALLANDS LÄN</t>
        </is>
      </c>
      <c r="G1697" t="inlineStr">
        <is>
          <t>FALKENBERG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61663-2023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45264</v>
      </c>
      <c r="E1698" s="1" t="n">
        <v>46265</v>
      </c>
      <c r="F1698" t="inlineStr">
        <is>
          <t>HALLANDS LÄN</t>
        </is>
      </c>
      <c r="G1698" t="inlineStr">
        <is>
          <t>HALMSTAD</t>
        </is>
      </c>
      <c r="H1698" t="inlineStr">
        <is>
          <t>Bergvik skog väst AB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36805-2023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45154</v>
      </c>
      <c r="E1699" s="1" t="n">
        <v>46265</v>
      </c>
      <c r="F1699" t="inlineStr">
        <is>
          <t>HALLANDS LÄN</t>
        </is>
      </c>
      <c r="G1699" t="inlineStr">
        <is>
          <t>HALMSTAD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7019-2022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44603</v>
      </c>
      <c r="E1700" s="1" t="n">
        <v>46265</v>
      </c>
      <c r="F1700" t="inlineStr">
        <is>
          <t>HALLANDS LÄN</t>
        </is>
      </c>
      <c r="G1700" t="inlineStr">
        <is>
          <t>LAHOLM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27607-2024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45474</v>
      </c>
      <c r="E1701" s="1" t="n">
        <v>46265</v>
      </c>
      <c r="F1701" t="inlineStr">
        <is>
          <t>HALLANDS LÄN</t>
        </is>
      </c>
      <c r="G1701" t="inlineStr">
        <is>
          <t>LAHOLM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42661-2024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45566</v>
      </c>
      <c r="E1702" s="1" t="n">
        <v>46265</v>
      </c>
      <c r="F1702" t="inlineStr">
        <is>
          <t>HALLANDS LÄN</t>
        </is>
      </c>
      <c r="G1702" t="inlineStr">
        <is>
          <t>FALKENBERG</t>
        </is>
      </c>
      <c r="I1702" t="n">
        <v>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22594-2023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45071</v>
      </c>
      <c r="E1703" s="1" t="n">
        <v>46265</v>
      </c>
      <c r="F1703" t="inlineStr">
        <is>
          <t>HALLANDS LÄN</t>
        </is>
      </c>
      <c r="G1703" t="inlineStr">
        <is>
          <t>KUNGSBACKA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57669-2023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45246</v>
      </c>
      <c r="E1704" s="1" t="n">
        <v>46265</v>
      </c>
      <c r="F1704" t="inlineStr">
        <is>
          <t>HALLANDS LÄN</t>
        </is>
      </c>
      <c r="G1704" t="inlineStr">
        <is>
          <t>VARBERG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57283-2023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45245</v>
      </c>
      <c r="E1705" s="1" t="n">
        <v>46265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60239-2022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44910</v>
      </c>
      <c r="E1706" s="1" t="n">
        <v>46265</v>
      </c>
      <c r="F1706" t="inlineStr">
        <is>
          <t>HALLANDS LÄN</t>
        </is>
      </c>
      <c r="G1706" t="inlineStr">
        <is>
          <t>FALKENBERG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60245-2022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44910</v>
      </c>
      <c r="E1707" s="1" t="n">
        <v>46265</v>
      </c>
      <c r="F1707" t="inlineStr">
        <is>
          <t>HALLANDS LÄN</t>
        </is>
      </c>
      <c r="G1707" t="inlineStr">
        <is>
          <t>FALKENBERG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10687-2025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45722</v>
      </c>
      <c r="E1708" s="1" t="n">
        <v>46265</v>
      </c>
      <c r="F1708" t="inlineStr">
        <is>
          <t>HALLANDS LÄN</t>
        </is>
      </c>
      <c r="G1708" t="inlineStr">
        <is>
          <t>VARBERG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10695-2025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45722</v>
      </c>
      <c r="E1709" s="1" t="n">
        <v>46265</v>
      </c>
      <c r="F1709" t="inlineStr">
        <is>
          <t>HALLANDS LÄN</t>
        </is>
      </c>
      <c r="G1709" t="inlineStr">
        <is>
          <t>VARBERG</t>
        </is>
      </c>
      <c r="I1709" t="n">
        <v>4.2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15288-2023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45019</v>
      </c>
      <c r="E1710" s="1" t="n">
        <v>46265</v>
      </c>
      <c r="F1710" t="inlineStr">
        <is>
          <t>HALLANDS LÄN</t>
        </is>
      </c>
      <c r="G1710" t="inlineStr">
        <is>
          <t>HYLTE</t>
        </is>
      </c>
      <c r="I1710" t="n">
        <v>5.8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59897-2023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45257</v>
      </c>
      <c r="E1711" s="1" t="n">
        <v>46265</v>
      </c>
      <c r="F1711" t="inlineStr">
        <is>
          <t>HALLANDS LÄN</t>
        </is>
      </c>
      <c r="G1711" t="inlineStr">
        <is>
          <t>HYLTE</t>
        </is>
      </c>
      <c r="I1711" t="n">
        <v>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16075-2025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45749</v>
      </c>
      <c r="E1712" s="1" t="n">
        <v>46265</v>
      </c>
      <c r="F1712" t="inlineStr">
        <is>
          <t>HALLANDS LÄN</t>
        </is>
      </c>
      <c r="G1712" t="inlineStr">
        <is>
          <t>KUNGSBACKA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20436-2025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45775</v>
      </c>
      <c r="E1713" s="1" t="n">
        <v>46265</v>
      </c>
      <c r="F1713" t="inlineStr">
        <is>
          <t>HALLANDS LÄN</t>
        </is>
      </c>
      <c r="G1713" t="inlineStr">
        <is>
          <t>HALMSTAD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21915-2023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45068</v>
      </c>
      <c r="E1714" s="1" t="n">
        <v>46265</v>
      </c>
      <c r="F1714" t="inlineStr">
        <is>
          <t>HALLANDS LÄN</t>
        </is>
      </c>
      <c r="G1714" t="inlineStr">
        <is>
          <t>FALKENBERG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13168-2025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45735</v>
      </c>
      <c r="E1715" s="1" t="n">
        <v>46265</v>
      </c>
      <c r="F1715" t="inlineStr">
        <is>
          <t>HALLANDS LÄN</t>
        </is>
      </c>
      <c r="G1715" t="inlineStr">
        <is>
          <t>FALKENBERG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274-2026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46027</v>
      </c>
      <c r="E1716" s="1" t="n">
        <v>46265</v>
      </c>
      <c r="F1716" t="inlineStr">
        <is>
          <t>HALLANDS LÄN</t>
        </is>
      </c>
      <c r="G1716" t="inlineStr">
        <is>
          <t>KUNGSBACKA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45585-2022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44845</v>
      </c>
      <c r="E1717" s="1" t="n">
        <v>46265</v>
      </c>
      <c r="F1717" t="inlineStr">
        <is>
          <t>HALLANDS LÄN</t>
        </is>
      </c>
      <c r="G1717" t="inlineStr">
        <is>
          <t>HALMSTAD</t>
        </is>
      </c>
      <c r="H1717" t="inlineStr">
        <is>
          <t>Kyrkan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49182-2023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45210</v>
      </c>
      <c r="E1718" s="1" t="n">
        <v>46265</v>
      </c>
      <c r="F1718" t="inlineStr">
        <is>
          <t>HALLANDS LÄN</t>
        </is>
      </c>
      <c r="G1718" t="inlineStr">
        <is>
          <t>VARBERG</t>
        </is>
      </c>
      <c r="I1718" t="n">
        <v>5.6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1115-2026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46030</v>
      </c>
      <c r="E1719" s="1" t="n">
        <v>46265</v>
      </c>
      <c r="F1719" t="inlineStr">
        <is>
          <t>HALLANDS LÄN</t>
        </is>
      </c>
      <c r="G1719" t="inlineStr">
        <is>
          <t>HYLTE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25989-2022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44734</v>
      </c>
      <c r="E1720" s="1" t="n">
        <v>46265</v>
      </c>
      <c r="F1720" t="inlineStr">
        <is>
          <t>HALLANDS LÄN</t>
        </is>
      </c>
      <c r="G1720" t="inlineStr">
        <is>
          <t>VARBERG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24941-2024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45461</v>
      </c>
      <c r="E1721" s="1" t="n">
        <v>46265</v>
      </c>
      <c r="F1721" t="inlineStr">
        <is>
          <t>HALLANDS LÄN</t>
        </is>
      </c>
      <c r="G1721" t="inlineStr">
        <is>
          <t>KUNGSBACKA</t>
        </is>
      </c>
      <c r="H1721" t="inlineStr">
        <is>
          <t>Kommuner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1379-2026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46031</v>
      </c>
      <c r="E1722" s="1" t="n">
        <v>46265</v>
      </c>
      <c r="F1722" t="inlineStr">
        <is>
          <t>HALLANDS LÄN</t>
        </is>
      </c>
      <c r="G1722" t="inlineStr">
        <is>
          <t>KUNGSBACKA</t>
        </is>
      </c>
      <c r="I1722" t="n">
        <v>0.9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1383-2026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46031</v>
      </c>
      <c r="E1723" s="1" t="n">
        <v>46265</v>
      </c>
      <c r="F1723" t="inlineStr">
        <is>
          <t>HALLANDS LÄN</t>
        </is>
      </c>
      <c r="G1723" t="inlineStr">
        <is>
          <t>KUNGSBACKA</t>
        </is>
      </c>
      <c r="I1723" t="n">
        <v>0.6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1780-2026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46034</v>
      </c>
      <c r="E1724" s="1" t="n">
        <v>46265</v>
      </c>
      <c r="F1724" t="inlineStr">
        <is>
          <t>HALLANDS LÄN</t>
        </is>
      </c>
      <c r="G1724" t="inlineStr">
        <is>
          <t>HALMSTAD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1299-2026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46031</v>
      </c>
      <c r="E1725" s="1" t="n">
        <v>46265</v>
      </c>
      <c r="F1725" t="inlineStr">
        <is>
          <t>HALLANDS LÄN</t>
        </is>
      </c>
      <c r="G1725" t="inlineStr">
        <is>
          <t>HALMSTAD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1505-2026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46034</v>
      </c>
      <c r="E1726" s="1" t="n">
        <v>46265</v>
      </c>
      <c r="F1726" t="inlineStr">
        <is>
          <t>HALLANDS LÄN</t>
        </is>
      </c>
      <c r="G1726" t="inlineStr">
        <is>
          <t>LAHOLM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1540-2026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46034</v>
      </c>
      <c r="E1727" s="1" t="n">
        <v>46265</v>
      </c>
      <c r="F1727" t="inlineStr">
        <is>
          <t>HALLANDS LÄN</t>
        </is>
      </c>
      <c r="G1727" t="inlineStr">
        <is>
          <t>LAHOLM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16711-2025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45754</v>
      </c>
      <c r="E1728" s="1" t="n">
        <v>46265</v>
      </c>
      <c r="F1728" t="inlineStr">
        <is>
          <t>HALLANDS LÄN</t>
        </is>
      </c>
      <c r="G1728" t="inlineStr">
        <is>
          <t>HYLTE</t>
        </is>
      </c>
      <c r="I1728" t="n">
        <v>0.4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1385-2026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46031</v>
      </c>
      <c r="E1729" s="1" t="n">
        <v>46265</v>
      </c>
      <c r="F1729" t="inlineStr">
        <is>
          <t>HALLANDS LÄN</t>
        </is>
      </c>
      <c r="G1729" t="inlineStr">
        <is>
          <t>KUNGSBACKA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56925-2024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45628</v>
      </c>
      <c r="E1730" s="1" t="n">
        <v>46265</v>
      </c>
      <c r="F1730" t="inlineStr">
        <is>
          <t>HALLANDS LÄN</t>
        </is>
      </c>
      <c r="G1730" t="inlineStr">
        <is>
          <t>FALKENBERG</t>
        </is>
      </c>
      <c r="H1730" t="inlineStr">
        <is>
          <t>Kommuner</t>
        </is>
      </c>
      <c r="I1730" t="n">
        <v>5.3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15250-2025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45744</v>
      </c>
      <c r="E1731" s="1" t="n">
        <v>46265</v>
      </c>
      <c r="F1731" t="inlineStr">
        <is>
          <t>HALLANDS LÄN</t>
        </is>
      </c>
      <c r="G1731" t="inlineStr">
        <is>
          <t>VARBERG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54170-2023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45232</v>
      </c>
      <c r="E1732" s="1" t="n">
        <v>46265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2561-2026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46035</v>
      </c>
      <c r="E1733" s="1" t="n">
        <v>46265</v>
      </c>
      <c r="F1733" t="inlineStr">
        <is>
          <t>HALLANDS LÄN</t>
        </is>
      </c>
      <c r="G1733" t="inlineStr">
        <is>
          <t>FALKENBERG</t>
        </is>
      </c>
      <c r="I1733" t="n">
        <v>2.1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59623-2024</t>
        </is>
      </c>
      <c r="B1734" t="inlineStr">
        <is>
          <t>avverkningsanmälan</t>
        </is>
      </c>
      <c r="C1734" t="inlineStr">
        <is>
          <t>Avverkning för annat ändamål</t>
        </is>
      </c>
      <c r="D1734" s="1" t="n">
        <v>45638</v>
      </c>
      <c r="E1734" s="1" t="n">
        <v>46265</v>
      </c>
      <c r="F1734" t="inlineStr">
        <is>
          <t>HALLANDS LÄN</t>
        </is>
      </c>
      <c r="G1734" t="inlineStr">
        <is>
          <t>KUNGSBACKA</t>
        </is>
      </c>
      <c r="I1734" t="n">
        <v>19.2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2640-2026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46037</v>
      </c>
      <c r="E1735" s="1" t="n">
        <v>46265</v>
      </c>
      <c r="F1735" t="inlineStr">
        <is>
          <t>HALLANDS LÄN</t>
        </is>
      </c>
      <c r="G1735" t="inlineStr">
        <is>
          <t>FALKENBERG</t>
        </is>
      </c>
      <c r="H1735" t="inlineStr">
        <is>
          <t>Naturvårdsverket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2512-2026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46037</v>
      </c>
      <c r="E1736" s="1" t="n">
        <v>46265</v>
      </c>
      <c r="F1736" t="inlineStr">
        <is>
          <t>HALLANDS LÄN</t>
        </is>
      </c>
      <c r="G1736" t="inlineStr">
        <is>
          <t>FALKENBERG</t>
        </is>
      </c>
      <c r="I1736" t="n">
        <v>3.2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3022-2026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46038</v>
      </c>
      <c r="E1737" s="1" t="n">
        <v>46265</v>
      </c>
      <c r="F1737" t="inlineStr">
        <is>
          <t>HALLANDS LÄN</t>
        </is>
      </c>
      <c r="G1737" t="inlineStr">
        <is>
          <t>LAHOLM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3384-2026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46042</v>
      </c>
      <c r="E1738" s="1" t="n">
        <v>46265</v>
      </c>
      <c r="F1738" t="inlineStr">
        <is>
          <t>HALLANDS LÄN</t>
        </is>
      </c>
      <c r="G1738" t="inlineStr">
        <is>
          <t>HYLTE</t>
        </is>
      </c>
      <c r="I1738" t="n">
        <v>3.4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3530-2026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46042</v>
      </c>
      <c r="E1739" s="1" t="n">
        <v>46265</v>
      </c>
      <c r="F1739" t="inlineStr">
        <is>
          <t>HALLANDS LÄN</t>
        </is>
      </c>
      <c r="G1739" t="inlineStr">
        <is>
          <t>FALKENBERG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3199-2026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46041</v>
      </c>
      <c r="E1740" s="1" t="n">
        <v>46265</v>
      </c>
      <c r="F1740" t="inlineStr">
        <is>
          <t>HALLANDS LÄN</t>
        </is>
      </c>
      <c r="G1740" t="inlineStr">
        <is>
          <t>FALKENBERG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3388-2026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46042</v>
      </c>
      <c r="E1741" s="1" t="n">
        <v>46265</v>
      </c>
      <c r="F1741" t="inlineStr">
        <is>
          <t>HALLANDS LÄN</t>
        </is>
      </c>
      <c r="G1741" t="inlineStr">
        <is>
          <t>HYLTE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26313-2023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45091</v>
      </c>
      <c r="E1742" s="1" t="n">
        <v>46265</v>
      </c>
      <c r="F1742" t="inlineStr">
        <is>
          <t>HALLANDS LÄN</t>
        </is>
      </c>
      <c r="G1742" t="inlineStr">
        <is>
          <t>HYLTE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56451-2022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44893</v>
      </c>
      <c r="E1743" s="1" t="n">
        <v>46265</v>
      </c>
      <c r="F1743" t="inlineStr">
        <is>
          <t>HALLANDS LÄN</t>
        </is>
      </c>
      <c r="G1743" t="inlineStr">
        <is>
          <t>FALKENBERG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12924-2023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45001</v>
      </c>
      <c r="E1744" s="1" t="n">
        <v>46265</v>
      </c>
      <c r="F1744" t="inlineStr">
        <is>
          <t>HALLANDS LÄN</t>
        </is>
      </c>
      <c r="G1744" t="inlineStr">
        <is>
          <t>FALKENBERG</t>
        </is>
      </c>
      <c r="I1744" t="n">
        <v>5.3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4135-2026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46044</v>
      </c>
      <c r="E1745" s="1" t="n">
        <v>46265</v>
      </c>
      <c r="F1745" t="inlineStr">
        <is>
          <t>HALLANDS LÄN</t>
        </is>
      </c>
      <c r="G1745" t="inlineStr">
        <is>
          <t>HYLTE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46044</v>
      </c>
      <c r="E1746" s="1" t="n">
        <v>46265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4140-2026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46044</v>
      </c>
      <c r="E1747" s="1" t="n">
        <v>46265</v>
      </c>
      <c r="F1747" t="inlineStr">
        <is>
          <t>HALLANDS LÄN</t>
        </is>
      </c>
      <c r="G1747" t="inlineStr">
        <is>
          <t>HYLTE</t>
        </is>
      </c>
      <c r="I1747" t="n">
        <v>2.9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24961-2023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45085</v>
      </c>
      <c r="E1748" s="1" t="n">
        <v>46265</v>
      </c>
      <c r="F1748" t="inlineStr">
        <is>
          <t>HALLANDS LÄN</t>
        </is>
      </c>
      <c r="G1748" t="inlineStr">
        <is>
          <t>VARBERG</t>
        </is>
      </c>
      <c r="I1748" t="n">
        <v>2.5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263-2023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44928</v>
      </c>
      <c r="E1749" s="1" t="n">
        <v>46265</v>
      </c>
      <c r="F1749" t="inlineStr">
        <is>
          <t>HALLANDS LÄN</t>
        </is>
      </c>
      <c r="G1749" t="inlineStr">
        <is>
          <t>LAHOLM</t>
        </is>
      </c>
      <c r="H1749" t="inlineStr">
        <is>
          <t>Kommuner</t>
        </is>
      </c>
      <c r="I1749" t="n">
        <v>12.2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16406-2025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45751</v>
      </c>
      <c r="E1750" s="1" t="n">
        <v>46265</v>
      </c>
      <c r="F1750" t="inlineStr">
        <is>
          <t>HALLANDS LÄN</t>
        </is>
      </c>
      <c r="G1750" t="inlineStr">
        <is>
          <t>FALKENBERG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53378-2021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44468</v>
      </c>
      <c r="E1751" s="1" t="n">
        <v>46265</v>
      </c>
      <c r="F1751" t="inlineStr">
        <is>
          <t>HALLANDS LÄN</t>
        </is>
      </c>
      <c r="G1751" t="inlineStr">
        <is>
          <t>KUNGSBACKA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39746-2023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45167</v>
      </c>
      <c r="E1752" s="1" t="n">
        <v>46265</v>
      </c>
      <c r="F1752" t="inlineStr">
        <is>
          <t>HALLANDS LÄN</t>
        </is>
      </c>
      <c r="G1752" t="inlineStr">
        <is>
          <t>HALMSTAD</t>
        </is>
      </c>
      <c r="H1752" t="inlineStr">
        <is>
          <t>Kommuner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49599-2021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44455</v>
      </c>
      <c r="E1753" s="1" t="n">
        <v>46265</v>
      </c>
      <c r="F1753" t="inlineStr">
        <is>
          <t>HALLANDS LÄN</t>
        </is>
      </c>
      <c r="G1753" t="inlineStr">
        <is>
          <t>HYLTE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59119-2023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45253</v>
      </c>
      <c r="E1754" s="1" t="n">
        <v>46265</v>
      </c>
      <c r="F1754" t="inlineStr">
        <is>
          <t>HALLANDS LÄN</t>
        </is>
      </c>
      <c r="G1754" t="inlineStr">
        <is>
          <t>LAHOLM</t>
        </is>
      </c>
      <c r="I1754" t="n">
        <v>2.6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4138-2026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46044</v>
      </c>
      <c r="E1755" s="1" t="n">
        <v>46265</v>
      </c>
      <c r="F1755" t="inlineStr">
        <is>
          <t>HALLANDS LÄN</t>
        </is>
      </c>
      <c r="G1755" t="inlineStr">
        <is>
          <t>HYLTE</t>
        </is>
      </c>
      <c r="I1755" t="n">
        <v>2.5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5050-2026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46048</v>
      </c>
      <c r="E1756" s="1" t="n">
        <v>46265</v>
      </c>
      <c r="F1756" t="inlineStr">
        <is>
          <t>HALLANDS LÄN</t>
        </is>
      </c>
      <c r="G1756" t="inlineStr">
        <is>
          <t>HYLTE</t>
        </is>
      </c>
      <c r="I1756" t="n">
        <v>5.6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4993-2026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46048</v>
      </c>
      <c r="E1757" s="1" t="n">
        <v>46265</v>
      </c>
      <c r="F1757" t="inlineStr">
        <is>
          <t>HALLANDS LÄN</t>
        </is>
      </c>
      <c r="G1757" t="inlineStr">
        <is>
          <t>HYLTE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50810-2021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44460</v>
      </c>
      <c r="E1758" s="1" t="n">
        <v>46265</v>
      </c>
      <c r="F1758" t="inlineStr">
        <is>
          <t>HALLANDS LÄN</t>
        </is>
      </c>
      <c r="G1758" t="inlineStr">
        <is>
          <t>HYLTE</t>
        </is>
      </c>
      <c r="I1758" t="n">
        <v>3.2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50814-2021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44460</v>
      </c>
      <c r="E1759" s="1" t="n">
        <v>46265</v>
      </c>
      <c r="F1759" t="inlineStr">
        <is>
          <t>HALLANDS LÄN</t>
        </is>
      </c>
      <c r="G1759" t="inlineStr">
        <is>
          <t>HYLTE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5018-2026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46048</v>
      </c>
      <c r="E1760" s="1" t="n">
        <v>46265</v>
      </c>
      <c r="F1760" t="inlineStr">
        <is>
          <t>HALLANDS LÄN</t>
        </is>
      </c>
      <c r="G1760" t="inlineStr">
        <is>
          <t>HYLTE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5034-2026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46048</v>
      </c>
      <c r="E1761" s="1" t="n">
        <v>46265</v>
      </c>
      <c r="F1761" t="inlineStr">
        <is>
          <t>HALLANDS LÄN</t>
        </is>
      </c>
      <c r="G1761" t="inlineStr">
        <is>
          <t>HYLTE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5039-2026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46048</v>
      </c>
      <c r="E1762" s="1" t="n">
        <v>46265</v>
      </c>
      <c r="F1762" t="inlineStr">
        <is>
          <t>HALLANDS LÄN</t>
        </is>
      </c>
      <c r="G1762" t="inlineStr">
        <is>
          <t>HYLTE</t>
        </is>
      </c>
      <c r="I1762" t="n">
        <v>3.6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5043-2026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46048</v>
      </c>
      <c r="E1763" s="1" t="n">
        <v>46265</v>
      </c>
      <c r="F1763" t="inlineStr">
        <is>
          <t>HALLANDS LÄN</t>
        </is>
      </c>
      <c r="G1763" t="inlineStr">
        <is>
          <t>HYLTE</t>
        </is>
      </c>
      <c r="I1763" t="n">
        <v>5.2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4544-2026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46047</v>
      </c>
      <c r="E1764" s="1" t="n">
        <v>46265</v>
      </c>
      <c r="F1764" t="inlineStr">
        <is>
          <t>HALLANDS LÄN</t>
        </is>
      </c>
      <c r="G1764" t="inlineStr">
        <is>
          <t>VARBERG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46048</v>
      </c>
      <c r="E1765" s="1" t="n">
        <v>46265</v>
      </c>
      <c r="F1765" t="inlineStr">
        <is>
          <t>HALLANDS LÄN</t>
        </is>
      </c>
      <c r="G1765" t="inlineStr">
        <is>
          <t>HYLTE</t>
        </is>
      </c>
      <c r="I1765" t="n">
        <v>1.3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5053-2026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46048</v>
      </c>
      <c r="E1766" s="1" t="n">
        <v>46265</v>
      </c>
      <c r="F1766" t="inlineStr">
        <is>
          <t>HALLANDS LÄN</t>
        </is>
      </c>
      <c r="G1766" t="inlineStr">
        <is>
          <t>HYLTE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4360-2026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46045</v>
      </c>
      <c r="E1767" s="1" t="n">
        <v>46265</v>
      </c>
      <c r="F1767" t="inlineStr">
        <is>
          <t>HALLANDS LÄN</t>
        </is>
      </c>
      <c r="G1767" t="inlineStr">
        <is>
          <t>FALKENBERG</t>
        </is>
      </c>
      <c r="I1767" t="n">
        <v>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47668-2023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45203</v>
      </c>
      <c r="E1768" s="1" t="n">
        <v>46265</v>
      </c>
      <c r="F1768" t="inlineStr">
        <is>
          <t>HALLANDS LÄN</t>
        </is>
      </c>
      <c r="G1768" t="inlineStr">
        <is>
          <t>HALMSTAD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32003-2023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45119</v>
      </c>
      <c r="E1769" s="1" t="n">
        <v>46265</v>
      </c>
      <c r="F1769" t="inlineStr">
        <is>
          <t>HALLANDS LÄN</t>
        </is>
      </c>
      <c r="G1769" t="inlineStr">
        <is>
          <t>FALKENBERG</t>
        </is>
      </c>
      <c r="I1769" t="n">
        <v>10.8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20704-2023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45058</v>
      </c>
      <c r="E1770" s="1" t="n">
        <v>46265</v>
      </c>
      <c r="F1770" t="inlineStr">
        <is>
          <t>HALLANDS LÄN</t>
        </is>
      </c>
      <c r="G1770" t="inlineStr">
        <is>
          <t>VARBERG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46779-2022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44851</v>
      </c>
      <c r="E1771" s="1" t="n">
        <v>46265</v>
      </c>
      <c r="F1771" t="inlineStr">
        <is>
          <t>HALLANDS LÄN</t>
        </is>
      </c>
      <c r="G1771" t="inlineStr">
        <is>
          <t>KUNGSBACKA</t>
        </is>
      </c>
      <c r="I1771" t="n">
        <v>6.7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4545-2026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46047</v>
      </c>
      <c r="E1772" s="1" t="n">
        <v>46265</v>
      </c>
      <c r="F1772" t="inlineStr">
        <is>
          <t>HALLANDS LÄN</t>
        </is>
      </c>
      <c r="G1772" t="inlineStr">
        <is>
          <t>VARBERG</t>
        </is>
      </c>
      <c r="I1772" t="n">
        <v>2.1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51512-2022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44869</v>
      </c>
      <c r="E1773" s="1" t="n">
        <v>46265</v>
      </c>
      <c r="F1773" t="inlineStr">
        <is>
          <t>HALLANDS LÄN</t>
        </is>
      </c>
      <c r="G1773" t="inlineStr">
        <is>
          <t>HYLTE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5200-2026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46048</v>
      </c>
      <c r="E1774" s="1" t="n">
        <v>46265</v>
      </c>
      <c r="F1774" t="inlineStr">
        <is>
          <t>HALLANDS LÄN</t>
        </is>
      </c>
      <c r="G1774" t="inlineStr">
        <is>
          <t>LAHOLM</t>
        </is>
      </c>
      <c r="I1774" t="n">
        <v>4.7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4999-2026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46048</v>
      </c>
      <c r="E1775" s="1" t="n">
        <v>46265</v>
      </c>
      <c r="F1775" t="inlineStr">
        <is>
          <t>HALLANDS LÄN</t>
        </is>
      </c>
      <c r="G1775" t="inlineStr">
        <is>
          <t>HYLTE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5029-2026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46048</v>
      </c>
      <c r="E1776" s="1" t="n">
        <v>46265</v>
      </c>
      <c r="F1776" t="inlineStr">
        <is>
          <t>HALLANDS LÄN</t>
        </is>
      </c>
      <c r="G1776" t="inlineStr">
        <is>
          <t>HYLTE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5033-2026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46048</v>
      </c>
      <c r="E1777" s="1" t="n">
        <v>46265</v>
      </c>
      <c r="F1777" t="inlineStr">
        <is>
          <t>HALLANDS LÄN</t>
        </is>
      </c>
      <c r="G1777" t="inlineStr">
        <is>
          <t>HYLTE</t>
        </is>
      </c>
      <c r="I1777" t="n">
        <v>3.9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5037-2026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46048</v>
      </c>
      <c r="E1778" s="1" t="n">
        <v>46265</v>
      </c>
      <c r="F1778" t="inlineStr">
        <is>
          <t>HALLANDS LÄN</t>
        </is>
      </c>
      <c r="G1778" t="inlineStr">
        <is>
          <t>HYLTE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5201-2026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46049</v>
      </c>
      <c r="E1779" s="1" t="n">
        <v>46265</v>
      </c>
      <c r="F1779" t="inlineStr">
        <is>
          <t>HALLANDS LÄN</t>
        </is>
      </c>
      <c r="G1779" t="inlineStr">
        <is>
          <t>HYLTE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55257-2022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44882</v>
      </c>
      <c r="E1780" s="1" t="n">
        <v>46265</v>
      </c>
      <c r="F1780" t="inlineStr">
        <is>
          <t>HALLANDS LÄN</t>
        </is>
      </c>
      <c r="G1780" t="inlineStr">
        <is>
          <t>FALKENBERG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27075-2023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45096</v>
      </c>
      <c r="E1781" s="1" t="n">
        <v>46265</v>
      </c>
      <c r="F1781" t="inlineStr">
        <is>
          <t>HALLANDS LÄN</t>
        </is>
      </c>
      <c r="G1781" t="inlineStr">
        <is>
          <t>HYLTE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58061-2022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44900</v>
      </c>
      <c r="E1782" s="1" t="n">
        <v>46265</v>
      </c>
      <c r="F1782" t="inlineStr">
        <is>
          <t>HALLANDS LÄN</t>
        </is>
      </c>
      <c r="G1782" t="inlineStr">
        <is>
          <t>HYLTE</t>
        </is>
      </c>
      <c r="H1782" t="inlineStr">
        <is>
          <t>Bergvik skog väst AB</t>
        </is>
      </c>
      <c r="I1782" t="n">
        <v>10.7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23886-2024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45455</v>
      </c>
      <c r="E1783" s="1" t="n">
        <v>46265</v>
      </c>
      <c r="F1783" t="inlineStr">
        <is>
          <t>HALLANDS LÄN</t>
        </is>
      </c>
      <c r="G1783" t="inlineStr">
        <is>
          <t>VARBERG</t>
        </is>
      </c>
      <c r="H1783" t="inlineStr">
        <is>
          <t>Kyrkan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5433-2026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46050</v>
      </c>
      <c r="E1784" s="1" t="n">
        <v>46265</v>
      </c>
      <c r="F1784" t="inlineStr">
        <is>
          <t>HALLANDS LÄN</t>
        </is>
      </c>
      <c r="G1784" t="inlineStr">
        <is>
          <t>HALMSTAD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12923-2024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45385</v>
      </c>
      <c r="E1785" s="1" t="n">
        <v>46265</v>
      </c>
      <c r="F1785" t="inlineStr">
        <is>
          <t>HALLANDS LÄN</t>
        </is>
      </c>
      <c r="G1785" t="inlineStr">
        <is>
          <t>LAHOLM</t>
        </is>
      </c>
      <c r="I1785" t="n">
        <v>5.7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5046-2026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46049</v>
      </c>
      <c r="E1786" s="1" t="n">
        <v>46265</v>
      </c>
      <c r="F1786" t="inlineStr">
        <is>
          <t>HALLANDS LÄN</t>
        </is>
      </c>
      <c r="G1786" t="inlineStr">
        <is>
          <t>FALKENBERG</t>
        </is>
      </c>
      <c r="I1786" t="n">
        <v>2.9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28835-2023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45104</v>
      </c>
      <c r="E1787" s="1" t="n">
        <v>46265</v>
      </c>
      <c r="F1787" t="inlineStr">
        <is>
          <t>HALLANDS LÄN</t>
        </is>
      </c>
      <c r="G1787" t="inlineStr">
        <is>
          <t>HYLTE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33329-2025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45841</v>
      </c>
      <c r="E1788" s="1" t="n">
        <v>46265</v>
      </c>
      <c r="F1788" t="inlineStr">
        <is>
          <t>HALLANDS LÄN</t>
        </is>
      </c>
      <c r="G1788" t="inlineStr">
        <is>
          <t>LAHOLM</t>
        </is>
      </c>
      <c r="I1788" t="n">
        <v>9.199999999999999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6097-2026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46265</v>
      </c>
      <c r="F1789" t="inlineStr">
        <is>
          <t>HALLANDS LÄN</t>
        </is>
      </c>
      <c r="G1789" t="inlineStr">
        <is>
          <t>HYLTE</t>
        </is>
      </c>
      <c r="I1789" t="n">
        <v>0.7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63667-2023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45275</v>
      </c>
      <c r="E1790" s="1" t="n">
        <v>46265</v>
      </c>
      <c r="F1790" t="inlineStr">
        <is>
          <t>HALLANDS LÄN</t>
        </is>
      </c>
      <c r="G1790" t="inlineStr">
        <is>
          <t>VARBERG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53939-2021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44469</v>
      </c>
      <c r="E1791" s="1" t="n">
        <v>46265</v>
      </c>
      <c r="F1791" t="inlineStr">
        <is>
          <t>HALLANDS LÄN</t>
        </is>
      </c>
      <c r="G1791" t="inlineStr">
        <is>
          <t>FALKENBERG</t>
        </is>
      </c>
      <c r="I1791" t="n">
        <v>0.2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10808-2024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45369</v>
      </c>
      <c r="E1792" s="1" t="n">
        <v>46265</v>
      </c>
      <c r="F1792" t="inlineStr">
        <is>
          <t>HALLANDS LÄN</t>
        </is>
      </c>
      <c r="G1792" t="inlineStr">
        <is>
          <t>VARBERG</t>
        </is>
      </c>
      <c r="I1792" t="n">
        <v>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968-2023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44935</v>
      </c>
      <c r="E1793" s="1" t="n">
        <v>46265</v>
      </c>
      <c r="F1793" t="inlineStr">
        <is>
          <t>HALLANDS LÄN</t>
        </is>
      </c>
      <c r="G1793" t="inlineStr">
        <is>
          <t>VARBERG</t>
        </is>
      </c>
      <c r="I1793" t="n">
        <v>1.8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6094-2026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46052</v>
      </c>
      <c r="E1794" s="1" t="n">
        <v>46265</v>
      </c>
      <c r="F1794" t="inlineStr">
        <is>
          <t>HALLANDS LÄN</t>
        </is>
      </c>
      <c r="G1794" t="inlineStr">
        <is>
          <t>HYLTE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5829-2026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46052</v>
      </c>
      <c r="E1795" s="1" t="n">
        <v>46265</v>
      </c>
      <c r="F1795" t="inlineStr">
        <is>
          <t>HALLANDS LÄN</t>
        </is>
      </c>
      <c r="G1795" t="inlineStr">
        <is>
          <t>KUNGSBACKA</t>
        </is>
      </c>
      <c r="I1795" t="n">
        <v>4.7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11523-2024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45372</v>
      </c>
      <c r="E1796" s="1" t="n">
        <v>46265</v>
      </c>
      <c r="F1796" t="inlineStr">
        <is>
          <t>HALLANDS LÄN</t>
        </is>
      </c>
      <c r="G1796" t="inlineStr">
        <is>
          <t>VARBERG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63795-2023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45278</v>
      </c>
      <c r="E1797" s="1" t="n">
        <v>46265</v>
      </c>
      <c r="F1797" t="inlineStr">
        <is>
          <t>HALLANDS LÄN</t>
        </is>
      </c>
      <c r="G1797" t="inlineStr">
        <is>
          <t>LAHOLM</t>
        </is>
      </c>
      <c r="I1797" t="n">
        <v>5.9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5987-2026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46052</v>
      </c>
      <c r="E1798" s="1" t="n">
        <v>46265</v>
      </c>
      <c r="F1798" t="inlineStr">
        <is>
          <t>HALLANDS LÄN</t>
        </is>
      </c>
      <c r="G1798" t="inlineStr">
        <is>
          <t>FALKENBERG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5917-2026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46052</v>
      </c>
      <c r="E1799" s="1" t="n">
        <v>46265</v>
      </c>
      <c r="F1799" t="inlineStr">
        <is>
          <t>HALLANDS LÄN</t>
        </is>
      </c>
      <c r="G1799" t="inlineStr">
        <is>
          <t>LAHOLM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6753-2024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45342</v>
      </c>
      <c r="E1800" s="1" t="n">
        <v>46265</v>
      </c>
      <c r="F1800" t="inlineStr">
        <is>
          <t>HALLANDS LÄN</t>
        </is>
      </c>
      <c r="G1800" t="inlineStr">
        <is>
          <t>LAHOLM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6754-2024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45342</v>
      </c>
      <c r="E1801" s="1" t="n">
        <v>46265</v>
      </c>
      <c r="F1801" t="inlineStr">
        <is>
          <t>HALLANDS LÄN</t>
        </is>
      </c>
      <c r="G1801" t="inlineStr">
        <is>
          <t>LAHOLM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46055</v>
      </c>
      <c r="E1802" s="1" t="n">
        <v>46265</v>
      </c>
      <c r="F1802" t="inlineStr">
        <is>
          <t>HALLANDS LÄN</t>
        </is>
      </c>
      <c r="G1802" t="inlineStr">
        <is>
          <t>VARBERG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6306-2026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46055</v>
      </c>
      <c r="E1803" s="1" t="n">
        <v>46265</v>
      </c>
      <c r="F1803" t="inlineStr">
        <is>
          <t>HALLANDS LÄN</t>
        </is>
      </c>
      <c r="G1803" t="inlineStr">
        <is>
          <t>VARBERG</t>
        </is>
      </c>
      <c r="I1803" t="n">
        <v>2.4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21460-2024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45441</v>
      </c>
      <c r="E1804" s="1" t="n">
        <v>46265</v>
      </c>
      <c r="F1804" t="inlineStr">
        <is>
          <t>HALLANDS LÄN</t>
        </is>
      </c>
      <c r="G1804" t="inlineStr">
        <is>
          <t>HYLTE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21462-2024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45441</v>
      </c>
      <c r="E1805" s="1" t="n">
        <v>46265</v>
      </c>
      <c r="F1805" t="inlineStr">
        <is>
          <t>HALLANDS LÄN</t>
        </is>
      </c>
      <c r="G1805" t="inlineStr">
        <is>
          <t>HYLTE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24122-2024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45456</v>
      </c>
      <c r="E1806" s="1" t="n">
        <v>46265</v>
      </c>
      <c r="F1806" t="inlineStr">
        <is>
          <t>HALLANDS LÄN</t>
        </is>
      </c>
      <c r="G1806" t="inlineStr">
        <is>
          <t>FALKENBERG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6135-2026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46054</v>
      </c>
      <c r="E1807" s="1" t="n">
        <v>46265</v>
      </c>
      <c r="F1807" t="inlineStr">
        <is>
          <t>HALLANDS LÄN</t>
        </is>
      </c>
      <c r="G1807" t="inlineStr">
        <is>
          <t>KUNGSBACKA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6166-2026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46055</v>
      </c>
      <c r="E1808" s="1" t="n">
        <v>46265</v>
      </c>
      <c r="F1808" t="inlineStr">
        <is>
          <t>HALLANDS LÄN</t>
        </is>
      </c>
      <c r="G1808" t="inlineStr">
        <is>
          <t>HYLTE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6233-2026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46055</v>
      </c>
      <c r="E1809" s="1" t="n">
        <v>46265</v>
      </c>
      <c r="F1809" t="inlineStr">
        <is>
          <t>HALLANDS LÄN</t>
        </is>
      </c>
      <c r="G1809" t="inlineStr">
        <is>
          <t>FALKENBERG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4714-2023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44957</v>
      </c>
      <c r="E1810" s="1" t="n">
        <v>46265</v>
      </c>
      <c r="F1810" t="inlineStr">
        <is>
          <t>HALLANDS LÄN</t>
        </is>
      </c>
      <c r="G1810" t="inlineStr">
        <is>
          <t>FALKENBERG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46054</v>
      </c>
      <c r="E1811" s="1" t="n">
        <v>46265</v>
      </c>
      <c r="F1811" t="inlineStr">
        <is>
          <t>HALLANDS LÄN</t>
        </is>
      </c>
      <c r="G1811" t="inlineStr">
        <is>
          <t>KUNGSBACKA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46054</v>
      </c>
      <c r="E1812" s="1" t="n">
        <v>46265</v>
      </c>
      <c r="F1812" t="inlineStr">
        <is>
          <t>HALLANDS LÄN</t>
        </is>
      </c>
      <c r="G1812" t="inlineStr">
        <is>
          <t>KUNGSBACKA</t>
        </is>
      </c>
      <c r="I1812" t="n">
        <v>2.1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6467-2026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46056</v>
      </c>
      <c r="E1813" s="1" t="n">
        <v>46265</v>
      </c>
      <c r="F1813" t="inlineStr">
        <is>
          <t>HALLANDS LÄN</t>
        </is>
      </c>
      <c r="G1813" t="inlineStr">
        <is>
          <t>LAHOLM</t>
        </is>
      </c>
      <c r="H1813" t="inlineStr">
        <is>
          <t>Kyrkan</t>
        </is>
      </c>
      <c r="I1813" t="n">
        <v>0.7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6474-2026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46056</v>
      </c>
      <c r="E1814" s="1" t="n">
        <v>46265</v>
      </c>
      <c r="F1814" t="inlineStr">
        <is>
          <t>HALLANDS LÄN</t>
        </is>
      </c>
      <c r="G1814" t="inlineStr">
        <is>
          <t>LAHOLM</t>
        </is>
      </c>
      <c r="H1814" t="inlineStr">
        <is>
          <t>Kyrkan</t>
        </is>
      </c>
      <c r="I1814" t="n">
        <v>4.2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53192-2023</t>
        </is>
      </c>
      <c r="B1815" t="inlineStr">
        <is>
          <t>avverkningsanmälan</t>
        </is>
      </c>
      <c r="C1815" t="inlineStr">
        <is>
          <t>Avverkning för att bevara och utveckla /försöksver</t>
        </is>
      </c>
      <c r="D1815" s="1" t="n">
        <v>45229</v>
      </c>
      <c r="E1815" s="1" t="n">
        <v>46265</v>
      </c>
      <c r="F1815" t="inlineStr">
        <is>
          <t>HALLANDS LÄN</t>
        </is>
      </c>
      <c r="G1815" t="inlineStr">
        <is>
          <t>HYLTE</t>
        </is>
      </c>
      <c r="I1815" t="n">
        <v>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63609-2023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45275</v>
      </c>
      <c r="E1816" s="1" t="n">
        <v>46265</v>
      </c>
      <c r="F1816" t="inlineStr">
        <is>
          <t>HALLANDS LÄN</t>
        </is>
      </c>
      <c r="G1816" t="inlineStr">
        <is>
          <t>HALMSTAD</t>
        </is>
      </c>
      <c r="I1816" t="n">
        <v>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54606-2025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45966</v>
      </c>
      <c r="E1817" s="1" t="n">
        <v>46265</v>
      </c>
      <c r="F1817" t="inlineStr">
        <is>
          <t>HALLANDS LÄN</t>
        </is>
      </c>
      <c r="G1817" t="inlineStr">
        <is>
          <t>FALKENBERG</t>
        </is>
      </c>
      <c r="I1817" t="n">
        <v>5.2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6990-2026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46057</v>
      </c>
      <c r="E1818" s="1" t="n">
        <v>46265</v>
      </c>
      <c r="F1818" t="inlineStr">
        <is>
          <t>HALLANDS LÄN</t>
        </is>
      </c>
      <c r="G1818" t="inlineStr">
        <is>
          <t>HALMSTAD</t>
        </is>
      </c>
      <c r="I1818" t="n">
        <v>2.9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6766-2026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46057</v>
      </c>
      <c r="E1819" s="1" t="n">
        <v>46265</v>
      </c>
      <c r="F1819" t="inlineStr">
        <is>
          <t>HALLANDS LÄN</t>
        </is>
      </c>
      <c r="G1819" t="inlineStr">
        <is>
          <t>HALMSTAD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11961-2023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44994</v>
      </c>
      <c r="E1820" s="1" t="n">
        <v>46265</v>
      </c>
      <c r="F1820" t="inlineStr">
        <is>
          <t>HALLANDS LÄN</t>
        </is>
      </c>
      <c r="G1820" t="inlineStr">
        <is>
          <t>KUNGSBACKA</t>
        </is>
      </c>
      <c r="I1820" t="n">
        <v>1.7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7015-2026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46057</v>
      </c>
      <c r="E1821" s="1" t="n">
        <v>46265</v>
      </c>
      <c r="F1821" t="inlineStr">
        <is>
          <t>HALLANDS LÄN</t>
        </is>
      </c>
      <c r="G1821" t="inlineStr">
        <is>
          <t>HYLTE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54048-2021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44470</v>
      </c>
      <c r="E1822" s="1" t="n">
        <v>46265</v>
      </c>
      <c r="F1822" t="inlineStr">
        <is>
          <t>HALLANDS LÄN</t>
        </is>
      </c>
      <c r="G1822" t="inlineStr">
        <is>
          <t>VARBERG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41786-2024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45561</v>
      </c>
      <c r="E1823" s="1" t="n">
        <v>46265</v>
      </c>
      <c r="F1823" t="inlineStr">
        <is>
          <t>HALLANDS LÄN</t>
        </is>
      </c>
      <c r="G1823" t="inlineStr">
        <is>
          <t>HALMSTAD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30041-2023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45110</v>
      </c>
      <c r="E1824" s="1" t="n">
        <v>46265</v>
      </c>
      <c r="F1824" t="inlineStr">
        <is>
          <t>HALLANDS LÄN</t>
        </is>
      </c>
      <c r="G1824" t="inlineStr">
        <is>
          <t>HYLTE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15028-2023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45015</v>
      </c>
      <c r="E1825" s="1" t="n">
        <v>46265</v>
      </c>
      <c r="F1825" t="inlineStr">
        <is>
          <t>HALLANDS LÄN</t>
        </is>
      </c>
      <c r="G1825" t="inlineStr">
        <is>
          <t>HALMSTAD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15029-2023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45015</v>
      </c>
      <c r="E1826" s="1" t="n">
        <v>46265</v>
      </c>
      <c r="F1826" t="inlineStr">
        <is>
          <t>HALLANDS LÄN</t>
        </is>
      </c>
      <c r="G1826" t="inlineStr">
        <is>
          <t>HALMSTAD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66311-2021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44518</v>
      </c>
      <c r="E1827" s="1" t="n">
        <v>46265</v>
      </c>
      <c r="F1827" t="inlineStr">
        <is>
          <t>HALLANDS LÄN</t>
        </is>
      </c>
      <c r="G1827" t="inlineStr">
        <is>
          <t>HALMSTAD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9417-2023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44981</v>
      </c>
      <c r="E1828" s="1" t="n">
        <v>46265</v>
      </c>
      <c r="F1828" t="inlineStr">
        <is>
          <t>HALLANDS LÄN</t>
        </is>
      </c>
      <c r="G1828" t="inlineStr">
        <is>
          <t>KUNGSBACKA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22584-2023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45071</v>
      </c>
      <c r="E1829" s="1" t="n">
        <v>46265</v>
      </c>
      <c r="F1829" t="inlineStr">
        <is>
          <t>HALLANDS LÄN</t>
        </is>
      </c>
      <c r="G1829" t="inlineStr">
        <is>
          <t>LAHOLM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70848-2021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44538</v>
      </c>
      <c r="E1830" s="1" t="n">
        <v>46265</v>
      </c>
      <c r="F1830" t="inlineStr">
        <is>
          <t>HALLANDS LÄN</t>
        </is>
      </c>
      <c r="G1830" t="inlineStr">
        <is>
          <t>FALKENBERG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17637-2025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45758</v>
      </c>
      <c r="E1831" s="1" t="n">
        <v>46265</v>
      </c>
      <c r="F1831" t="inlineStr">
        <is>
          <t>HALLANDS LÄN</t>
        </is>
      </c>
      <c r="G1831" t="inlineStr">
        <is>
          <t>HALMSTAD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10664-2025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45721</v>
      </c>
      <c r="E1832" s="1" t="n">
        <v>46265</v>
      </c>
      <c r="F1832" t="inlineStr">
        <is>
          <t>HALLANDS LÄN</t>
        </is>
      </c>
      <c r="G1832" t="inlineStr">
        <is>
          <t>KUNGSBACKA</t>
        </is>
      </c>
      <c r="I1832" t="n">
        <v>15.2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44090-2023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45188</v>
      </c>
      <c r="E1833" s="1" t="n">
        <v>46265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3446-2023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44949</v>
      </c>
      <c r="E1834" s="1" t="n">
        <v>46265</v>
      </c>
      <c r="F1834" t="inlineStr">
        <is>
          <t>HALLANDS LÄN</t>
        </is>
      </c>
      <c r="G1834" t="inlineStr">
        <is>
          <t>LAHOLM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6765-2026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46057</v>
      </c>
      <c r="E1835" s="1" t="n">
        <v>46265</v>
      </c>
      <c r="F1835" t="inlineStr">
        <is>
          <t>HALLANDS LÄN</t>
        </is>
      </c>
      <c r="G1835" t="inlineStr">
        <is>
          <t>LAHOLM</t>
        </is>
      </c>
      <c r="I1835" t="n">
        <v>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59766-2023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45257</v>
      </c>
      <c r="E1836" s="1" t="n">
        <v>46265</v>
      </c>
      <c r="F1836" t="inlineStr">
        <is>
          <t>HALLANDS LÄN</t>
        </is>
      </c>
      <c r="G1836" t="inlineStr">
        <is>
          <t>HALMSTAD</t>
        </is>
      </c>
      <c r="I1836" t="n">
        <v>3.5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6508-2023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44966</v>
      </c>
      <c r="E1837" s="1" t="n">
        <v>46265</v>
      </c>
      <c r="F1837" t="inlineStr">
        <is>
          <t>HALLANDS LÄN</t>
        </is>
      </c>
      <c r="G1837" t="inlineStr">
        <is>
          <t>FALKENBERG</t>
        </is>
      </c>
      <c r="I1837" t="n">
        <v>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40562-2023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45170</v>
      </c>
      <c r="E1838" s="1" t="n">
        <v>46265</v>
      </c>
      <c r="F1838" t="inlineStr">
        <is>
          <t>HALLANDS LÄN</t>
        </is>
      </c>
      <c r="G1838" t="inlineStr">
        <is>
          <t>HYLTE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62142-2024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45656</v>
      </c>
      <c r="E1839" s="1" t="n">
        <v>46265</v>
      </c>
      <c r="F1839" t="inlineStr">
        <is>
          <t>HALLANDS LÄN</t>
        </is>
      </c>
      <c r="G1839" t="inlineStr">
        <is>
          <t>KUNGSBACKA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62143-2024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45656</v>
      </c>
      <c r="E1840" s="1" t="n">
        <v>46265</v>
      </c>
      <c r="F1840" t="inlineStr">
        <is>
          <t>HALLANDS LÄN</t>
        </is>
      </c>
      <c r="G1840" t="inlineStr">
        <is>
          <t>KUNGSBACKA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6983-2026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46057</v>
      </c>
      <c r="E1841" s="1" t="n">
        <v>46265</v>
      </c>
      <c r="F1841" t="inlineStr">
        <is>
          <t>HALLANDS LÄN</t>
        </is>
      </c>
      <c r="G1841" t="inlineStr">
        <is>
          <t>HALMSTAD</t>
        </is>
      </c>
      <c r="I1841" t="n">
        <v>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22158-2023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45069</v>
      </c>
      <c r="E1842" s="1" t="n">
        <v>46265</v>
      </c>
      <c r="F1842" t="inlineStr">
        <is>
          <t>HALLANDS LÄN</t>
        </is>
      </c>
      <c r="G1842" t="inlineStr">
        <is>
          <t>LAHOLM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7877-2024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45350</v>
      </c>
      <c r="E1843" s="1" t="n">
        <v>46265</v>
      </c>
      <c r="F1843" t="inlineStr">
        <is>
          <t>HALLANDS LÄN</t>
        </is>
      </c>
      <c r="G1843" t="inlineStr">
        <is>
          <t>FALKENBERG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8709-2024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45356</v>
      </c>
      <c r="E1844" s="1" t="n">
        <v>46265</v>
      </c>
      <c r="F1844" t="inlineStr">
        <is>
          <t>HALLANDS LÄN</t>
        </is>
      </c>
      <c r="G1844" t="inlineStr">
        <is>
          <t>HALMSTAD</t>
        </is>
      </c>
      <c r="I1844" t="n">
        <v>3.7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64404-2023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45280</v>
      </c>
      <c r="E1845" s="1" t="n">
        <v>46265</v>
      </c>
      <c r="F1845" t="inlineStr">
        <is>
          <t>HALLANDS LÄN</t>
        </is>
      </c>
      <c r="G1845" t="inlineStr">
        <is>
          <t>FALKENBERG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5994-2024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45336</v>
      </c>
      <c r="E1846" s="1" t="n">
        <v>46265</v>
      </c>
      <c r="F1846" t="inlineStr">
        <is>
          <t>HALLANDS LÄN</t>
        </is>
      </c>
      <c r="G1846" t="inlineStr">
        <is>
          <t>VARBERG</t>
        </is>
      </c>
      <c r="I1846" t="n">
        <v>3.7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7761-2026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46062</v>
      </c>
      <c r="E1847" s="1" t="n">
        <v>46265</v>
      </c>
      <c r="F1847" t="inlineStr">
        <is>
          <t>HALLANDS LÄN</t>
        </is>
      </c>
      <c r="G1847" t="inlineStr">
        <is>
          <t>HYLTE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72470-2021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44545</v>
      </c>
      <c r="E1848" s="1" t="n">
        <v>46265</v>
      </c>
      <c r="F1848" t="inlineStr">
        <is>
          <t>HALLANDS LÄN</t>
        </is>
      </c>
      <c r="G1848" t="inlineStr">
        <is>
          <t>FALKENBERG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2394-2024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45310</v>
      </c>
      <c r="E1849" s="1" t="n">
        <v>46265</v>
      </c>
      <c r="F1849" t="inlineStr">
        <is>
          <t>HALLANDS LÄN</t>
        </is>
      </c>
      <c r="G1849" t="inlineStr">
        <is>
          <t>HYLTE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34473-2023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45139</v>
      </c>
      <c r="E1850" s="1" t="n">
        <v>46265</v>
      </c>
      <c r="F1850" t="inlineStr">
        <is>
          <t>HALLANDS LÄN</t>
        </is>
      </c>
      <c r="G1850" t="inlineStr">
        <is>
          <t>LAHOLM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4919-2024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45329</v>
      </c>
      <c r="E1851" s="1" t="n">
        <v>46265</v>
      </c>
      <c r="F1851" t="inlineStr">
        <is>
          <t>HALLANDS LÄN</t>
        </is>
      </c>
      <c r="G1851" t="inlineStr">
        <is>
          <t>KUNGSBACKA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17293-2025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45756</v>
      </c>
      <c r="E1852" s="1" t="n">
        <v>46265</v>
      </c>
      <c r="F1852" t="inlineStr">
        <is>
          <t>HALLANDS LÄN</t>
        </is>
      </c>
      <c r="G1852" t="inlineStr">
        <is>
          <t>KUNGSBACKA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16887-2025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45755</v>
      </c>
      <c r="E1853" s="1" t="n">
        <v>46265</v>
      </c>
      <c r="F1853" t="inlineStr">
        <is>
          <t>HALLANDS LÄN</t>
        </is>
      </c>
      <c r="G1853" t="inlineStr">
        <is>
          <t>KUNGSBACKA</t>
        </is>
      </c>
      <c r="H1853" t="inlineStr">
        <is>
          <t>Övriga Aktiebolag</t>
        </is>
      </c>
      <c r="I1853" t="n">
        <v>3.5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7705-2026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46062</v>
      </c>
      <c r="E1854" s="1" t="n">
        <v>46265</v>
      </c>
      <c r="F1854" t="inlineStr">
        <is>
          <t>HALLANDS LÄN</t>
        </is>
      </c>
      <c r="G1854" t="inlineStr">
        <is>
          <t>HALMSTAD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61976-2024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45653</v>
      </c>
      <c r="E1855" s="1" t="n">
        <v>46265</v>
      </c>
      <c r="F1855" t="inlineStr">
        <is>
          <t>HALLANDS LÄN</t>
        </is>
      </c>
      <c r="G1855" t="inlineStr">
        <is>
          <t>KUNGSBACKA</t>
        </is>
      </c>
      <c r="I1855" t="n">
        <v>0.1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5800-2025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45694</v>
      </c>
      <c r="E1856" s="1" t="n">
        <v>46265</v>
      </c>
      <c r="F1856" t="inlineStr">
        <is>
          <t>HALLANDS LÄN</t>
        </is>
      </c>
      <c r="G1856" t="inlineStr">
        <is>
          <t>HYLTE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49889-2024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45597</v>
      </c>
      <c r="E1857" s="1" t="n">
        <v>46265</v>
      </c>
      <c r="F1857" t="inlineStr">
        <is>
          <t>HALLANDS LÄN</t>
        </is>
      </c>
      <c r="G1857" t="inlineStr">
        <is>
          <t>FALKENBERG</t>
        </is>
      </c>
      <c r="H1857" t="inlineStr">
        <is>
          <t>Kyrkan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31568-2023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45117</v>
      </c>
      <c r="E1858" s="1" t="n">
        <v>46265</v>
      </c>
      <c r="F1858" t="inlineStr">
        <is>
          <t>HALLANDS LÄN</t>
        </is>
      </c>
      <c r="G1858" t="inlineStr">
        <is>
          <t>FALKENBERG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57562-2022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44896</v>
      </c>
      <c r="E1859" s="1" t="n">
        <v>46265</v>
      </c>
      <c r="F1859" t="inlineStr">
        <is>
          <t>HALLANDS LÄN</t>
        </is>
      </c>
      <c r="G1859" t="inlineStr">
        <is>
          <t>VARBERG</t>
        </is>
      </c>
      <c r="I1859" t="n">
        <v>4.5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7124-2024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45344</v>
      </c>
      <c r="E1860" s="1" t="n">
        <v>46265</v>
      </c>
      <c r="F1860" t="inlineStr">
        <is>
          <t>HALLANDS LÄN</t>
        </is>
      </c>
      <c r="G1860" t="inlineStr">
        <is>
          <t>VARBERG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52168-2021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44463</v>
      </c>
      <c r="E1861" s="1" t="n">
        <v>46265</v>
      </c>
      <c r="F1861" t="inlineStr">
        <is>
          <t>HALLANDS LÄN</t>
        </is>
      </c>
      <c r="G1861" t="inlineStr">
        <is>
          <t>LAHOLM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16125-2024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45406</v>
      </c>
      <c r="E1862" s="1" t="n">
        <v>46265</v>
      </c>
      <c r="F1862" t="inlineStr">
        <is>
          <t>HALLANDS LÄN</t>
        </is>
      </c>
      <c r="G1862" t="inlineStr">
        <is>
          <t>HYLTE</t>
        </is>
      </c>
      <c r="I1862" t="n">
        <v>5.4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55312-2023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45237</v>
      </c>
      <c r="E1863" s="1" t="n">
        <v>46265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59429-2021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44491</v>
      </c>
      <c r="E1864" s="1" t="n">
        <v>46265</v>
      </c>
      <c r="F1864" t="inlineStr">
        <is>
          <t>HALLANDS LÄN</t>
        </is>
      </c>
      <c r="G1864" t="inlineStr">
        <is>
          <t>LAHOLM</t>
        </is>
      </c>
      <c r="I1864" t="n">
        <v>1.9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6909-2023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44967</v>
      </c>
      <c r="E1865" s="1" t="n">
        <v>46265</v>
      </c>
      <c r="F1865" t="inlineStr">
        <is>
          <t>HALLANDS LÄN</t>
        </is>
      </c>
      <c r="G1865" t="inlineStr">
        <is>
          <t>HYLTE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32505-2023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45110</v>
      </c>
      <c r="E1866" s="1" t="n">
        <v>46265</v>
      </c>
      <c r="F1866" t="inlineStr">
        <is>
          <t>HALLANDS LÄN</t>
        </is>
      </c>
      <c r="G1866" t="inlineStr">
        <is>
          <t>HYLTE</t>
        </is>
      </c>
      <c r="I1866" t="n">
        <v>4.2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3427-2023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44949</v>
      </c>
      <c r="E1867" s="1" t="n">
        <v>46265</v>
      </c>
      <c r="F1867" t="inlineStr">
        <is>
          <t>HALLANDS LÄN</t>
        </is>
      </c>
      <c r="G1867" t="inlineStr">
        <is>
          <t>LAHOLM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12470-2023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44999</v>
      </c>
      <c r="E1868" s="1" t="n">
        <v>46265</v>
      </c>
      <c r="F1868" t="inlineStr">
        <is>
          <t>HALLANDS LÄN</t>
        </is>
      </c>
      <c r="G1868" t="inlineStr">
        <is>
          <t>FALKENBERG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33490-2023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45131</v>
      </c>
      <c r="E1869" s="1" t="n">
        <v>46265</v>
      </c>
      <c r="F1869" t="inlineStr">
        <is>
          <t>HALLANDS LÄN</t>
        </is>
      </c>
      <c r="G1869" t="inlineStr">
        <is>
          <t>FALKENBERG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7753-2026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46062</v>
      </c>
      <c r="E1870" s="1" t="n">
        <v>46265</v>
      </c>
      <c r="F1870" t="inlineStr">
        <is>
          <t>HALLANDS LÄN</t>
        </is>
      </c>
      <c r="G1870" t="inlineStr">
        <is>
          <t>HYLTE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7538-2026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46059</v>
      </c>
      <c r="E1871" s="1" t="n">
        <v>46265</v>
      </c>
      <c r="F1871" t="inlineStr">
        <is>
          <t>HALLANDS LÄN</t>
        </is>
      </c>
      <c r="G1871" t="inlineStr">
        <is>
          <t>HALMSTAD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35058-2023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45145</v>
      </c>
      <c r="E1872" s="1" t="n">
        <v>46265</v>
      </c>
      <c r="F1872" t="inlineStr">
        <is>
          <t>HALLANDS LÄN</t>
        </is>
      </c>
      <c r="G1872" t="inlineStr">
        <is>
          <t>HYLTE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34969-2023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45142</v>
      </c>
      <c r="E1873" s="1" t="n">
        <v>46265</v>
      </c>
      <c r="F1873" t="inlineStr">
        <is>
          <t>HALLANDS LÄN</t>
        </is>
      </c>
      <c r="G1873" t="inlineStr">
        <is>
          <t>FALKENBERG</t>
        </is>
      </c>
      <c r="I1873" t="n">
        <v>4.6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9839-2024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45363</v>
      </c>
      <c r="E1874" s="1" t="n">
        <v>46265</v>
      </c>
      <c r="F1874" t="inlineStr">
        <is>
          <t>HALLANDS LÄN</t>
        </is>
      </c>
      <c r="G1874" t="inlineStr">
        <is>
          <t>HALMSTAD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7428-2026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46059</v>
      </c>
      <c r="E1875" s="1" t="n">
        <v>46265</v>
      </c>
      <c r="F1875" t="inlineStr">
        <is>
          <t>HALLANDS LÄN</t>
        </is>
      </c>
      <c r="G1875" t="inlineStr">
        <is>
          <t>HALMSTAD</t>
        </is>
      </c>
      <c r="I1875" t="n">
        <v>1.2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41836-2024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45561</v>
      </c>
      <c r="E1876" s="1" t="n">
        <v>46265</v>
      </c>
      <c r="F1876" t="inlineStr">
        <is>
          <t>HALLANDS LÄN</t>
        </is>
      </c>
      <c r="G1876" t="inlineStr">
        <is>
          <t>HALMSTAD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31650-2023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45117</v>
      </c>
      <c r="E1877" s="1" t="n">
        <v>46265</v>
      </c>
      <c r="F1877" t="inlineStr">
        <is>
          <t>HALLANDS LÄN</t>
        </is>
      </c>
      <c r="G1877" t="inlineStr">
        <is>
          <t>HYLTE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8287-2024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45352</v>
      </c>
      <c r="E1878" s="1" t="n">
        <v>46265</v>
      </c>
      <c r="F1878" t="inlineStr">
        <is>
          <t>HALLANDS LÄN</t>
        </is>
      </c>
      <c r="G1878" t="inlineStr">
        <is>
          <t>HYLTE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9885-2023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44985</v>
      </c>
      <c r="E1879" s="1" t="n">
        <v>46265</v>
      </c>
      <c r="F1879" t="inlineStr">
        <is>
          <t>HALLANDS LÄN</t>
        </is>
      </c>
      <c r="G1879" t="inlineStr">
        <is>
          <t>VARBERG</t>
        </is>
      </c>
      <c r="I1879" t="n">
        <v>6.6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55878-2023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45239</v>
      </c>
      <c r="E1880" s="1" t="n">
        <v>46265</v>
      </c>
      <c r="F1880" t="inlineStr">
        <is>
          <t>HALLANDS LÄN</t>
        </is>
      </c>
      <c r="G1880" t="inlineStr">
        <is>
          <t>FALKENBERG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42412-2022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44831</v>
      </c>
      <c r="E1881" s="1" t="n">
        <v>46265</v>
      </c>
      <c r="F1881" t="inlineStr">
        <is>
          <t>HALLANDS LÄN</t>
        </is>
      </c>
      <c r="G1881" t="inlineStr">
        <is>
          <t>KUNGSBACKA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60391-2023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45259</v>
      </c>
      <c r="E1882" s="1" t="n">
        <v>46265</v>
      </c>
      <c r="F1882" t="inlineStr">
        <is>
          <t>HALLANDS LÄN</t>
        </is>
      </c>
      <c r="G1882" t="inlineStr">
        <is>
          <t>HALMSTAD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41629-2022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44827</v>
      </c>
      <c r="E1883" s="1" t="n">
        <v>46265</v>
      </c>
      <c r="F1883" t="inlineStr">
        <is>
          <t>HALLANDS LÄN</t>
        </is>
      </c>
      <c r="G1883" t="inlineStr">
        <is>
          <t>VARBERG</t>
        </is>
      </c>
      <c r="I1883" t="n">
        <v>1.2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8159-2026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46064</v>
      </c>
      <c r="E1884" s="1" t="n">
        <v>46265</v>
      </c>
      <c r="F1884" t="inlineStr">
        <is>
          <t>HALLANDS LÄN</t>
        </is>
      </c>
      <c r="G1884" t="inlineStr">
        <is>
          <t>HYLTE</t>
        </is>
      </c>
      <c r="I1884" t="n">
        <v>3.7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15883-2024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45405</v>
      </c>
      <c r="E1885" s="1" t="n">
        <v>46265</v>
      </c>
      <c r="F1885" t="inlineStr">
        <is>
          <t>HALLANDS LÄN</t>
        </is>
      </c>
      <c r="G1885" t="inlineStr">
        <is>
          <t>HYLTE</t>
        </is>
      </c>
      <c r="I1885" t="n">
        <v>2.9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46572-2024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45582</v>
      </c>
      <c r="E1886" s="1" t="n">
        <v>46265</v>
      </c>
      <c r="F1886" t="inlineStr">
        <is>
          <t>HALLANDS LÄN</t>
        </is>
      </c>
      <c r="G1886" t="inlineStr">
        <is>
          <t>LAHOLM</t>
        </is>
      </c>
      <c r="I1886" t="n">
        <v>1.9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18544-2024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45425</v>
      </c>
      <c r="E1887" s="1" t="n">
        <v>46265</v>
      </c>
      <c r="F1887" t="inlineStr">
        <is>
          <t>HALLANDS LÄN</t>
        </is>
      </c>
      <c r="G1887" t="inlineStr">
        <is>
          <t>FALKENBERG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27436-2024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45474</v>
      </c>
      <c r="E1888" s="1" t="n">
        <v>46265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12064-2023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44997</v>
      </c>
      <c r="E1889" s="1" t="n">
        <v>46265</v>
      </c>
      <c r="F1889" t="inlineStr">
        <is>
          <t>HALLANDS LÄN</t>
        </is>
      </c>
      <c r="G1889" t="inlineStr">
        <is>
          <t>KUNGSBACKA</t>
        </is>
      </c>
      <c r="I1889" t="n">
        <v>10.5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68969-2021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44530</v>
      </c>
      <c r="E1890" s="1" t="n">
        <v>46265</v>
      </c>
      <c r="F1890" t="inlineStr">
        <is>
          <t>HALLANDS LÄN</t>
        </is>
      </c>
      <c r="G1890" t="inlineStr">
        <is>
          <t>HYLTE</t>
        </is>
      </c>
      <c r="I1890" t="n">
        <v>5.2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28845-2023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45104</v>
      </c>
      <c r="E1891" s="1" t="n">
        <v>46265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71676-2021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44539</v>
      </c>
      <c r="E1892" s="1" t="n">
        <v>46265</v>
      </c>
      <c r="F1892" t="inlineStr">
        <is>
          <t>HALLANDS LÄN</t>
        </is>
      </c>
      <c r="G1892" t="inlineStr">
        <is>
          <t>KUNGSBACKA</t>
        </is>
      </c>
      <c r="I1892" t="n">
        <v>8.1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67744-2021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44525</v>
      </c>
      <c r="E1893" s="1" t="n">
        <v>46265</v>
      </c>
      <c r="F1893" t="inlineStr">
        <is>
          <t>HALLANDS LÄN</t>
        </is>
      </c>
      <c r="G1893" t="inlineStr">
        <is>
          <t>FALKENBERG</t>
        </is>
      </c>
      <c r="I1893" t="n">
        <v>3.3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23738-2024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45454</v>
      </c>
      <c r="E1894" s="1" t="n">
        <v>46265</v>
      </c>
      <c r="F1894" t="inlineStr">
        <is>
          <t>HALLANDS LÄN</t>
        </is>
      </c>
      <c r="G1894" t="inlineStr">
        <is>
          <t>HYLTE</t>
        </is>
      </c>
      <c r="I1894" t="n">
        <v>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6610-2022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44601</v>
      </c>
      <c r="E1895" s="1" t="n">
        <v>46265</v>
      </c>
      <c r="F1895" t="inlineStr">
        <is>
          <t>HALLANDS LÄN</t>
        </is>
      </c>
      <c r="G1895" t="inlineStr">
        <is>
          <t>HYLTE</t>
        </is>
      </c>
      <c r="I1895" t="n">
        <v>6.9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71841-2021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44543</v>
      </c>
      <c r="E1896" s="1" t="n">
        <v>46265</v>
      </c>
      <c r="F1896" t="inlineStr">
        <is>
          <t>HALLANDS LÄN</t>
        </is>
      </c>
      <c r="G1896" t="inlineStr">
        <is>
          <t>VARBERG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14898-2023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45014</v>
      </c>
      <c r="E1897" s="1" t="n">
        <v>46265</v>
      </c>
      <c r="F1897" t="inlineStr">
        <is>
          <t>HALLANDS LÄN</t>
        </is>
      </c>
      <c r="G1897" t="inlineStr">
        <is>
          <t>KUNGSBACKA</t>
        </is>
      </c>
      <c r="I1897" t="n">
        <v>0.1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64221-2021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44510</v>
      </c>
      <c r="E1898" s="1" t="n">
        <v>46265</v>
      </c>
      <c r="F1898" t="inlineStr">
        <is>
          <t>HALLANDS LÄN</t>
        </is>
      </c>
      <c r="G1898" t="inlineStr">
        <is>
          <t>HYLTE</t>
        </is>
      </c>
      <c r="I1898" t="n">
        <v>2.7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71844-2021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44543</v>
      </c>
      <c r="E1899" s="1" t="n">
        <v>46265</v>
      </c>
      <c r="F1899" t="inlineStr">
        <is>
          <t>HALLANDS LÄN</t>
        </is>
      </c>
      <c r="G1899" t="inlineStr">
        <is>
          <t>FALKENBERG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14856-2025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45743</v>
      </c>
      <c r="E1900" s="1" t="n">
        <v>46265</v>
      </c>
      <c r="F1900" t="inlineStr">
        <is>
          <t>HALLANDS LÄN</t>
        </is>
      </c>
      <c r="G1900" t="inlineStr">
        <is>
          <t>VARBERG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9666-2023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44984</v>
      </c>
      <c r="E1901" s="1" t="n">
        <v>46265</v>
      </c>
      <c r="F1901" t="inlineStr">
        <is>
          <t>HALLANDS LÄN</t>
        </is>
      </c>
      <c r="G1901" t="inlineStr">
        <is>
          <t>LAHOLM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74038-2021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44557</v>
      </c>
      <c r="E1902" s="1" t="n">
        <v>46265</v>
      </c>
      <c r="F1902" t="inlineStr">
        <is>
          <t>HALLANDS LÄN</t>
        </is>
      </c>
      <c r="G1902" t="inlineStr">
        <is>
          <t>HALMSTAD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15421-2023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45019</v>
      </c>
      <c r="E1903" s="1" t="n">
        <v>46265</v>
      </c>
      <c r="F1903" t="inlineStr">
        <is>
          <t>HALLANDS LÄN</t>
        </is>
      </c>
      <c r="G1903" t="inlineStr">
        <is>
          <t>FALKENBERG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9235-2023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44980</v>
      </c>
      <c r="E1904" s="1" t="n">
        <v>46265</v>
      </c>
      <c r="F1904" t="inlineStr">
        <is>
          <t>HALLANDS LÄN</t>
        </is>
      </c>
      <c r="G1904" t="inlineStr">
        <is>
          <t>VARBERG</t>
        </is>
      </c>
      <c r="I1904" t="n">
        <v>0.7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42815-2023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45182</v>
      </c>
      <c r="E1905" s="1" t="n">
        <v>46265</v>
      </c>
      <c r="F1905" t="inlineStr">
        <is>
          <t>HALLANDS LÄN</t>
        </is>
      </c>
      <c r="G1905" t="inlineStr">
        <is>
          <t>HYLTE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37163-2024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45539</v>
      </c>
      <c r="E1906" s="1" t="n">
        <v>46265</v>
      </c>
      <c r="F1906" t="inlineStr">
        <is>
          <t>HALLANDS LÄN</t>
        </is>
      </c>
      <c r="G1906" t="inlineStr">
        <is>
          <t>HYLTE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5597-2022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44595</v>
      </c>
      <c r="E1907" s="1" t="n">
        <v>46265</v>
      </c>
      <c r="F1907" t="inlineStr">
        <is>
          <t>HALLANDS LÄN</t>
        </is>
      </c>
      <c r="G1907" t="inlineStr">
        <is>
          <t>VARBERG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15837-2023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45022</v>
      </c>
      <c r="E1908" s="1" t="n">
        <v>46265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59158-2023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45253</v>
      </c>
      <c r="E1909" s="1" t="n">
        <v>46265</v>
      </c>
      <c r="F1909" t="inlineStr">
        <is>
          <t>HALLANDS LÄN</t>
        </is>
      </c>
      <c r="G1909" t="inlineStr">
        <is>
          <t>HYLTE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41610-2022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44827</v>
      </c>
      <c r="E1910" s="1" t="n">
        <v>46265</v>
      </c>
      <c r="F1910" t="inlineStr">
        <is>
          <t>HALLANDS LÄN</t>
        </is>
      </c>
      <c r="G1910" t="inlineStr">
        <is>
          <t>FALKENBERG</t>
        </is>
      </c>
      <c r="I1910" t="n">
        <v>3.2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67861-2021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44525</v>
      </c>
      <c r="E1911" s="1" t="n">
        <v>46265</v>
      </c>
      <c r="F1911" t="inlineStr">
        <is>
          <t>HALLANDS LÄN</t>
        </is>
      </c>
      <c r="G1911" t="inlineStr">
        <is>
          <t>LAHOLM</t>
        </is>
      </c>
      <c r="I1911" t="n">
        <v>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34598-2023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45138</v>
      </c>
      <c r="E1912" s="1" t="n">
        <v>46265</v>
      </c>
      <c r="F1912" t="inlineStr">
        <is>
          <t>HALLANDS LÄN</t>
        </is>
      </c>
      <c r="G1912" t="inlineStr">
        <is>
          <t>FALKENBERG</t>
        </is>
      </c>
      <c r="I1912" t="n">
        <v>4.6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49489-2024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45596</v>
      </c>
      <c r="E1913" s="1" t="n">
        <v>46265</v>
      </c>
      <c r="F1913" t="inlineStr">
        <is>
          <t>HALLANDS LÄN</t>
        </is>
      </c>
      <c r="G1913" t="inlineStr">
        <is>
          <t>KUNGSBACKA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30796-2023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45112</v>
      </c>
      <c r="E1914" s="1" t="n">
        <v>46265</v>
      </c>
      <c r="F1914" t="inlineStr">
        <is>
          <t>HALLANDS LÄN</t>
        </is>
      </c>
      <c r="G1914" t="inlineStr">
        <is>
          <t>LAHOLM</t>
        </is>
      </c>
      <c r="I1914" t="n">
        <v>2.3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64767-2023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45281</v>
      </c>
      <c r="E1915" s="1" t="n">
        <v>46265</v>
      </c>
      <c r="F1915" t="inlineStr">
        <is>
          <t>HALLANDS LÄN</t>
        </is>
      </c>
      <c r="G1915" t="inlineStr">
        <is>
          <t>VARBERG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45314</v>
      </c>
      <c r="E1916" s="1" t="n">
        <v>46265</v>
      </c>
      <c r="F1916" t="inlineStr">
        <is>
          <t>HALLANDS LÄN</t>
        </is>
      </c>
      <c r="G1916" t="inlineStr">
        <is>
          <t>LAHOLM</t>
        </is>
      </c>
      <c r="I1916" t="n">
        <v>5.6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7609-2022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44607</v>
      </c>
      <c r="E1917" s="1" t="n">
        <v>46265</v>
      </c>
      <c r="F1917" t="inlineStr">
        <is>
          <t>HALLANDS LÄN</t>
        </is>
      </c>
      <c r="G1917" t="inlineStr">
        <is>
          <t>VARBERG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35589-2024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45531</v>
      </c>
      <c r="E1918" s="1" t="n">
        <v>46265</v>
      </c>
      <c r="F1918" t="inlineStr">
        <is>
          <t>HALLANDS LÄN</t>
        </is>
      </c>
      <c r="G1918" t="inlineStr">
        <is>
          <t>HYLTE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8743-2026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46066</v>
      </c>
      <c r="E1919" s="1" t="n">
        <v>46265</v>
      </c>
      <c r="F1919" t="inlineStr">
        <is>
          <t>HALLANDS LÄN</t>
        </is>
      </c>
      <c r="G1919" t="inlineStr">
        <is>
          <t>KUNGSBACKA</t>
        </is>
      </c>
      <c r="H1919" t="inlineStr">
        <is>
          <t>Kommuner</t>
        </is>
      </c>
      <c r="I1919" t="n">
        <v>5.3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8380-2026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46064</v>
      </c>
      <c r="E1920" s="1" t="n">
        <v>46265</v>
      </c>
      <c r="F1920" t="inlineStr">
        <is>
          <t>HALLANDS LÄN</t>
        </is>
      </c>
      <c r="G1920" t="inlineStr">
        <is>
          <t>VARBERG</t>
        </is>
      </c>
      <c r="I1920" t="n">
        <v>3.8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8617-2026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46066</v>
      </c>
      <c r="E1921" s="1" t="n">
        <v>46265</v>
      </c>
      <c r="F1921" t="inlineStr">
        <is>
          <t>HALLANDS LÄN</t>
        </is>
      </c>
      <c r="G1921" t="inlineStr">
        <is>
          <t>HALMSTAD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9465-2023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44981</v>
      </c>
      <c r="E1922" s="1" t="n">
        <v>46265</v>
      </c>
      <c r="F1922" t="inlineStr">
        <is>
          <t>HALLANDS LÄN</t>
        </is>
      </c>
      <c r="G1922" t="inlineStr">
        <is>
          <t>VARBERG</t>
        </is>
      </c>
      <c r="I1922" t="n">
        <v>9.9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9479-2023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44981</v>
      </c>
      <c r="E1923" s="1" t="n">
        <v>46265</v>
      </c>
      <c r="F1923" t="inlineStr">
        <is>
          <t>HALLANDS LÄN</t>
        </is>
      </c>
      <c r="G1923" t="inlineStr">
        <is>
          <t>LAHOLM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8616-2026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46066</v>
      </c>
      <c r="E1924" s="1" t="n">
        <v>46265</v>
      </c>
      <c r="F1924" t="inlineStr">
        <is>
          <t>HALLANDS LÄN</t>
        </is>
      </c>
      <c r="G1924" t="inlineStr">
        <is>
          <t>HALMSTAD</t>
        </is>
      </c>
      <c r="I1924" t="n">
        <v>1.6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8520-2026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46065</v>
      </c>
      <c r="E1925" s="1" t="n">
        <v>46265</v>
      </c>
      <c r="F1925" t="inlineStr">
        <is>
          <t>HALLANDS LÄN</t>
        </is>
      </c>
      <c r="G1925" t="inlineStr">
        <is>
          <t>FALKENBERG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27754-2023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45098</v>
      </c>
      <c r="E1926" s="1" t="n">
        <v>46265</v>
      </c>
      <c r="F1926" t="inlineStr">
        <is>
          <t>HALLANDS LÄN</t>
        </is>
      </c>
      <c r="G1926" t="inlineStr">
        <is>
          <t>LAHOLM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48768-2024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45593</v>
      </c>
      <c r="E1927" s="1" t="n">
        <v>46265</v>
      </c>
      <c r="F1927" t="inlineStr">
        <is>
          <t>HALLANDS LÄN</t>
        </is>
      </c>
      <c r="G1927" t="inlineStr">
        <is>
          <t>VARBERG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8593-2026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46065</v>
      </c>
      <c r="E1928" s="1" t="n">
        <v>46265</v>
      </c>
      <c r="F1928" t="inlineStr">
        <is>
          <t>HALLANDS LÄN</t>
        </is>
      </c>
      <c r="G1928" t="inlineStr">
        <is>
          <t>HYLTE</t>
        </is>
      </c>
      <c r="I1928" t="n">
        <v>3.5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6429-2025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45699</v>
      </c>
      <c r="E1929" s="1" t="n">
        <v>46265</v>
      </c>
      <c r="F1929" t="inlineStr">
        <is>
          <t>HALLANDS LÄN</t>
        </is>
      </c>
      <c r="G1929" t="inlineStr">
        <is>
          <t>LAHOLM</t>
        </is>
      </c>
      <c r="I1929" t="n">
        <v>1.8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33163-2023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45126</v>
      </c>
      <c r="E1930" s="1" t="n">
        <v>46265</v>
      </c>
      <c r="F1930" t="inlineStr">
        <is>
          <t>HALLANDS LÄN</t>
        </is>
      </c>
      <c r="G1930" t="inlineStr">
        <is>
          <t>LAHOLM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42312-2024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45562</v>
      </c>
      <c r="E1931" s="1" t="n">
        <v>46265</v>
      </c>
      <c r="F1931" t="inlineStr">
        <is>
          <t>HALLANDS LÄN</t>
        </is>
      </c>
      <c r="G1931" t="inlineStr">
        <is>
          <t>LAHOLM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8252-2023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44974</v>
      </c>
      <c r="E1932" s="1" t="n">
        <v>46265</v>
      </c>
      <c r="F1932" t="inlineStr">
        <is>
          <t>HALLANDS LÄN</t>
        </is>
      </c>
      <c r="G1932" t="inlineStr">
        <is>
          <t>FALKENBERG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27720-2023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45098</v>
      </c>
      <c r="E1933" s="1" t="n">
        <v>46265</v>
      </c>
      <c r="F1933" t="inlineStr">
        <is>
          <t>HALLANDS LÄN</t>
        </is>
      </c>
      <c r="G1933" t="inlineStr">
        <is>
          <t>LAHOLM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57659-2023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45246</v>
      </c>
      <c r="E1934" s="1" t="n">
        <v>46265</v>
      </c>
      <c r="F1934" t="inlineStr">
        <is>
          <t>HALLANDS LÄN</t>
        </is>
      </c>
      <c r="G1934" t="inlineStr">
        <is>
          <t>VARBERG</t>
        </is>
      </c>
      <c r="I1934" t="n">
        <v>3.4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9249-2026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46070</v>
      </c>
      <c r="E1935" s="1" t="n">
        <v>46265</v>
      </c>
      <c r="F1935" t="inlineStr">
        <is>
          <t>HALLANDS LÄN</t>
        </is>
      </c>
      <c r="G1935" t="inlineStr">
        <is>
          <t>FALKENBERG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9056-2026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46265</v>
      </c>
      <c r="F1936" t="inlineStr">
        <is>
          <t>HALLANDS LÄN</t>
        </is>
      </c>
      <c r="G1936" t="inlineStr">
        <is>
          <t>FALKENBERG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9325-2026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46070</v>
      </c>
      <c r="E1937" s="1" t="n">
        <v>46265</v>
      </c>
      <c r="F1937" t="inlineStr">
        <is>
          <t>HALLANDS LÄN</t>
        </is>
      </c>
      <c r="G1937" t="inlineStr">
        <is>
          <t>HYLTE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9639-2025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45715</v>
      </c>
      <c r="E1938" s="1" t="n">
        <v>46265</v>
      </c>
      <c r="F1938" t="inlineStr">
        <is>
          <t>HALLANDS LÄN</t>
        </is>
      </c>
      <c r="G1938" t="inlineStr">
        <is>
          <t>HYLTE</t>
        </is>
      </c>
      <c r="I1938" t="n">
        <v>0.5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42868-2023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45182</v>
      </c>
      <c r="E1939" s="1" t="n">
        <v>46265</v>
      </c>
      <c r="F1939" t="inlineStr">
        <is>
          <t>HALLANDS LÄN</t>
        </is>
      </c>
      <c r="G1939" t="inlineStr">
        <is>
          <t>HYLTE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46365-2022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44848</v>
      </c>
      <c r="E1940" s="1" t="n">
        <v>46265</v>
      </c>
      <c r="F1940" t="inlineStr">
        <is>
          <t>HALLANDS LÄN</t>
        </is>
      </c>
      <c r="G1940" t="inlineStr">
        <is>
          <t>FALKENBERG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9329-2026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46070</v>
      </c>
      <c r="E1941" s="1" t="n">
        <v>46265</v>
      </c>
      <c r="F1941" t="inlineStr">
        <is>
          <t>HALLANDS LÄN</t>
        </is>
      </c>
      <c r="G1941" t="inlineStr">
        <is>
          <t>HYLTE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70040-2021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44533</v>
      </c>
      <c r="E1942" s="1" t="n">
        <v>46265</v>
      </c>
      <c r="F1942" t="inlineStr">
        <is>
          <t>HALLANDS LÄN</t>
        </is>
      </c>
      <c r="G1942" t="inlineStr">
        <is>
          <t>VARBERG</t>
        </is>
      </c>
      <c r="I1942" t="n">
        <v>2.2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17262-2024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45414</v>
      </c>
      <c r="E1943" s="1" t="n">
        <v>46265</v>
      </c>
      <c r="F1943" t="inlineStr">
        <is>
          <t>HALLANDS LÄN</t>
        </is>
      </c>
      <c r="G1943" t="inlineStr">
        <is>
          <t>HYLTE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17548-2024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45415</v>
      </c>
      <c r="E1944" s="1" t="n">
        <v>46265</v>
      </c>
      <c r="F1944" t="inlineStr">
        <is>
          <t>HALLANDS LÄN</t>
        </is>
      </c>
      <c r="G1944" t="inlineStr">
        <is>
          <t>LAHOLM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42658-2024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45566</v>
      </c>
      <c r="E1945" s="1" t="n">
        <v>46265</v>
      </c>
      <c r="F1945" t="inlineStr">
        <is>
          <t>HALLANDS LÄN</t>
        </is>
      </c>
      <c r="G1945" t="inlineStr">
        <is>
          <t>FALKENBERG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42798-2024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45566</v>
      </c>
      <c r="E1946" s="1" t="n">
        <v>46265</v>
      </c>
      <c r="F1946" t="inlineStr">
        <is>
          <t>HALLANDS LÄN</t>
        </is>
      </c>
      <c r="G1946" t="inlineStr">
        <is>
          <t>FALKENBERG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42799-2024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45566</v>
      </c>
      <c r="E1947" s="1" t="n">
        <v>46265</v>
      </c>
      <c r="F1947" t="inlineStr">
        <is>
          <t>HALLANDS LÄN</t>
        </is>
      </c>
      <c r="G1947" t="inlineStr">
        <is>
          <t>FALKENBERG</t>
        </is>
      </c>
      <c r="I1947" t="n">
        <v>0.5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29201-2023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45105</v>
      </c>
      <c r="E1948" s="1" t="n">
        <v>46265</v>
      </c>
      <c r="F1948" t="inlineStr">
        <is>
          <t>HALLANDS LÄN</t>
        </is>
      </c>
      <c r="G1948" t="inlineStr">
        <is>
          <t>FALKENBERG</t>
        </is>
      </c>
      <c r="I1948" t="n">
        <v>3.6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19118-2023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45048</v>
      </c>
      <c r="E1949" s="1" t="n">
        <v>46265</v>
      </c>
      <c r="F1949" t="inlineStr">
        <is>
          <t>HALLANDS LÄN</t>
        </is>
      </c>
      <c r="G1949" t="inlineStr">
        <is>
          <t>FALKENBERG</t>
        </is>
      </c>
      <c r="I1949" t="n">
        <v>5.7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60452-2024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45643</v>
      </c>
      <c r="E1950" s="1" t="n">
        <v>46265</v>
      </c>
      <c r="F1950" t="inlineStr">
        <is>
          <t>HALLANDS LÄN</t>
        </is>
      </c>
      <c r="G1950" t="inlineStr">
        <is>
          <t>HYLTE</t>
        </is>
      </c>
      <c r="I1950" t="n">
        <v>4.6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31265-2023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45114</v>
      </c>
      <c r="E1951" s="1" t="n">
        <v>46265</v>
      </c>
      <c r="F1951" t="inlineStr">
        <is>
          <t>HALLANDS LÄN</t>
        </is>
      </c>
      <c r="G1951" t="inlineStr">
        <is>
          <t>HYLTE</t>
        </is>
      </c>
      <c r="I1951" t="n">
        <v>0.3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23493-2023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45076</v>
      </c>
      <c r="E1952" s="1" t="n">
        <v>46265</v>
      </c>
      <c r="F1952" t="inlineStr">
        <is>
          <t>HALLANDS LÄN</t>
        </is>
      </c>
      <c r="G1952" t="inlineStr">
        <is>
          <t>LAHOLM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1146-2024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45302</v>
      </c>
      <c r="E1953" s="1" t="n">
        <v>46265</v>
      </c>
      <c r="F1953" t="inlineStr">
        <is>
          <t>HALLANDS LÄN</t>
        </is>
      </c>
      <c r="G1953" t="inlineStr">
        <is>
          <t>HALMSTAD</t>
        </is>
      </c>
      <c r="I1953" t="n">
        <v>4.5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15163-2024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45400</v>
      </c>
      <c r="E1954" s="1" t="n">
        <v>46265</v>
      </c>
      <c r="F1954" t="inlineStr">
        <is>
          <t>HALLANDS LÄN</t>
        </is>
      </c>
      <c r="G1954" t="inlineStr">
        <is>
          <t>KUNGSBACKA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9955-2025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45719</v>
      </c>
      <c r="E1955" s="1" t="n">
        <v>46265</v>
      </c>
      <c r="F1955" t="inlineStr">
        <is>
          <t>HALLANDS LÄN</t>
        </is>
      </c>
      <c r="G1955" t="inlineStr">
        <is>
          <t>LAHOLM</t>
        </is>
      </c>
      <c r="H1955" t="inlineStr">
        <is>
          <t>Sveaskog</t>
        </is>
      </c>
      <c r="I1955" t="n">
        <v>2.7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10572-2026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46077</v>
      </c>
      <c r="E1956" s="1" t="n">
        <v>46265</v>
      </c>
      <c r="F1956" t="inlineStr">
        <is>
          <t>HALLANDS LÄN</t>
        </is>
      </c>
      <c r="G1956" t="inlineStr">
        <is>
          <t>KUNGSBACKA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35841-2023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45148</v>
      </c>
      <c r="E1957" s="1" t="n">
        <v>46265</v>
      </c>
      <c r="F1957" t="inlineStr">
        <is>
          <t>HALLANDS LÄN</t>
        </is>
      </c>
      <c r="G1957" t="inlineStr">
        <is>
          <t>FALKENBERG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4609-2024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45328</v>
      </c>
      <c r="E1958" s="1" t="n">
        <v>46265</v>
      </c>
      <c r="F1958" t="inlineStr">
        <is>
          <t>HALLANDS LÄN</t>
        </is>
      </c>
      <c r="G1958" t="inlineStr">
        <is>
          <t>FALKENBERG</t>
        </is>
      </c>
      <c r="H1958" t="inlineStr">
        <is>
          <t>Kyrkan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37301-2023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45156</v>
      </c>
      <c r="E1959" s="1" t="n">
        <v>46265</v>
      </c>
      <c r="F1959" t="inlineStr">
        <is>
          <t>HALLANDS LÄN</t>
        </is>
      </c>
      <c r="G1959" t="inlineStr">
        <is>
          <t>HALMSTAD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10751-2026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46078</v>
      </c>
      <c r="E1960" s="1" t="n">
        <v>46265</v>
      </c>
      <c r="F1960" t="inlineStr">
        <is>
          <t>HALLANDS LÄN</t>
        </is>
      </c>
      <c r="G1960" t="inlineStr">
        <is>
          <t>KUNGSBACKA</t>
        </is>
      </c>
      <c r="I1960" t="n">
        <v>1.8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10753-2026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46078</v>
      </c>
      <c r="E1961" s="1" t="n">
        <v>46265</v>
      </c>
      <c r="F1961" t="inlineStr">
        <is>
          <t>HALLANDS LÄN</t>
        </is>
      </c>
      <c r="G1961" t="inlineStr">
        <is>
          <t>KUNGSBACKA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10645-2026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46078</v>
      </c>
      <c r="E1962" s="1" t="n">
        <v>46265</v>
      </c>
      <c r="F1962" t="inlineStr">
        <is>
          <t>HALLANDS LÄN</t>
        </is>
      </c>
      <c r="G1962" t="inlineStr">
        <is>
          <t>LAHOLM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7226-2023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44970</v>
      </c>
      <c r="E1963" s="1" t="n">
        <v>46265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10540-2026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46077</v>
      </c>
      <c r="E1964" s="1" t="n">
        <v>46265</v>
      </c>
      <c r="F1964" t="inlineStr">
        <is>
          <t>HALLANDS LÄN</t>
        </is>
      </c>
      <c r="G1964" t="inlineStr">
        <is>
          <t>FALKENBERG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11085-2026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46079</v>
      </c>
      <c r="E1965" s="1" t="n">
        <v>46265</v>
      </c>
      <c r="F1965" t="inlineStr">
        <is>
          <t>HALLANDS LÄN</t>
        </is>
      </c>
      <c r="G1965" t="inlineStr">
        <is>
          <t>HALMSTAD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10538-2026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46077</v>
      </c>
      <c r="E1966" s="1" t="n">
        <v>46265</v>
      </c>
      <c r="F1966" t="inlineStr">
        <is>
          <t>HALLANDS LÄN</t>
        </is>
      </c>
      <c r="G1966" t="inlineStr">
        <is>
          <t>FALKENBERG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44619-2024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45574</v>
      </c>
      <c r="E1967" s="1" t="n">
        <v>46265</v>
      </c>
      <c r="F1967" t="inlineStr">
        <is>
          <t>HALLANDS LÄN</t>
        </is>
      </c>
      <c r="G1967" t="inlineStr">
        <is>
          <t>VARBERG</t>
        </is>
      </c>
      <c r="I1967" t="n">
        <v>5.1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10799-2026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46078</v>
      </c>
      <c r="E1968" s="1" t="n">
        <v>46265</v>
      </c>
      <c r="F1968" t="inlineStr">
        <is>
          <t>HALLANDS LÄN</t>
        </is>
      </c>
      <c r="G1968" t="inlineStr">
        <is>
          <t>KUNGSBACKA</t>
        </is>
      </c>
      <c r="I1968" t="n">
        <v>6.7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57634-2025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45981</v>
      </c>
      <c r="E1969" s="1" t="n">
        <v>46265</v>
      </c>
      <c r="F1969" t="inlineStr">
        <is>
          <t>HALLANDS LÄN</t>
        </is>
      </c>
      <c r="G1969" t="inlineStr">
        <is>
          <t>LAHOLM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63598-2023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45275</v>
      </c>
      <c r="E1970" s="1" t="n">
        <v>46265</v>
      </c>
      <c r="F1970" t="inlineStr">
        <is>
          <t>HALLANDS LÄN</t>
        </is>
      </c>
      <c r="G1970" t="inlineStr">
        <is>
          <t>KUNGSBACKA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57699-2024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45630</v>
      </c>
      <c r="E1971" s="1" t="n">
        <v>46265</v>
      </c>
      <c r="F1971" t="inlineStr">
        <is>
          <t>HALLANDS LÄN</t>
        </is>
      </c>
      <c r="G1971" t="inlineStr">
        <is>
          <t>HALMSTAD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57701-2024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45630</v>
      </c>
      <c r="E1972" s="1" t="n">
        <v>46265</v>
      </c>
      <c r="F1972" t="inlineStr">
        <is>
          <t>HALLANDS LÄN</t>
        </is>
      </c>
      <c r="G1972" t="inlineStr">
        <is>
          <t>LAHOLM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40730-2023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45170</v>
      </c>
      <c r="E1973" s="1" t="n">
        <v>46265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36976-2024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45538</v>
      </c>
      <c r="E1974" s="1" t="n">
        <v>46265</v>
      </c>
      <c r="F1974" t="inlineStr">
        <is>
          <t>HALLANDS LÄN</t>
        </is>
      </c>
      <c r="G1974" t="inlineStr">
        <is>
          <t>HYLTE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40385-2025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45895</v>
      </c>
      <c r="E1975" s="1" t="n">
        <v>46265</v>
      </c>
      <c r="F1975" t="inlineStr">
        <is>
          <t>HALLANDS LÄN</t>
        </is>
      </c>
      <c r="G1975" t="inlineStr">
        <is>
          <t>HALMSTAD</t>
        </is>
      </c>
      <c r="I1975" t="n">
        <v>7.8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52986-2025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45957</v>
      </c>
      <c r="E1976" s="1" t="n">
        <v>46265</v>
      </c>
      <c r="F1976" t="inlineStr">
        <is>
          <t>HALLANDS LÄN</t>
        </is>
      </c>
      <c r="G1976" t="inlineStr">
        <is>
          <t>LAHOLM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55078-2025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45967</v>
      </c>
      <c r="E1977" s="1" t="n">
        <v>46265</v>
      </c>
      <c r="F1977" t="inlineStr">
        <is>
          <t>HALLANDS LÄN</t>
        </is>
      </c>
      <c r="G1977" t="inlineStr">
        <is>
          <t>HALMSTAD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11334-2026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46082</v>
      </c>
      <c r="E1978" s="1" t="n">
        <v>46265</v>
      </c>
      <c r="F1978" t="inlineStr">
        <is>
          <t>HALLANDS LÄN</t>
        </is>
      </c>
      <c r="G1978" t="inlineStr">
        <is>
          <t>FALKENBERG</t>
        </is>
      </c>
      <c r="I1978" t="n">
        <v>3.5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8514-2026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46065</v>
      </c>
      <c r="E1979" s="1" t="n">
        <v>46265</v>
      </c>
      <c r="F1979" t="inlineStr">
        <is>
          <t>HALLANDS LÄN</t>
        </is>
      </c>
      <c r="G1979" t="inlineStr">
        <is>
          <t>FALKENBERG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55779-2023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45239</v>
      </c>
      <c r="E1980" s="1" t="n">
        <v>46265</v>
      </c>
      <c r="F1980" t="inlineStr">
        <is>
          <t>HALLANDS LÄN</t>
        </is>
      </c>
      <c r="G1980" t="inlineStr">
        <is>
          <t>LAHOLM</t>
        </is>
      </c>
      <c r="I1980" t="n">
        <v>4.1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11336-2026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46082</v>
      </c>
      <c r="E1981" s="1" t="n">
        <v>46265</v>
      </c>
      <c r="F1981" t="inlineStr">
        <is>
          <t>HALLANDS LÄN</t>
        </is>
      </c>
      <c r="G1981" t="inlineStr">
        <is>
          <t>FALKENBERG</t>
        </is>
      </c>
      <c r="I1981" t="n">
        <v>1.9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55966-2025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45973</v>
      </c>
      <c r="E1982" s="1" t="n">
        <v>46265</v>
      </c>
      <c r="F1982" t="inlineStr">
        <is>
          <t>HALLANDS LÄN</t>
        </is>
      </c>
      <c r="G1982" t="inlineStr">
        <is>
          <t>HALMSTAD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10249-2023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44986</v>
      </c>
      <c r="E1983" s="1" t="n">
        <v>46265</v>
      </c>
      <c r="F1983" t="inlineStr">
        <is>
          <t>HALLANDS LÄN</t>
        </is>
      </c>
      <c r="G1983" t="inlineStr">
        <is>
          <t>FALKENBERG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42993-2023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45182</v>
      </c>
      <c r="E1984" s="1" t="n">
        <v>46265</v>
      </c>
      <c r="F1984" t="inlineStr">
        <is>
          <t>HALLANDS LÄN</t>
        </is>
      </c>
      <c r="G1984" t="inlineStr">
        <is>
          <t>LAHOLM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40513-2024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45555</v>
      </c>
      <c r="E1985" s="1" t="n">
        <v>46265</v>
      </c>
      <c r="F1985" t="inlineStr">
        <is>
          <t>HALLANDS LÄN</t>
        </is>
      </c>
      <c r="G1985" t="inlineStr">
        <is>
          <t>HALMSTAD</t>
        </is>
      </c>
      <c r="I1985" t="n">
        <v>2.7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46578-2024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45582</v>
      </c>
      <c r="E1986" s="1" t="n">
        <v>46265</v>
      </c>
      <c r="F1986" t="inlineStr">
        <is>
          <t>HALLANDS LÄN</t>
        </is>
      </c>
      <c r="G1986" t="inlineStr">
        <is>
          <t>VARBERG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11682-2026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46084</v>
      </c>
      <c r="E1987" s="1" t="n">
        <v>46265</v>
      </c>
      <c r="F1987" t="inlineStr">
        <is>
          <t>HALLANDS LÄN</t>
        </is>
      </c>
      <c r="G1987" t="inlineStr">
        <is>
          <t>HYLTE</t>
        </is>
      </c>
      <c r="I1987" t="n">
        <v>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10270-2022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44622</v>
      </c>
      <c r="E1988" s="1" t="n">
        <v>46265</v>
      </c>
      <c r="F1988" t="inlineStr">
        <is>
          <t>HALLANDS LÄN</t>
        </is>
      </c>
      <c r="G1988" t="inlineStr">
        <is>
          <t>FALKENBERG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34474-2023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45139</v>
      </c>
      <c r="E1989" s="1" t="n">
        <v>46265</v>
      </c>
      <c r="F1989" t="inlineStr">
        <is>
          <t>HALLANDS LÄN</t>
        </is>
      </c>
      <c r="G1989" t="inlineStr">
        <is>
          <t>LAHOLM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34475-2023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45139</v>
      </c>
      <c r="E1990" s="1" t="n">
        <v>46265</v>
      </c>
      <c r="F1990" t="inlineStr">
        <is>
          <t>HALLANDS LÄN</t>
        </is>
      </c>
      <c r="G1990" t="inlineStr">
        <is>
          <t>LAHOLM</t>
        </is>
      </c>
      <c r="I1990" t="n">
        <v>1.6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11785-2026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46084</v>
      </c>
      <c r="E1991" s="1" t="n">
        <v>46265</v>
      </c>
      <c r="F1991" t="inlineStr">
        <is>
          <t>HALLANDS LÄN</t>
        </is>
      </c>
      <c r="G1991" t="inlineStr">
        <is>
          <t>HYLTE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18343-2024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45422</v>
      </c>
      <c r="E1992" s="1" t="n">
        <v>46265</v>
      </c>
      <c r="F1992" t="inlineStr">
        <is>
          <t>HALLANDS LÄN</t>
        </is>
      </c>
      <c r="G1992" t="inlineStr">
        <is>
          <t>VARBERG</t>
        </is>
      </c>
      <c r="I1992" t="n">
        <v>1.3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40544-2023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45170</v>
      </c>
      <c r="E1993" s="1" t="n">
        <v>46265</v>
      </c>
      <c r="F1993" t="inlineStr">
        <is>
          <t>HALLANDS LÄN</t>
        </is>
      </c>
      <c r="G1993" t="inlineStr">
        <is>
          <t>HYLTE</t>
        </is>
      </c>
      <c r="I1993" t="n">
        <v>2.5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47813-2024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45588</v>
      </c>
      <c r="E1994" s="1" t="n">
        <v>46265</v>
      </c>
      <c r="F1994" t="inlineStr">
        <is>
          <t>HALLANDS LÄN</t>
        </is>
      </c>
      <c r="G1994" t="inlineStr">
        <is>
          <t>HALMSTAD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12298-2026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46087</v>
      </c>
      <c r="E1995" s="1" t="n">
        <v>46265</v>
      </c>
      <c r="F1995" t="inlineStr">
        <is>
          <t>HALLANDS LÄN</t>
        </is>
      </c>
      <c r="G1995" t="inlineStr">
        <is>
          <t>FALKENBERG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9270-2025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45714</v>
      </c>
      <c r="E1996" s="1" t="n">
        <v>46265</v>
      </c>
      <c r="F1996" t="inlineStr">
        <is>
          <t>HALLANDS LÄN</t>
        </is>
      </c>
      <c r="G1996" t="inlineStr">
        <is>
          <t>FALKENBERG</t>
        </is>
      </c>
      <c r="I1996" t="n">
        <v>1.9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12269-2026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46087</v>
      </c>
      <c r="E1997" s="1" t="n">
        <v>46265</v>
      </c>
      <c r="F1997" t="inlineStr">
        <is>
          <t>HALLANDS LÄN</t>
        </is>
      </c>
      <c r="G1997" t="inlineStr">
        <is>
          <t>HYLTE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25064-2024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45462</v>
      </c>
      <c r="E1998" s="1" t="n">
        <v>46265</v>
      </c>
      <c r="F1998" t="inlineStr">
        <is>
          <t>HALLANDS LÄN</t>
        </is>
      </c>
      <c r="G1998" t="inlineStr">
        <is>
          <t>HYLTE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12048-2026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46086</v>
      </c>
      <c r="E1999" s="1" t="n">
        <v>46265</v>
      </c>
      <c r="F1999" t="inlineStr">
        <is>
          <t>HALLANDS LÄN</t>
        </is>
      </c>
      <c r="G1999" t="inlineStr">
        <is>
          <t>KUNGSBACKA</t>
        </is>
      </c>
      <c r="I1999" t="n">
        <v>8.1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20072-2024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45434</v>
      </c>
      <c r="E2000" s="1" t="n">
        <v>46265</v>
      </c>
      <c r="F2000" t="inlineStr">
        <is>
          <t>HALLANDS LÄN</t>
        </is>
      </c>
      <c r="G2000" t="inlineStr">
        <is>
          <t>VARBERG</t>
        </is>
      </c>
      <c r="I2000" t="n">
        <v>9.1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28946-2024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45481</v>
      </c>
      <c r="E2001" s="1" t="n">
        <v>46265</v>
      </c>
      <c r="F2001" t="inlineStr">
        <is>
          <t>HALLANDS LÄN</t>
        </is>
      </c>
      <c r="G2001" t="inlineStr">
        <is>
          <t>FALKENBERG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10688-2025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45722</v>
      </c>
      <c r="E2002" s="1" t="n">
        <v>46265</v>
      </c>
      <c r="F2002" t="inlineStr">
        <is>
          <t>HALLANDS LÄN</t>
        </is>
      </c>
      <c r="G2002" t="inlineStr">
        <is>
          <t>VARBERG</t>
        </is>
      </c>
      <c r="I2002" t="n">
        <v>9.5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29889-2024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45487</v>
      </c>
      <c r="E2003" s="1" t="n">
        <v>46265</v>
      </c>
      <c r="F2003" t="inlineStr">
        <is>
          <t>HALLANDS LÄN</t>
        </is>
      </c>
      <c r="G2003" t="inlineStr">
        <is>
          <t>VARBERG</t>
        </is>
      </c>
      <c r="I2003" t="n">
        <v>2.8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7633-2024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45348</v>
      </c>
      <c r="E2004" s="1" t="n">
        <v>46265</v>
      </c>
      <c r="F2004" t="inlineStr">
        <is>
          <t>HALLANDS LÄN</t>
        </is>
      </c>
      <c r="G2004" t="inlineStr">
        <is>
          <t>HALMSTAD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40725-2023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45170</v>
      </c>
      <c r="E2005" s="1" t="n">
        <v>46265</v>
      </c>
      <c r="F2005" t="inlineStr">
        <is>
          <t>HALLANDS LÄN</t>
        </is>
      </c>
      <c r="G2005" t="inlineStr">
        <is>
          <t>HYLTE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40735-2023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45170</v>
      </c>
      <c r="E2006" s="1" t="n">
        <v>46265</v>
      </c>
      <c r="F2006" t="inlineStr">
        <is>
          <t>HALLANDS LÄN</t>
        </is>
      </c>
      <c r="G2006" t="inlineStr">
        <is>
          <t>HALMSTAD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7695-2024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45349</v>
      </c>
      <c r="E2007" s="1" t="n">
        <v>46265</v>
      </c>
      <c r="F2007" t="inlineStr">
        <is>
          <t>HALLANDS LÄN</t>
        </is>
      </c>
      <c r="G2007" t="inlineStr">
        <is>
          <t>VARBERG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6803-2023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44967</v>
      </c>
      <c r="E2008" s="1" t="n">
        <v>46265</v>
      </c>
      <c r="F2008" t="inlineStr">
        <is>
          <t>HALLANDS LÄN</t>
        </is>
      </c>
      <c r="G2008" t="inlineStr">
        <is>
          <t>VARBERG</t>
        </is>
      </c>
      <c r="I2008" t="n">
        <v>2.4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12076-2024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45377</v>
      </c>
      <c r="E2009" s="1" t="n">
        <v>46265</v>
      </c>
      <c r="F2009" t="inlineStr">
        <is>
          <t>HALLANDS LÄN</t>
        </is>
      </c>
      <c r="G2009" t="inlineStr">
        <is>
          <t>FALKENBERG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39570-2024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45552</v>
      </c>
      <c r="E2010" s="1" t="n">
        <v>46265</v>
      </c>
      <c r="F2010" t="inlineStr">
        <is>
          <t>HALLANDS LÄN</t>
        </is>
      </c>
      <c r="G2010" t="inlineStr">
        <is>
          <t>FALKENBERG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25242-2023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45086</v>
      </c>
      <c r="E2011" s="1" t="n">
        <v>46265</v>
      </c>
      <c r="F2011" t="inlineStr">
        <is>
          <t>HALLANDS LÄN</t>
        </is>
      </c>
      <c r="G2011" t="inlineStr">
        <is>
          <t>VARBERG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60341-2024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45643</v>
      </c>
      <c r="E2012" s="1" t="n">
        <v>46265</v>
      </c>
      <c r="F2012" t="inlineStr">
        <is>
          <t>HALLANDS LÄN</t>
        </is>
      </c>
      <c r="G2012" t="inlineStr">
        <is>
          <t>LAHOLM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23213-2023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45075</v>
      </c>
      <c r="E2013" s="1" t="n">
        <v>46265</v>
      </c>
      <c r="F2013" t="inlineStr">
        <is>
          <t>HALLANDS LÄN</t>
        </is>
      </c>
      <c r="G2013" t="inlineStr">
        <is>
          <t>VARBERG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12404-2023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44999</v>
      </c>
      <c r="E2014" s="1" t="n">
        <v>46265</v>
      </c>
      <c r="F2014" t="inlineStr">
        <is>
          <t>HALLANDS LÄN</t>
        </is>
      </c>
      <c r="G2014" t="inlineStr">
        <is>
          <t>KUNGSBACKA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5330-2022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44594</v>
      </c>
      <c r="E2015" s="1" t="n">
        <v>46265</v>
      </c>
      <c r="F2015" t="inlineStr">
        <is>
          <t>HALLANDS LÄN</t>
        </is>
      </c>
      <c r="G2015" t="inlineStr">
        <is>
          <t>HALMSTAD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3092-2025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45678</v>
      </c>
      <c r="E2016" s="1" t="n">
        <v>46265</v>
      </c>
      <c r="F2016" t="inlineStr">
        <is>
          <t>HALLANDS LÄN</t>
        </is>
      </c>
      <c r="G2016" t="inlineStr">
        <is>
          <t>FALKENBERG</t>
        </is>
      </c>
      <c r="I2016" t="n">
        <v>2.7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11091-2022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44628</v>
      </c>
      <c r="E2017" s="1" t="n">
        <v>46265</v>
      </c>
      <c r="F2017" t="inlineStr">
        <is>
          <t>HALLANDS LÄN</t>
        </is>
      </c>
      <c r="G2017" t="inlineStr">
        <is>
          <t>HALMSTAD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15427-2024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45401</v>
      </c>
      <c r="E2018" s="1" t="n">
        <v>46265</v>
      </c>
      <c r="F2018" t="inlineStr">
        <is>
          <t>HALLANDS LÄN</t>
        </is>
      </c>
      <c r="G2018" t="inlineStr">
        <is>
          <t>FALKENBERG</t>
        </is>
      </c>
      <c r="H2018" t="inlineStr">
        <is>
          <t>Kyrkan</t>
        </is>
      </c>
      <c r="I2018" t="n">
        <v>4.5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12956-2025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45734</v>
      </c>
      <c r="E2019" s="1" t="n">
        <v>46265</v>
      </c>
      <c r="F2019" t="inlineStr">
        <is>
          <t>HALLANDS LÄN</t>
        </is>
      </c>
      <c r="G2019" t="inlineStr">
        <is>
          <t>LAHOLM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51372-2024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45604</v>
      </c>
      <c r="E2020" s="1" t="n">
        <v>46265</v>
      </c>
      <c r="F2020" t="inlineStr">
        <is>
          <t>HALLANDS LÄN</t>
        </is>
      </c>
      <c r="G2020" t="inlineStr">
        <is>
          <t>HYLTE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58193-2024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45632</v>
      </c>
      <c r="E2021" s="1" t="n">
        <v>46265</v>
      </c>
      <c r="F2021" t="inlineStr">
        <is>
          <t>HALLANDS LÄN</t>
        </is>
      </c>
      <c r="G2021" t="inlineStr">
        <is>
          <t>HALMSTAD</t>
        </is>
      </c>
      <c r="I2021" t="n">
        <v>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26257-2023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45091</v>
      </c>
      <c r="E2022" s="1" t="n">
        <v>46265</v>
      </c>
      <c r="F2022" t="inlineStr">
        <is>
          <t>HALLANDS LÄN</t>
        </is>
      </c>
      <c r="G2022" t="inlineStr">
        <is>
          <t>HYLTE</t>
        </is>
      </c>
      <c r="I2022" t="n">
        <v>4.9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35523-2024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45531</v>
      </c>
      <c r="E2023" s="1" t="n">
        <v>46265</v>
      </c>
      <c r="F2023" t="inlineStr">
        <is>
          <t>HALLANDS LÄN</t>
        </is>
      </c>
      <c r="G2023" t="inlineStr">
        <is>
          <t>LAHOLM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9354-2025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45714</v>
      </c>
      <c r="E2024" s="1" t="n">
        <v>46265</v>
      </c>
      <c r="F2024" t="inlineStr">
        <is>
          <t>HALLANDS LÄN</t>
        </is>
      </c>
      <c r="G2024" t="inlineStr">
        <is>
          <t>FALKENBERG</t>
        </is>
      </c>
      <c r="I2024" t="n">
        <v>7.2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47321-2024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45587</v>
      </c>
      <c r="E2025" s="1" t="n">
        <v>46265</v>
      </c>
      <c r="F2025" t="inlineStr">
        <is>
          <t>HALLANDS LÄN</t>
        </is>
      </c>
      <c r="G2025" t="inlineStr">
        <is>
          <t>KUNGSBACKA</t>
        </is>
      </c>
      <c r="I2025" t="n">
        <v>9.699999999999999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47698-2024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45588</v>
      </c>
      <c r="E2026" s="1" t="n">
        <v>46265</v>
      </c>
      <c r="F2026" t="inlineStr">
        <is>
          <t>HALLANDS LÄN</t>
        </is>
      </c>
      <c r="G2026" t="inlineStr">
        <is>
          <t>FALKENBERG</t>
        </is>
      </c>
      <c r="I2026" t="n">
        <v>0.8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40644-2023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45168</v>
      </c>
      <c r="E2027" s="1" t="n">
        <v>46265</v>
      </c>
      <c r="F2027" t="inlineStr">
        <is>
          <t>HALLANDS LÄN</t>
        </is>
      </c>
      <c r="G2027" t="inlineStr">
        <is>
          <t>HALMSTAD</t>
        </is>
      </c>
      <c r="H2027" t="inlineStr">
        <is>
          <t>Kommuner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59696-2024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45639</v>
      </c>
      <c r="E2028" s="1" t="n">
        <v>46265</v>
      </c>
      <c r="F2028" t="inlineStr">
        <is>
          <t>HALLANDS LÄN</t>
        </is>
      </c>
      <c r="G2028" t="inlineStr">
        <is>
          <t>KUNGSBACKA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49916-2024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45597</v>
      </c>
      <c r="E2029" s="1" t="n">
        <v>46265</v>
      </c>
      <c r="F2029" t="inlineStr">
        <is>
          <t>HALLANDS LÄN</t>
        </is>
      </c>
      <c r="G2029" t="inlineStr">
        <is>
          <t>HYLTE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60110-2025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45994</v>
      </c>
      <c r="E2030" s="1" t="n">
        <v>46265</v>
      </c>
      <c r="F2030" t="inlineStr">
        <is>
          <t>HALLANDS LÄN</t>
        </is>
      </c>
      <c r="G2030" t="inlineStr">
        <is>
          <t>LAHOLM</t>
        </is>
      </c>
      <c r="H2030" t="inlineStr">
        <is>
          <t>Sveaskog</t>
        </is>
      </c>
      <c r="I2030" t="n">
        <v>2.7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1223-2025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45667</v>
      </c>
      <c r="E2031" s="1" t="n">
        <v>46265</v>
      </c>
      <c r="F2031" t="inlineStr">
        <is>
          <t>HALLANDS LÄN</t>
        </is>
      </c>
      <c r="G2031" t="inlineStr">
        <is>
          <t>FALKENBERG</t>
        </is>
      </c>
      <c r="I2031" t="n">
        <v>2.8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13113-2022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44644</v>
      </c>
      <c r="E2032" s="1" t="n">
        <v>46265</v>
      </c>
      <c r="F2032" t="inlineStr">
        <is>
          <t>HALLANDS LÄN</t>
        </is>
      </c>
      <c r="G2032" t="inlineStr">
        <is>
          <t>FALKENBERG</t>
        </is>
      </c>
      <c r="I2032" t="n">
        <v>3.1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14721-2025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45742</v>
      </c>
      <c r="E2033" s="1" t="n">
        <v>46265</v>
      </c>
      <c r="F2033" t="inlineStr">
        <is>
          <t>HALLANDS LÄN</t>
        </is>
      </c>
      <c r="G2033" t="inlineStr">
        <is>
          <t>KUNGSBACKA</t>
        </is>
      </c>
      <c r="I2033" t="n">
        <v>6.1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44954-2023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45190</v>
      </c>
      <c r="E2034" s="1" t="n">
        <v>46265</v>
      </c>
      <c r="F2034" t="inlineStr">
        <is>
          <t>HALLANDS LÄN</t>
        </is>
      </c>
      <c r="G2034" t="inlineStr">
        <is>
          <t>FALKENBERG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73973-2021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44554</v>
      </c>
      <c r="E2035" s="1" t="n">
        <v>46265</v>
      </c>
      <c r="F2035" t="inlineStr">
        <is>
          <t>HALLANDS LÄN</t>
        </is>
      </c>
      <c r="G2035" t="inlineStr">
        <is>
          <t>FALKENBERG</t>
        </is>
      </c>
      <c r="I2035" t="n">
        <v>3.2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12593-2026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46265</v>
      </c>
      <c r="F2036" t="inlineStr">
        <is>
          <t>HALLANDS LÄN</t>
        </is>
      </c>
      <c r="G2036" t="inlineStr">
        <is>
          <t>HALMSTAD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12706-2022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44641</v>
      </c>
      <c r="E2037" s="1" t="n">
        <v>46265</v>
      </c>
      <c r="F2037" t="inlineStr">
        <is>
          <t>HALLANDS LÄN</t>
        </is>
      </c>
      <c r="G2037" t="inlineStr">
        <is>
          <t>HYLTE</t>
        </is>
      </c>
      <c r="I2037" t="n">
        <v>1.7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13042-2026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46093</v>
      </c>
      <c r="E2038" s="1" t="n">
        <v>46265</v>
      </c>
      <c r="F2038" t="inlineStr">
        <is>
          <t>HALLANDS LÄN</t>
        </is>
      </c>
      <c r="G2038" t="inlineStr">
        <is>
          <t>LAHOLM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12788-2026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46091</v>
      </c>
      <c r="E2039" s="1" t="n">
        <v>46265</v>
      </c>
      <c r="F2039" t="inlineStr">
        <is>
          <t>HALLANDS LÄN</t>
        </is>
      </c>
      <c r="G2039" t="inlineStr">
        <is>
          <t>LAHOLM</t>
        </is>
      </c>
      <c r="I2039" t="n">
        <v>4.1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13060-2026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46093</v>
      </c>
      <c r="E2040" s="1" t="n">
        <v>46265</v>
      </c>
      <c r="F2040" t="inlineStr">
        <is>
          <t>HALLANDS LÄN</t>
        </is>
      </c>
      <c r="G2040" t="inlineStr">
        <is>
          <t>HYLTE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13066-2026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46093</v>
      </c>
      <c r="E2041" s="1" t="n">
        <v>46265</v>
      </c>
      <c r="F2041" t="inlineStr">
        <is>
          <t>HALLANDS LÄN</t>
        </is>
      </c>
      <c r="G2041" t="inlineStr">
        <is>
          <t>HYLTE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12845-2026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46092</v>
      </c>
      <c r="E2042" s="1" t="n">
        <v>46265</v>
      </c>
      <c r="F2042" t="inlineStr">
        <is>
          <t>HALLANDS LÄN</t>
        </is>
      </c>
      <c r="G2042" t="inlineStr">
        <is>
          <t>VARBERG</t>
        </is>
      </c>
      <c r="I2042" t="n">
        <v>6.1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13062-2026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46093</v>
      </c>
      <c r="E2043" s="1" t="n">
        <v>46265</v>
      </c>
      <c r="F2043" t="inlineStr">
        <is>
          <t>HALLANDS LÄN</t>
        </is>
      </c>
      <c r="G2043" t="inlineStr">
        <is>
          <t>HYLTE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12994-2026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46092</v>
      </c>
      <c r="E2044" s="1" t="n">
        <v>46265</v>
      </c>
      <c r="F2044" t="inlineStr">
        <is>
          <t>HALLANDS LÄN</t>
        </is>
      </c>
      <c r="G2044" t="inlineStr">
        <is>
          <t>HALMSTAD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50647-2024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45601</v>
      </c>
      <c r="E2045" s="1" t="n">
        <v>46265</v>
      </c>
      <c r="F2045" t="inlineStr">
        <is>
          <t>HALLANDS LÄN</t>
        </is>
      </c>
      <c r="G2045" t="inlineStr">
        <is>
          <t>FALKENBERG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13774-2026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46097</v>
      </c>
      <c r="E2046" s="1" t="n">
        <v>46265</v>
      </c>
      <c r="F2046" t="inlineStr">
        <is>
          <t>HALLANDS LÄN</t>
        </is>
      </c>
      <c r="G2046" t="inlineStr">
        <is>
          <t>FALKENBERG</t>
        </is>
      </c>
      <c r="I2046" t="n">
        <v>0.8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11524-2025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45727</v>
      </c>
      <c r="E2047" s="1" t="n">
        <v>46265</v>
      </c>
      <c r="F2047" t="inlineStr">
        <is>
          <t>HALLANDS LÄN</t>
        </is>
      </c>
      <c r="G2047" t="inlineStr">
        <is>
          <t>VARBERG</t>
        </is>
      </c>
      <c r="I2047" t="n">
        <v>0.9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19791-2024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45432</v>
      </c>
      <c r="E2048" s="1" t="n">
        <v>46265</v>
      </c>
      <c r="F2048" t="inlineStr">
        <is>
          <t>HALLANDS LÄN</t>
        </is>
      </c>
      <c r="G2048" t="inlineStr">
        <is>
          <t>HYLTE</t>
        </is>
      </c>
      <c r="I2048" t="n">
        <v>1.7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20349-2024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45435</v>
      </c>
      <c r="E2049" s="1" t="n">
        <v>46265</v>
      </c>
      <c r="F2049" t="inlineStr">
        <is>
          <t>HALLANDS LÄN</t>
        </is>
      </c>
      <c r="G2049" t="inlineStr">
        <is>
          <t>FALKENBERG</t>
        </is>
      </c>
      <c r="I2049" t="n">
        <v>0.7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13469-2026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46094</v>
      </c>
      <c r="E2050" s="1" t="n">
        <v>46265</v>
      </c>
      <c r="F2050" t="inlineStr">
        <is>
          <t>HALLANDS LÄN</t>
        </is>
      </c>
      <c r="G2050" t="inlineStr">
        <is>
          <t>VARBERG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37725-2023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45159</v>
      </c>
      <c r="E2051" s="1" t="n">
        <v>46265</v>
      </c>
      <c r="F2051" t="inlineStr">
        <is>
          <t>HALLANDS LÄN</t>
        </is>
      </c>
      <c r="G2051" t="inlineStr">
        <is>
          <t>HYLTE</t>
        </is>
      </c>
      <c r="I2051" t="n">
        <v>2.1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15433-2025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45747</v>
      </c>
      <c r="E2052" s="1" t="n">
        <v>46265</v>
      </c>
      <c r="F2052" t="inlineStr">
        <is>
          <t>HALLANDS LÄN</t>
        </is>
      </c>
      <c r="G2052" t="inlineStr">
        <is>
          <t>LAHOLM</t>
        </is>
      </c>
      <c r="I2052" t="n">
        <v>4.3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13422-2026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46094</v>
      </c>
      <c r="E2053" s="1" t="n">
        <v>46265</v>
      </c>
      <c r="F2053" t="inlineStr">
        <is>
          <t>HALLANDS LÄN</t>
        </is>
      </c>
      <c r="G2053" t="inlineStr">
        <is>
          <t>LAHOLM</t>
        </is>
      </c>
      <c r="I2053" t="n">
        <v>1.4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332-2025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45660</v>
      </c>
      <c r="E2054" s="1" t="n">
        <v>46265</v>
      </c>
      <c r="F2054" t="inlineStr">
        <is>
          <t>HALLANDS LÄN</t>
        </is>
      </c>
      <c r="G2054" t="inlineStr">
        <is>
          <t>HALMSTAD</t>
        </is>
      </c>
      <c r="I2054" t="n">
        <v>3.8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13429-2026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46094</v>
      </c>
      <c r="E2055" s="1" t="n">
        <v>46265</v>
      </c>
      <c r="F2055" t="inlineStr">
        <is>
          <t>HALLANDS LÄN</t>
        </is>
      </c>
      <c r="G2055" t="inlineStr">
        <is>
          <t>VARBERG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22589-2023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45071</v>
      </c>
      <c r="E2056" s="1" t="n">
        <v>46265</v>
      </c>
      <c r="F2056" t="inlineStr">
        <is>
          <t>HALLANDS LÄN</t>
        </is>
      </c>
      <c r="G2056" t="inlineStr">
        <is>
          <t>KUNGSBACKA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2029-2025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45672</v>
      </c>
      <c r="E2057" s="1" t="n">
        <v>46265</v>
      </c>
      <c r="F2057" t="inlineStr">
        <is>
          <t>HALLANDS LÄN</t>
        </is>
      </c>
      <c r="G2057" t="inlineStr">
        <is>
          <t>VARBERG</t>
        </is>
      </c>
      <c r="I2057" t="n">
        <v>3.6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51-2025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45659</v>
      </c>
      <c r="E2058" s="1" t="n">
        <v>46265</v>
      </c>
      <c r="F2058" t="inlineStr">
        <is>
          <t>HALLANDS LÄN</t>
        </is>
      </c>
      <c r="G2058" t="inlineStr">
        <is>
          <t>KUNGSBACKA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14204-2026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46099</v>
      </c>
      <c r="E2059" s="1" t="n">
        <v>46265</v>
      </c>
      <c r="F2059" t="inlineStr">
        <is>
          <t>HALLANDS LÄN</t>
        </is>
      </c>
      <c r="G2059" t="inlineStr">
        <is>
          <t>FALKENBERG</t>
        </is>
      </c>
      <c r="I2059" t="n">
        <v>8.9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3167-2024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45316</v>
      </c>
      <c r="E2060" s="1" t="n">
        <v>46265</v>
      </c>
      <c r="F2060" t="inlineStr">
        <is>
          <t>HALLANDS LÄN</t>
        </is>
      </c>
      <c r="G2060" t="inlineStr">
        <is>
          <t>HALMSTAD</t>
        </is>
      </c>
      <c r="I2060" t="n">
        <v>2.2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54659-2024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45618</v>
      </c>
      <c r="E2061" s="1" t="n">
        <v>46265</v>
      </c>
      <c r="F2061" t="inlineStr">
        <is>
          <t>HALLANDS LÄN</t>
        </is>
      </c>
      <c r="G2061" t="inlineStr">
        <is>
          <t>FALKENBERG</t>
        </is>
      </c>
      <c r="I2061" t="n">
        <v>3.9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13998-2026</t>
        </is>
      </c>
      <c r="B2062" t="inlineStr">
        <is>
          <t>avverkningsanmälan</t>
        </is>
      </c>
      <c r="C2062" t="inlineStr">
        <is>
          <t>Avverkning för att bevara och utveckla /försöksver</t>
        </is>
      </c>
      <c r="D2062" s="1" t="n">
        <v>46098</v>
      </c>
      <c r="E2062" s="1" t="n">
        <v>46265</v>
      </c>
      <c r="F2062" t="inlineStr">
        <is>
          <t>HALLANDS LÄN</t>
        </is>
      </c>
      <c r="G2062" t="inlineStr">
        <is>
          <t>LAHOLM</t>
        </is>
      </c>
      <c r="H2062" t="inlineStr">
        <is>
          <t>Sveaskog</t>
        </is>
      </c>
      <c r="I2062" t="n">
        <v>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24035-2024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45456</v>
      </c>
      <c r="E2063" s="1" t="n">
        <v>46265</v>
      </c>
      <c r="F2063" t="inlineStr">
        <is>
          <t>HALLANDS LÄN</t>
        </is>
      </c>
      <c r="G2063" t="inlineStr">
        <is>
          <t>HYLTE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35891-2022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44802</v>
      </c>
      <c r="E2064" s="1" t="n">
        <v>46265</v>
      </c>
      <c r="F2064" t="inlineStr">
        <is>
          <t>HALLANDS LÄN</t>
        </is>
      </c>
      <c r="G2064" t="inlineStr">
        <is>
          <t>LAHOLM</t>
        </is>
      </c>
      <c r="I2064" t="n">
        <v>1.7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62141-2024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45656</v>
      </c>
      <c r="E2065" s="1" t="n">
        <v>46265</v>
      </c>
      <c r="F2065" t="inlineStr">
        <is>
          <t>HALLANDS LÄN</t>
        </is>
      </c>
      <c r="G2065" t="inlineStr">
        <is>
          <t>KUNGSBACKA</t>
        </is>
      </c>
      <c r="I2065" t="n">
        <v>0.4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13782-2022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44649</v>
      </c>
      <c r="E2066" s="1" t="n">
        <v>46265</v>
      </c>
      <c r="F2066" t="inlineStr">
        <is>
          <t>HALLANDS LÄN</t>
        </is>
      </c>
      <c r="G2066" t="inlineStr">
        <is>
          <t>VARBERG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10572-2024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45366</v>
      </c>
      <c r="E2067" s="1" t="n">
        <v>46265</v>
      </c>
      <c r="F2067" t="inlineStr">
        <is>
          <t>HALLANDS LÄN</t>
        </is>
      </c>
      <c r="G2067" t="inlineStr">
        <is>
          <t>KUNGSBACKA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10575-2024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45366</v>
      </c>
      <c r="E2068" s="1" t="n">
        <v>46265</v>
      </c>
      <c r="F2068" t="inlineStr">
        <is>
          <t>HALLANDS LÄN</t>
        </is>
      </c>
      <c r="G2068" t="inlineStr">
        <is>
          <t>VARBERG</t>
        </is>
      </c>
      <c r="I2068" t="n">
        <v>0.9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10600-2024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45366</v>
      </c>
      <c r="E2069" s="1" t="n">
        <v>46265</v>
      </c>
      <c r="F2069" t="inlineStr">
        <is>
          <t>HALLANDS LÄN</t>
        </is>
      </c>
      <c r="G2069" t="inlineStr">
        <is>
          <t>HYLTE</t>
        </is>
      </c>
      <c r="H2069" t="inlineStr">
        <is>
          <t>Kyrkan</t>
        </is>
      </c>
      <c r="I2069" t="n">
        <v>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19956-2022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44697</v>
      </c>
      <c r="E2070" s="1" t="n">
        <v>46265</v>
      </c>
      <c r="F2070" t="inlineStr">
        <is>
          <t>HALLANDS LÄN</t>
        </is>
      </c>
      <c r="G2070" t="inlineStr">
        <is>
          <t>HYLTE</t>
        </is>
      </c>
      <c r="I2070" t="n">
        <v>1.8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6268-2022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44600</v>
      </c>
      <c r="E2071" s="1" t="n">
        <v>46265</v>
      </c>
      <c r="F2071" t="inlineStr">
        <is>
          <t>HALLANDS LÄN</t>
        </is>
      </c>
      <c r="G2071" t="inlineStr">
        <is>
          <t>LAHOLM</t>
        </is>
      </c>
      <c r="I2071" t="n">
        <v>1.7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3595-2025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45681</v>
      </c>
      <c r="E2072" s="1" t="n">
        <v>46265</v>
      </c>
      <c r="F2072" t="inlineStr">
        <is>
          <t>HALLANDS LÄN</t>
        </is>
      </c>
      <c r="G2072" t="inlineStr">
        <is>
          <t>HALMSTAD</t>
        </is>
      </c>
      <c r="H2072" t="inlineStr">
        <is>
          <t>Kommuner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3596-2025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45681</v>
      </c>
      <c r="E2073" s="1" t="n">
        <v>46265</v>
      </c>
      <c r="F2073" t="inlineStr">
        <is>
          <t>HALLANDS LÄN</t>
        </is>
      </c>
      <c r="G2073" t="inlineStr">
        <is>
          <t>HALMSTAD</t>
        </is>
      </c>
      <c r="H2073" t="inlineStr">
        <is>
          <t>Kommuner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59432-2024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45638</v>
      </c>
      <c r="E2074" s="1" t="n">
        <v>46265</v>
      </c>
      <c r="F2074" t="inlineStr">
        <is>
          <t>HALLANDS LÄN</t>
        </is>
      </c>
      <c r="G2074" t="inlineStr">
        <is>
          <t>VARBERG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15189-2026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46105</v>
      </c>
      <c r="E2075" s="1" t="n">
        <v>46265</v>
      </c>
      <c r="F2075" t="inlineStr">
        <is>
          <t>HALLANDS LÄN</t>
        </is>
      </c>
      <c r="G2075" t="inlineStr">
        <is>
          <t>HALMSTAD</t>
        </is>
      </c>
      <c r="I2075" t="n">
        <v>3.8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46265</v>
      </c>
      <c r="F2076" t="inlineStr">
        <is>
          <t>HALLANDS LÄN</t>
        </is>
      </c>
      <c r="G2076" t="inlineStr">
        <is>
          <t>HALMSTAD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15247-2026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46105</v>
      </c>
      <c r="E2077" s="1" t="n">
        <v>46265</v>
      </c>
      <c r="F2077" t="inlineStr">
        <is>
          <t>HALLANDS LÄN</t>
        </is>
      </c>
      <c r="G2077" t="inlineStr">
        <is>
          <t>LAHOLM</t>
        </is>
      </c>
      <c r="I2077" t="n">
        <v>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6868-2026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46057</v>
      </c>
      <c r="E2078" s="1" t="n">
        <v>46265</v>
      </c>
      <c r="F2078" t="inlineStr">
        <is>
          <t>HALLANDS LÄN</t>
        </is>
      </c>
      <c r="G2078" t="inlineStr">
        <is>
          <t>HYLTE</t>
        </is>
      </c>
      <c r="I2078" t="n">
        <v>7.6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26024-2023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45091</v>
      </c>
      <c r="E2079" s="1" t="n">
        <v>46265</v>
      </c>
      <c r="F2079" t="inlineStr">
        <is>
          <t>HALLANDS LÄN</t>
        </is>
      </c>
      <c r="G2079" t="inlineStr">
        <is>
          <t>HALMSTAD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15013-2026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46104</v>
      </c>
      <c r="E2080" s="1" t="n">
        <v>46265</v>
      </c>
      <c r="F2080" t="inlineStr">
        <is>
          <t>HALLANDS LÄN</t>
        </is>
      </c>
      <c r="G2080" t="inlineStr">
        <is>
          <t>VARBERG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15289-2026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46105</v>
      </c>
      <c r="E2081" s="1" t="n">
        <v>46265</v>
      </c>
      <c r="F2081" t="inlineStr">
        <is>
          <t>HALLANDS LÄN</t>
        </is>
      </c>
      <c r="G2081" t="inlineStr">
        <is>
          <t>LAHOLM</t>
        </is>
      </c>
      <c r="I2081" t="n">
        <v>1.3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15109-2026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46105</v>
      </c>
      <c r="E2082" s="1" t="n">
        <v>46265</v>
      </c>
      <c r="F2082" t="inlineStr">
        <is>
          <t>HALLANDS LÄN</t>
        </is>
      </c>
      <c r="G2082" t="inlineStr">
        <is>
          <t>HALMSTAD</t>
        </is>
      </c>
      <c r="I2082" t="n">
        <v>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45513-2023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45194</v>
      </c>
      <c r="E2083" s="1" t="n">
        <v>46265</v>
      </c>
      <c r="F2083" t="inlineStr">
        <is>
          <t>HALLANDS LÄN</t>
        </is>
      </c>
      <c r="G2083" t="inlineStr">
        <is>
          <t>HYLTE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5167-2022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44594</v>
      </c>
      <c r="E2084" s="1" t="n">
        <v>46265</v>
      </c>
      <c r="F2084" t="inlineStr">
        <is>
          <t>HALLANDS LÄN</t>
        </is>
      </c>
      <c r="G2084" t="inlineStr">
        <is>
          <t>LAHOLM</t>
        </is>
      </c>
      <c r="H2084" t="inlineStr">
        <is>
          <t>Kommuner</t>
        </is>
      </c>
      <c r="I2084" t="n">
        <v>3.1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60472-2024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45643</v>
      </c>
      <c r="E2085" s="1" t="n">
        <v>46265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2.4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15513-2026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46106</v>
      </c>
      <c r="E2086" s="1" t="n">
        <v>46265</v>
      </c>
      <c r="F2086" t="inlineStr">
        <is>
          <t>HALLANDS LÄN</t>
        </is>
      </c>
      <c r="G2086" t="inlineStr">
        <is>
          <t>FALKENBERG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15574-2026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46106</v>
      </c>
      <c r="E2087" s="1" t="n">
        <v>46265</v>
      </c>
      <c r="F2087" t="inlineStr">
        <is>
          <t>HALLANDS LÄN</t>
        </is>
      </c>
      <c r="G2087" t="inlineStr">
        <is>
          <t>HALMSTAD</t>
        </is>
      </c>
      <c r="I2087" t="n">
        <v>0.7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15538-2026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46106</v>
      </c>
      <c r="E2088" s="1" t="n">
        <v>46265</v>
      </c>
      <c r="F2088" t="inlineStr">
        <is>
          <t>HALLANDS LÄN</t>
        </is>
      </c>
      <c r="G2088" t="inlineStr">
        <is>
          <t>LAHOLM</t>
        </is>
      </c>
      <c r="I2088" t="n">
        <v>3.9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15508-2026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46106</v>
      </c>
      <c r="E2089" s="1" t="n">
        <v>46265</v>
      </c>
      <c r="F2089" t="inlineStr">
        <is>
          <t>HALLANDS LÄN</t>
        </is>
      </c>
      <c r="G2089" t="inlineStr">
        <is>
          <t>VARBERG</t>
        </is>
      </c>
      <c r="I2089" t="n">
        <v>1.8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6994-2026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46057</v>
      </c>
      <c r="E2090" s="1" t="n">
        <v>46265</v>
      </c>
      <c r="F2090" t="inlineStr">
        <is>
          <t>HALLANDS LÄN</t>
        </is>
      </c>
      <c r="G2090" t="inlineStr">
        <is>
          <t>HYLTE</t>
        </is>
      </c>
      <c r="I2090" t="n">
        <v>5.3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61506-2024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45646</v>
      </c>
      <c r="E2091" s="1" t="n">
        <v>46265</v>
      </c>
      <c r="F2091" t="inlineStr">
        <is>
          <t>HALLANDS LÄN</t>
        </is>
      </c>
      <c r="G2091" t="inlineStr">
        <is>
          <t>LAHOLM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15404-2026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46106</v>
      </c>
      <c r="E2092" s="1" t="n">
        <v>46265</v>
      </c>
      <c r="F2092" t="inlineStr">
        <is>
          <t>HALLANDS LÄN</t>
        </is>
      </c>
      <c r="G2092" t="inlineStr">
        <is>
          <t>FALKENBERG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15833-2026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46107</v>
      </c>
      <c r="E2093" s="1" t="n">
        <v>46265</v>
      </c>
      <c r="F2093" t="inlineStr">
        <is>
          <t>HALLANDS LÄN</t>
        </is>
      </c>
      <c r="G2093" t="inlineStr">
        <is>
          <t>HALMSTAD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31937-2023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46265</v>
      </c>
      <c r="F2094" t="inlineStr">
        <is>
          <t>HALLANDS LÄN</t>
        </is>
      </c>
      <c r="G2094" t="inlineStr">
        <is>
          <t>LAHOLM</t>
        </is>
      </c>
      <c r="I2094" t="n">
        <v>12.9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69589-2021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44532</v>
      </c>
      <c r="E2095" s="1" t="n">
        <v>46265</v>
      </c>
      <c r="F2095" t="inlineStr">
        <is>
          <t>HALLANDS LÄN</t>
        </is>
      </c>
      <c r="G2095" t="inlineStr">
        <is>
          <t>LAHOLM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15416-2026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46106</v>
      </c>
      <c r="E2096" s="1" t="n">
        <v>46265</v>
      </c>
      <c r="F2096" t="inlineStr">
        <is>
          <t>HALLANDS LÄN</t>
        </is>
      </c>
      <c r="G2096" t="inlineStr">
        <is>
          <t>VARBERG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11306-2024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45371</v>
      </c>
      <c r="E2097" s="1" t="n">
        <v>46265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15505-2026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46106</v>
      </c>
      <c r="E2098" s="1" t="n">
        <v>46265</v>
      </c>
      <c r="F2098" t="inlineStr">
        <is>
          <t>HALLANDS LÄN</t>
        </is>
      </c>
      <c r="G2098" t="inlineStr">
        <is>
          <t>FALKENBERG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16174-2026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46111</v>
      </c>
      <c r="E2099" s="1" t="n">
        <v>46265</v>
      </c>
      <c r="F2099" t="inlineStr">
        <is>
          <t>HALLANDS LÄN</t>
        </is>
      </c>
      <c r="G2099" t="inlineStr">
        <is>
          <t>HYLTE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6504-2022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44601</v>
      </c>
      <c r="E2100" s="1" t="n">
        <v>46265</v>
      </c>
      <c r="F2100" t="inlineStr">
        <is>
          <t>HALLANDS LÄN</t>
        </is>
      </c>
      <c r="G2100" t="inlineStr">
        <is>
          <t>KUNGSBACKA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50593-2023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45217</v>
      </c>
      <c r="E2101" s="1" t="n">
        <v>46265</v>
      </c>
      <c r="F2101" t="inlineStr">
        <is>
          <t>HALLANDS LÄN</t>
        </is>
      </c>
      <c r="G2101" t="inlineStr">
        <is>
          <t>HALMSTAD</t>
        </is>
      </c>
      <c r="I2101" t="n">
        <v>0.3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50603-2023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45217</v>
      </c>
      <c r="E2102" s="1" t="n">
        <v>46265</v>
      </c>
      <c r="F2102" t="inlineStr">
        <is>
          <t>HALLANDS LÄN</t>
        </is>
      </c>
      <c r="G2102" t="inlineStr">
        <is>
          <t>HALMSTAD</t>
        </is>
      </c>
      <c r="I2102" t="n">
        <v>1.4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16172-2026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46111</v>
      </c>
      <c r="E2103" s="1" t="n">
        <v>46265</v>
      </c>
      <c r="F2103" t="inlineStr">
        <is>
          <t>HALLANDS LÄN</t>
        </is>
      </c>
      <c r="G2103" t="inlineStr">
        <is>
          <t>HYLTE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16171-2026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46111</v>
      </c>
      <c r="E2104" s="1" t="n">
        <v>46265</v>
      </c>
      <c r="F2104" t="inlineStr">
        <is>
          <t>HALLANDS LÄN</t>
        </is>
      </c>
      <c r="G2104" t="inlineStr">
        <is>
          <t>HYLTE</t>
        </is>
      </c>
      <c r="I2104" t="n">
        <v>3.8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16193-2026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46111</v>
      </c>
      <c r="E2105" s="1" t="n">
        <v>46265</v>
      </c>
      <c r="F2105" t="inlineStr">
        <is>
          <t>HALLANDS LÄN</t>
        </is>
      </c>
      <c r="G2105" t="inlineStr">
        <is>
          <t>LAHOLM</t>
        </is>
      </c>
      <c r="I2105" t="n">
        <v>2.8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43037-2023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45182</v>
      </c>
      <c r="E2106" s="1" t="n">
        <v>46265</v>
      </c>
      <c r="F2106" t="inlineStr">
        <is>
          <t>HALLANDS LÄN</t>
        </is>
      </c>
      <c r="G2106" t="inlineStr">
        <is>
          <t>VARBERG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43045-2023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45182</v>
      </c>
      <c r="E2107" s="1" t="n">
        <v>46265</v>
      </c>
      <c r="F2107" t="inlineStr">
        <is>
          <t>HALLANDS LÄN</t>
        </is>
      </c>
      <c r="G2107" t="inlineStr">
        <is>
          <t>FALKENBERG</t>
        </is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23483-2022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44721</v>
      </c>
      <c r="E2108" s="1" t="n">
        <v>46265</v>
      </c>
      <c r="F2108" t="inlineStr">
        <is>
          <t>HALLANDS LÄN</t>
        </is>
      </c>
      <c r="G2108" t="inlineStr">
        <is>
          <t>HALMSTAD</t>
        </is>
      </c>
      <c r="I2108" t="n">
        <v>7.9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58980-2024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45636</v>
      </c>
      <c r="E2109" s="1" t="n">
        <v>46265</v>
      </c>
      <c r="F2109" t="inlineStr">
        <is>
          <t>HALLANDS LÄN</t>
        </is>
      </c>
      <c r="G2109" t="inlineStr">
        <is>
          <t>HALMSTAD</t>
        </is>
      </c>
      <c r="H2109" t="inlineStr">
        <is>
          <t>Kommuner</t>
        </is>
      </c>
      <c r="I2109" t="n">
        <v>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58983-2024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45636</v>
      </c>
      <c r="E2110" s="1" t="n">
        <v>46265</v>
      </c>
      <c r="F2110" t="inlineStr">
        <is>
          <t>HALLANDS LÄN</t>
        </is>
      </c>
      <c r="G2110" t="inlineStr">
        <is>
          <t>HALMSTAD</t>
        </is>
      </c>
      <c r="H2110" t="inlineStr">
        <is>
          <t>Kommuner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16405-2025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45751</v>
      </c>
      <c r="E2111" s="1" t="n">
        <v>46265</v>
      </c>
      <c r="F2111" t="inlineStr">
        <is>
          <t>HALLANDS LÄN</t>
        </is>
      </c>
      <c r="G2111" t="inlineStr">
        <is>
          <t>FALKENBERG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16899-2026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46113</v>
      </c>
      <c r="E2112" s="1" t="n">
        <v>46265</v>
      </c>
      <c r="F2112" t="inlineStr">
        <is>
          <t>HALLANDS LÄN</t>
        </is>
      </c>
      <c r="G2112" t="inlineStr">
        <is>
          <t>LAHOLM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43883-2023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45187</v>
      </c>
      <c r="E2113" s="1" t="n">
        <v>46265</v>
      </c>
      <c r="F2113" t="inlineStr">
        <is>
          <t>HALLANDS LÄN</t>
        </is>
      </c>
      <c r="G2113" t="inlineStr">
        <is>
          <t>FALKENBERG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47622-2023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45203</v>
      </c>
      <c r="E2114" s="1" t="n">
        <v>46265</v>
      </c>
      <c r="F2114" t="inlineStr">
        <is>
          <t>HALLANDS LÄN</t>
        </is>
      </c>
      <c r="G2114" t="inlineStr">
        <is>
          <t>HYLTE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50341-2024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45600</v>
      </c>
      <c r="E2115" s="1" t="n">
        <v>46265</v>
      </c>
      <c r="F2115" t="inlineStr">
        <is>
          <t>HALLANDS LÄN</t>
        </is>
      </c>
      <c r="G2115" t="inlineStr">
        <is>
          <t>VARBERG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50342-2024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45600</v>
      </c>
      <c r="E2116" s="1" t="n">
        <v>46265</v>
      </c>
      <c r="F2116" t="inlineStr">
        <is>
          <t>HALLANDS LÄN</t>
        </is>
      </c>
      <c r="G2116" t="inlineStr">
        <is>
          <t>VARBERG</t>
        </is>
      </c>
      <c r="I2116" t="n">
        <v>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18820-2024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45426</v>
      </c>
      <c r="E2117" s="1" t="n">
        <v>46265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18334-2025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45762</v>
      </c>
      <c r="E2118" s="1" t="n">
        <v>46265</v>
      </c>
      <c r="F2118" t="inlineStr">
        <is>
          <t>HALLANDS LÄN</t>
        </is>
      </c>
      <c r="G2118" t="inlineStr">
        <is>
          <t>LAHOLM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6265-2022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44600</v>
      </c>
      <c r="E2119" s="1" t="n">
        <v>46265</v>
      </c>
      <c r="F2119" t="inlineStr">
        <is>
          <t>HALLANDS LÄN</t>
        </is>
      </c>
      <c r="G2119" t="inlineStr">
        <is>
          <t>LAHOLM</t>
        </is>
      </c>
      <c r="I2119" t="n">
        <v>3.3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33646-2022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44789</v>
      </c>
      <c r="E2120" s="1" t="n">
        <v>46265</v>
      </c>
      <c r="F2120" t="inlineStr">
        <is>
          <t>HALLANDS LÄN</t>
        </is>
      </c>
      <c r="G2120" t="inlineStr">
        <is>
          <t>KUNGSBACKA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2877-2025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45677</v>
      </c>
      <c r="E2121" s="1" t="n">
        <v>46265</v>
      </c>
      <c r="F2121" t="inlineStr">
        <is>
          <t>HALLANDS LÄN</t>
        </is>
      </c>
      <c r="G2121" t="inlineStr">
        <is>
          <t>HYLTE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17401-2026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46120</v>
      </c>
      <c r="E2122" s="1" t="n">
        <v>46265</v>
      </c>
      <c r="F2122" t="inlineStr">
        <is>
          <t>HALLANDS LÄN</t>
        </is>
      </c>
      <c r="G2122" t="inlineStr">
        <is>
          <t>VARBERG</t>
        </is>
      </c>
      <c r="I2122" t="n">
        <v>0.6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17718-2026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46121</v>
      </c>
      <c r="E2123" s="1" t="n">
        <v>46265</v>
      </c>
      <c r="F2123" t="inlineStr">
        <is>
          <t>HALLANDS LÄN</t>
        </is>
      </c>
      <c r="G2123" t="inlineStr">
        <is>
          <t>HYLTE</t>
        </is>
      </c>
      <c r="I2123" t="n">
        <v>1.9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17484-2026</t>
        </is>
      </c>
      <c r="B2124" t="inlineStr">
        <is>
          <t>avverkningsanmälan</t>
        </is>
      </c>
      <c r="C2124" t="inlineStr">
        <is>
          <t>Avverkning för annat ändamål</t>
        </is>
      </c>
      <c r="D2124" s="1" t="n">
        <v>46120</v>
      </c>
      <c r="E2124" s="1" t="n">
        <v>46265</v>
      </c>
      <c r="F2124" t="inlineStr">
        <is>
          <t>HALLANDS LÄN</t>
        </is>
      </c>
      <c r="G2124" t="inlineStr">
        <is>
          <t>FALKENBERG</t>
        </is>
      </c>
      <c r="H2124" t="inlineStr">
        <is>
          <t>Övriga Aktiebolag</t>
        </is>
      </c>
      <c r="I2124" t="n">
        <v>0.9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17641-2026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46121</v>
      </c>
      <c r="E2125" s="1" t="n">
        <v>46265</v>
      </c>
      <c r="F2125" t="inlineStr">
        <is>
          <t>HALLANDS LÄN</t>
        </is>
      </c>
      <c r="G2125" t="inlineStr">
        <is>
          <t>HALMSTAD</t>
        </is>
      </c>
      <c r="I2125" t="n">
        <v>2.5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15545-2022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44662</v>
      </c>
      <c r="E2126" s="1" t="n">
        <v>46265</v>
      </c>
      <c r="F2126" t="inlineStr">
        <is>
          <t>HALLANDS LÄN</t>
        </is>
      </c>
      <c r="G2126" t="inlineStr">
        <is>
          <t>HALMSTAD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8189-2025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45708</v>
      </c>
      <c r="E2127" s="1" t="n">
        <v>46265</v>
      </c>
      <c r="F2127" t="inlineStr">
        <is>
          <t>HALLANDS LÄN</t>
        </is>
      </c>
      <c r="G2127" t="inlineStr">
        <is>
          <t>VARBERG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17421-2026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46120</v>
      </c>
      <c r="E2128" s="1" t="n">
        <v>46265</v>
      </c>
      <c r="F2128" t="inlineStr">
        <is>
          <t>HALLANDS LÄN</t>
        </is>
      </c>
      <c r="G2128" t="inlineStr">
        <is>
          <t>HYLTE</t>
        </is>
      </c>
      <c r="I2128" t="n">
        <v>1.1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17580-2026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46121</v>
      </c>
      <c r="E2129" s="1" t="n">
        <v>46265</v>
      </c>
      <c r="F2129" t="inlineStr">
        <is>
          <t>HALLANDS LÄN</t>
        </is>
      </c>
      <c r="G2129" t="inlineStr">
        <is>
          <t>HALMSTAD</t>
        </is>
      </c>
      <c r="I2129" t="n">
        <v>1.5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17582-2026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46121</v>
      </c>
      <c r="E2130" s="1" t="n">
        <v>46265</v>
      </c>
      <c r="F2130" t="inlineStr">
        <is>
          <t>HALLANDS LÄN</t>
        </is>
      </c>
      <c r="G2130" t="inlineStr">
        <is>
          <t>HALMSTAD</t>
        </is>
      </c>
      <c r="I2130" t="n">
        <v>2.1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36484-2023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45152</v>
      </c>
      <c r="E2131" s="1" t="n">
        <v>46265</v>
      </c>
      <c r="F2131" t="inlineStr">
        <is>
          <t>HALLANDS LÄN</t>
        </is>
      </c>
      <c r="G2131" t="inlineStr">
        <is>
          <t>LAHOLM</t>
        </is>
      </c>
      <c r="I2131" t="n">
        <v>4.2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7798-2025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45706</v>
      </c>
      <c r="E2132" s="1" t="n">
        <v>46265</v>
      </c>
      <c r="F2132" t="inlineStr">
        <is>
          <t>HALLANDS LÄN</t>
        </is>
      </c>
      <c r="G2132" t="inlineStr">
        <is>
          <t>KUNGSBACKA</t>
        </is>
      </c>
      <c r="I2132" t="n">
        <v>2.6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17717-2026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46121</v>
      </c>
      <c r="E2133" s="1" t="n">
        <v>46265</v>
      </c>
      <c r="F2133" t="inlineStr">
        <is>
          <t>HALLANDS LÄN</t>
        </is>
      </c>
      <c r="G2133" t="inlineStr">
        <is>
          <t>HYLTE</t>
        </is>
      </c>
      <c r="I2133" t="n">
        <v>1.4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17716-2026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46121</v>
      </c>
      <c r="E2134" s="1" t="n">
        <v>46265</v>
      </c>
      <c r="F2134" t="inlineStr">
        <is>
          <t>HALLANDS LÄN</t>
        </is>
      </c>
      <c r="G2134" t="inlineStr">
        <is>
          <t>HYLTE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17644-2026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46121</v>
      </c>
      <c r="E2135" s="1" t="n">
        <v>46265</v>
      </c>
      <c r="F2135" t="inlineStr">
        <is>
          <t>HALLANDS LÄN</t>
        </is>
      </c>
      <c r="G2135" t="inlineStr">
        <is>
          <t>LAHOLM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33600-2023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45132</v>
      </c>
      <c r="E2136" s="1" t="n">
        <v>46265</v>
      </c>
      <c r="F2136" t="inlineStr">
        <is>
          <t>HALLANDS LÄN</t>
        </is>
      </c>
      <c r="G2136" t="inlineStr">
        <is>
          <t>LAHOLM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33610-2023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45132</v>
      </c>
      <c r="E2137" s="1" t="n">
        <v>46265</v>
      </c>
      <c r="F2137" t="inlineStr">
        <is>
          <t>HALLANDS LÄN</t>
        </is>
      </c>
      <c r="G2137" t="inlineStr">
        <is>
          <t>HYLTE</t>
        </is>
      </c>
      <c r="I2137" t="n">
        <v>3.1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17714-2026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46121</v>
      </c>
      <c r="E2138" s="1" t="n">
        <v>46265</v>
      </c>
      <c r="F2138" t="inlineStr">
        <is>
          <t>HALLANDS LÄN</t>
        </is>
      </c>
      <c r="G2138" t="inlineStr">
        <is>
          <t>HYLTE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17715-2026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46121</v>
      </c>
      <c r="E2139" s="1" t="n">
        <v>46265</v>
      </c>
      <c r="F2139" t="inlineStr">
        <is>
          <t>HALLANDS LÄN</t>
        </is>
      </c>
      <c r="G2139" t="inlineStr">
        <is>
          <t>HYLTE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15492-2024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45401</v>
      </c>
      <c r="E2140" s="1" t="n">
        <v>46265</v>
      </c>
      <c r="F2140" t="inlineStr">
        <is>
          <t>HALLANDS LÄN</t>
        </is>
      </c>
      <c r="G2140" t="inlineStr">
        <is>
          <t>FALKENBERG</t>
        </is>
      </c>
      <c r="H2140" t="inlineStr">
        <is>
          <t>Kyrkan</t>
        </is>
      </c>
      <c r="I2140" t="n">
        <v>3.1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15550-2024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45401</v>
      </c>
      <c r="E2141" s="1" t="n">
        <v>46265</v>
      </c>
      <c r="F2141" t="inlineStr">
        <is>
          <t>HALLANDS LÄN</t>
        </is>
      </c>
      <c r="G2141" t="inlineStr">
        <is>
          <t>HALMSTAD</t>
        </is>
      </c>
      <c r="I2141" t="n">
        <v>6.2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17422-2026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46120</v>
      </c>
      <c r="E2142" s="1" t="n">
        <v>46265</v>
      </c>
      <c r="F2142" t="inlineStr">
        <is>
          <t>HALLANDS LÄN</t>
        </is>
      </c>
      <c r="G2142" t="inlineStr">
        <is>
          <t>HYLTE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17723-2026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46121</v>
      </c>
      <c r="E2143" s="1" t="n">
        <v>46265</v>
      </c>
      <c r="F2143" t="inlineStr">
        <is>
          <t>HALLANDS LÄN</t>
        </is>
      </c>
      <c r="G2143" t="inlineStr">
        <is>
          <t>HYLTE</t>
        </is>
      </c>
      <c r="I2143" t="n">
        <v>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17724-2026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46121</v>
      </c>
      <c r="E2144" s="1" t="n">
        <v>46265</v>
      </c>
      <c r="F2144" t="inlineStr">
        <is>
          <t>HALLANDS LÄN</t>
        </is>
      </c>
      <c r="G2144" t="inlineStr">
        <is>
          <t>HYLTE</t>
        </is>
      </c>
      <c r="I2144" t="n">
        <v>0.4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18077-2026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46125</v>
      </c>
      <c r="E2145" s="1" t="n">
        <v>46265</v>
      </c>
      <c r="F2145" t="inlineStr">
        <is>
          <t>HALLANDS LÄN</t>
        </is>
      </c>
      <c r="G2145" t="inlineStr">
        <is>
          <t>KUNGSBACKA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17852-2026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46122</v>
      </c>
      <c r="E2146" s="1" t="n">
        <v>46265</v>
      </c>
      <c r="F2146" t="inlineStr">
        <is>
          <t>HALLANDS LÄN</t>
        </is>
      </c>
      <c r="G2146" t="inlineStr">
        <is>
          <t>LAHOLM</t>
        </is>
      </c>
      <c r="I2146" t="n">
        <v>0.7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17955-2026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46122</v>
      </c>
      <c r="E2147" s="1" t="n">
        <v>46265</v>
      </c>
      <c r="F2147" t="inlineStr">
        <is>
          <t>HALLANDS LÄN</t>
        </is>
      </c>
      <c r="G2147" t="inlineStr">
        <is>
          <t>HYLTE</t>
        </is>
      </c>
      <c r="I2147" t="n">
        <v>3.1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17747-2026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46122</v>
      </c>
      <c r="E2148" s="1" t="n">
        <v>46265</v>
      </c>
      <c r="F2148" t="inlineStr">
        <is>
          <t>HALLANDS LÄN</t>
        </is>
      </c>
      <c r="G2148" t="inlineStr">
        <is>
          <t>HYLTE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28098-2023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45099</v>
      </c>
      <c r="E2149" s="1" t="n">
        <v>46265</v>
      </c>
      <c r="F2149" t="inlineStr">
        <is>
          <t>HALLANDS LÄN</t>
        </is>
      </c>
      <c r="G2149" t="inlineStr">
        <is>
          <t>HALMSTAD</t>
        </is>
      </c>
      <c r="I2149" t="n">
        <v>2.3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23772-2022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44722</v>
      </c>
      <c r="E2150" s="1" t="n">
        <v>46265</v>
      </c>
      <c r="F2150" t="inlineStr">
        <is>
          <t>HALLANDS LÄN</t>
        </is>
      </c>
      <c r="G2150" t="inlineStr">
        <is>
          <t>HALMSTAD</t>
        </is>
      </c>
      <c r="I2150" t="n">
        <v>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17758-2026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46122</v>
      </c>
      <c r="E2151" s="1" t="n">
        <v>46265</v>
      </c>
      <c r="F2151" t="inlineStr">
        <is>
          <t>HALLANDS LÄN</t>
        </is>
      </c>
      <c r="G2151" t="inlineStr">
        <is>
          <t>HYLTE</t>
        </is>
      </c>
      <c r="I2151" t="n">
        <v>3.5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45858-2023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45195</v>
      </c>
      <c r="E2152" s="1" t="n">
        <v>46265</v>
      </c>
      <c r="F2152" t="inlineStr">
        <is>
          <t>HALLANDS LÄN</t>
        </is>
      </c>
      <c r="G2152" t="inlineStr">
        <is>
          <t>LAHOLM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17857-2026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46122</v>
      </c>
      <c r="E2153" s="1" t="n">
        <v>46265</v>
      </c>
      <c r="F2153" t="inlineStr">
        <is>
          <t>HALLANDS LÄN</t>
        </is>
      </c>
      <c r="G2153" t="inlineStr">
        <is>
          <t>HYLTE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17722-2026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46121</v>
      </c>
      <c r="E2154" s="1" t="n">
        <v>46265</v>
      </c>
      <c r="F2154" t="inlineStr">
        <is>
          <t>HALLANDS LÄN</t>
        </is>
      </c>
      <c r="G2154" t="inlineStr">
        <is>
          <t>HYLTE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54309-2023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45232</v>
      </c>
      <c r="E2155" s="1" t="n">
        <v>46265</v>
      </c>
      <c r="F2155" t="inlineStr">
        <is>
          <t>HALLANDS LÄN</t>
        </is>
      </c>
      <c r="G2155" t="inlineStr">
        <is>
          <t>LAHOLM</t>
        </is>
      </c>
      <c r="I2155" t="n">
        <v>3.7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18057-2022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44684</v>
      </c>
      <c r="E2156" s="1" t="n">
        <v>46265</v>
      </c>
      <c r="F2156" t="inlineStr">
        <is>
          <t>HALLANDS LÄN</t>
        </is>
      </c>
      <c r="G2156" t="inlineStr">
        <is>
          <t>KUNGSBACKA</t>
        </is>
      </c>
      <c r="I2156" t="n">
        <v>4.2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18477-2026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46127</v>
      </c>
      <c r="E2157" s="1" t="n">
        <v>46265</v>
      </c>
      <c r="F2157" t="inlineStr">
        <is>
          <t>HALLANDS LÄN</t>
        </is>
      </c>
      <c r="G2157" t="inlineStr">
        <is>
          <t>FALKENBERG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34570-2023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45140</v>
      </c>
      <c r="E2158" s="1" t="n">
        <v>46265</v>
      </c>
      <c r="F2158" t="inlineStr">
        <is>
          <t>HALLANDS LÄN</t>
        </is>
      </c>
      <c r="G2158" t="inlineStr">
        <is>
          <t>VARBERG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34571-2023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45140</v>
      </c>
      <c r="E2159" s="1" t="n">
        <v>46265</v>
      </c>
      <c r="F2159" t="inlineStr">
        <is>
          <t>HALLANDS LÄN</t>
        </is>
      </c>
      <c r="G2159" t="inlineStr">
        <is>
          <t>VARBERG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42189-2023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45179</v>
      </c>
      <c r="E2160" s="1" t="n">
        <v>46265</v>
      </c>
      <c r="F2160" t="inlineStr">
        <is>
          <t>HALLANDS LÄN</t>
        </is>
      </c>
      <c r="G2160" t="inlineStr">
        <is>
          <t>LAHOLM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41012-2023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45173</v>
      </c>
      <c r="E2161" s="1" t="n">
        <v>46265</v>
      </c>
      <c r="F2161" t="inlineStr">
        <is>
          <t>HALLANDS LÄN</t>
        </is>
      </c>
      <c r="G2161" t="inlineStr">
        <is>
          <t>HYLTE</t>
        </is>
      </c>
      <c r="I2161" t="n">
        <v>3.3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4729-2025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45688</v>
      </c>
      <c r="E2162" s="1" t="n">
        <v>46265</v>
      </c>
      <c r="F2162" t="inlineStr">
        <is>
          <t>HALLANDS LÄN</t>
        </is>
      </c>
      <c r="G2162" t="inlineStr">
        <is>
          <t>LAHOLM</t>
        </is>
      </c>
      <c r="I2162" t="n">
        <v>3.4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36705-2023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45153</v>
      </c>
      <c r="E2163" s="1" t="n">
        <v>46265</v>
      </c>
      <c r="F2163" t="inlineStr">
        <is>
          <t>HALLANDS LÄN</t>
        </is>
      </c>
      <c r="G2163" t="inlineStr">
        <is>
          <t>HYLTE</t>
        </is>
      </c>
      <c r="I2163" t="n">
        <v>3.1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20352-2024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45435</v>
      </c>
      <c r="E2164" s="1" t="n">
        <v>46265</v>
      </c>
      <c r="F2164" t="inlineStr">
        <is>
          <t>HALLANDS LÄN</t>
        </is>
      </c>
      <c r="G2164" t="inlineStr">
        <is>
          <t>FALKENBERG</t>
        </is>
      </c>
      <c r="I2164" t="n">
        <v>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26798-2023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45093</v>
      </c>
      <c r="E2165" s="1" t="n">
        <v>46265</v>
      </c>
      <c r="F2165" t="inlineStr">
        <is>
          <t>HALLANDS LÄN</t>
        </is>
      </c>
      <c r="G2165" t="inlineStr">
        <is>
          <t>LAHOLM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19130-2026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46132</v>
      </c>
      <c r="E2166" s="1" t="n">
        <v>46265</v>
      </c>
      <c r="F2166" t="inlineStr">
        <is>
          <t>HALLANDS LÄN</t>
        </is>
      </c>
      <c r="G2166" t="inlineStr">
        <is>
          <t>VARBERG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41289-2023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45174</v>
      </c>
      <c r="E2167" s="1" t="n">
        <v>46265</v>
      </c>
      <c r="F2167" t="inlineStr">
        <is>
          <t>HALLANDS LÄN</t>
        </is>
      </c>
      <c r="G2167" t="inlineStr">
        <is>
          <t>LAHOLM</t>
        </is>
      </c>
      <c r="I2167" t="n">
        <v>0.4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24659-2023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45084</v>
      </c>
      <c r="E2168" s="1" t="n">
        <v>46265</v>
      </c>
      <c r="F2168" t="inlineStr">
        <is>
          <t>HALLANDS LÄN</t>
        </is>
      </c>
      <c r="G2168" t="inlineStr">
        <is>
          <t>HYLTE</t>
        </is>
      </c>
      <c r="I2168" t="n">
        <v>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59422-2023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45254</v>
      </c>
      <c r="E2169" s="1" t="n">
        <v>46265</v>
      </c>
      <c r="F2169" t="inlineStr">
        <is>
          <t>HALLANDS LÄN</t>
        </is>
      </c>
      <c r="G2169" t="inlineStr">
        <is>
          <t>HYLTE</t>
        </is>
      </c>
      <c r="I2169" t="n">
        <v>1.7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18699-2026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46128</v>
      </c>
      <c r="E2170" s="1" t="n">
        <v>46265</v>
      </c>
      <c r="F2170" t="inlineStr">
        <is>
          <t>HALLANDS LÄN</t>
        </is>
      </c>
      <c r="G2170" t="inlineStr">
        <is>
          <t>HYLTE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21992-2022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44711</v>
      </c>
      <c r="E2171" s="1" t="n">
        <v>46265</v>
      </c>
      <c r="F2171" t="inlineStr">
        <is>
          <t>HALLANDS LÄN</t>
        </is>
      </c>
      <c r="G2171" t="inlineStr">
        <is>
          <t>VARBERG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48859-2023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45209</v>
      </c>
      <c r="E2172" s="1" t="n">
        <v>46265</v>
      </c>
      <c r="F2172" t="inlineStr">
        <is>
          <t>HALLANDS LÄN</t>
        </is>
      </c>
      <c r="G2172" t="inlineStr">
        <is>
          <t>HALMSTAD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49393-2023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45211</v>
      </c>
      <c r="E2173" s="1" t="n">
        <v>46265</v>
      </c>
      <c r="F2173" t="inlineStr">
        <is>
          <t>HALLANDS LÄN</t>
        </is>
      </c>
      <c r="G2173" t="inlineStr">
        <is>
          <t>HYLTE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61075-2023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45261</v>
      </c>
      <c r="E2174" s="1" t="n">
        <v>46265</v>
      </c>
      <c r="F2174" t="inlineStr">
        <is>
          <t>HALLANDS LÄN</t>
        </is>
      </c>
      <c r="G2174" t="inlineStr">
        <is>
          <t>VARBERG</t>
        </is>
      </c>
      <c r="I2174" t="n">
        <v>0.6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18686-2026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46128</v>
      </c>
      <c r="E2175" s="1" t="n">
        <v>46265</v>
      </c>
      <c r="F2175" t="inlineStr">
        <is>
          <t>HALLANDS LÄN</t>
        </is>
      </c>
      <c r="G2175" t="inlineStr">
        <is>
          <t>HALMSTAD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43399-2024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45568</v>
      </c>
      <c r="E2176" s="1" t="n">
        <v>46265</v>
      </c>
      <c r="F2176" t="inlineStr">
        <is>
          <t>HALLANDS LÄN</t>
        </is>
      </c>
      <c r="G2176" t="inlineStr">
        <is>
          <t>HYLTE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12634-2025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45733</v>
      </c>
      <c r="E2177" s="1" t="n">
        <v>46265</v>
      </c>
      <c r="F2177" t="inlineStr">
        <is>
          <t>HALLANDS LÄN</t>
        </is>
      </c>
      <c r="G2177" t="inlineStr">
        <is>
          <t>HALMSTAD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1651-2025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45670</v>
      </c>
      <c r="E2178" s="1" t="n">
        <v>46265</v>
      </c>
      <c r="F2178" t="inlineStr">
        <is>
          <t>HALLANDS LÄN</t>
        </is>
      </c>
      <c r="G2178" t="inlineStr">
        <is>
          <t>LAHOLM</t>
        </is>
      </c>
      <c r="I2178" t="n">
        <v>7.5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43264-2023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45183</v>
      </c>
      <c r="E2179" s="1" t="n">
        <v>46265</v>
      </c>
      <c r="F2179" t="inlineStr">
        <is>
          <t>HALLANDS LÄN</t>
        </is>
      </c>
      <c r="G2179" t="inlineStr">
        <is>
          <t>HALMSTAD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17373-2024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45414</v>
      </c>
      <c r="E2180" s="1" t="n">
        <v>46265</v>
      </c>
      <c r="F2180" t="inlineStr">
        <is>
          <t>HALLANDS LÄN</t>
        </is>
      </c>
      <c r="G2180" t="inlineStr">
        <is>
          <t>FALKENBERG</t>
        </is>
      </c>
      <c r="H2180" t="inlineStr">
        <is>
          <t>Kyrkan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13828-2022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44649</v>
      </c>
      <c r="E2181" s="1" t="n">
        <v>46265</v>
      </c>
      <c r="F2181" t="inlineStr">
        <is>
          <t>HALLANDS LÄN</t>
        </is>
      </c>
      <c r="G2181" t="inlineStr">
        <is>
          <t>VARBERG</t>
        </is>
      </c>
      <c r="I2181" t="n">
        <v>2.8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38010-2022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44811</v>
      </c>
      <c r="E2182" s="1" t="n">
        <v>46265</v>
      </c>
      <c r="F2182" t="inlineStr">
        <is>
          <t>HALLANDS LÄN</t>
        </is>
      </c>
      <c r="G2182" t="inlineStr">
        <is>
          <t>FALKENBERG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21432-2024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45441</v>
      </c>
      <c r="E2183" s="1" t="n">
        <v>46265</v>
      </c>
      <c r="F2183" t="inlineStr">
        <is>
          <t>HALLANDS LÄN</t>
        </is>
      </c>
      <c r="G2183" t="inlineStr">
        <is>
          <t>HYLTE</t>
        </is>
      </c>
      <c r="H2183" t="inlineStr">
        <is>
          <t>Kyrkan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19560-2026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46134</v>
      </c>
      <c r="E2184" s="1" t="n">
        <v>46265</v>
      </c>
      <c r="F2184" t="inlineStr">
        <is>
          <t>HALLANDS LÄN</t>
        </is>
      </c>
      <c r="G2184" t="inlineStr">
        <is>
          <t>LAHOLM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24048-2024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45456</v>
      </c>
      <c r="E2185" s="1" t="n">
        <v>46265</v>
      </c>
      <c r="F2185" t="inlineStr">
        <is>
          <t>HALLANDS LÄN</t>
        </is>
      </c>
      <c r="G2185" t="inlineStr">
        <is>
          <t>HYLTE</t>
        </is>
      </c>
      <c r="I2185" t="n">
        <v>2.2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35376-2024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45531</v>
      </c>
      <c r="E2186" s="1" t="n">
        <v>46265</v>
      </c>
      <c r="F2186" t="inlineStr">
        <is>
          <t>HALLANDS LÄN</t>
        </is>
      </c>
      <c r="G2186" t="inlineStr">
        <is>
          <t>HALMSTAD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44087-2023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45188</v>
      </c>
      <c r="E2187" s="1" t="n">
        <v>46265</v>
      </c>
      <c r="F2187" t="inlineStr">
        <is>
          <t>HALLANDS LÄN</t>
        </is>
      </c>
      <c r="G2187" t="inlineStr">
        <is>
          <t>FALKENBERG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29474-2022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44753</v>
      </c>
      <c r="E2188" s="1" t="n">
        <v>46265</v>
      </c>
      <c r="F2188" t="inlineStr">
        <is>
          <t>HALLANDS LÄN</t>
        </is>
      </c>
      <c r="G2188" t="inlineStr">
        <is>
          <t>LAHOLM</t>
        </is>
      </c>
      <c r="I2188" t="n">
        <v>1.4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42606-2023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45181</v>
      </c>
      <c r="E2189" s="1" t="n">
        <v>46265</v>
      </c>
      <c r="F2189" t="inlineStr">
        <is>
          <t>HALLANDS LÄN</t>
        </is>
      </c>
      <c r="G2189" t="inlineStr">
        <is>
          <t>FALKENBERG</t>
        </is>
      </c>
      <c r="I2189" t="n">
        <v>4.1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27505-2022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44742</v>
      </c>
      <c r="E2190" s="1" t="n">
        <v>46265</v>
      </c>
      <c r="F2190" t="inlineStr">
        <is>
          <t>HALLANDS LÄN</t>
        </is>
      </c>
      <c r="G2190" t="inlineStr">
        <is>
          <t>HALMSTAD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43269-2023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45183</v>
      </c>
      <c r="E2191" s="1" t="n">
        <v>46265</v>
      </c>
      <c r="F2191" t="inlineStr">
        <is>
          <t>HALLANDS LÄN</t>
        </is>
      </c>
      <c r="G2191" t="inlineStr">
        <is>
          <t>HALMSTAD</t>
        </is>
      </c>
      <c r="I2191" t="n">
        <v>0.6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19384-2026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46133</v>
      </c>
      <c r="E2192" s="1" t="n">
        <v>46265</v>
      </c>
      <c r="F2192" t="inlineStr">
        <is>
          <t>HALLANDS LÄN</t>
        </is>
      </c>
      <c r="G2192" t="inlineStr">
        <is>
          <t>LAHOLM</t>
        </is>
      </c>
      <c r="H2192" t="inlineStr">
        <is>
          <t>Sveaskog</t>
        </is>
      </c>
      <c r="I2192" t="n">
        <v>4.8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55596-2023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45238</v>
      </c>
      <c r="E2193" s="1" t="n">
        <v>46265</v>
      </c>
      <c r="F2193" t="inlineStr">
        <is>
          <t>HALLANDS LÄN</t>
        </is>
      </c>
      <c r="G2193" t="inlineStr">
        <is>
          <t>HALMSTAD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19626-2025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45770</v>
      </c>
      <c r="E2194" s="1" t="n">
        <v>46265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Kommuner</t>
        </is>
      </c>
      <c r="I2194" t="n">
        <v>8.4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23069-2025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45790</v>
      </c>
      <c r="E2195" s="1" t="n">
        <v>46265</v>
      </c>
      <c r="F2195" t="inlineStr">
        <is>
          <t>HALLANDS LÄN</t>
        </is>
      </c>
      <c r="G2195" t="inlineStr">
        <is>
          <t>HYLTE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41961-2023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45177</v>
      </c>
      <c r="E2196" s="1" t="n">
        <v>46265</v>
      </c>
      <c r="F2196" t="inlineStr">
        <is>
          <t>HALLANDS LÄN</t>
        </is>
      </c>
      <c r="G2196" t="inlineStr">
        <is>
          <t>VARBERG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40810-2023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45171</v>
      </c>
      <c r="E2197" s="1" t="n">
        <v>46265</v>
      </c>
      <c r="F2197" t="inlineStr">
        <is>
          <t>HALLANDS LÄN</t>
        </is>
      </c>
      <c r="G2197" t="inlineStr">
        <is>
          <t>LAHOLM</t>
        </is>
      </c>
      <c r="I2197" t="n">
        <v>2.1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46643-2023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45195</v>
      </c>
      <c r="E2198" s="1" t="n">
        <v>46265</v>
      </c>
      <c r="F2198" t="inlineStr">
        <is>
          <t>HALLANDS LÄN</t>
        </is>
      </c>
      <c r="G2198" t="inlineStr">
        <is>
          <t>LAHOLM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8677-2022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44613</v>
      </c>
      <c r="E2199" s="1" t="n">
        <v>46265</v>
      </c>
      <c r="F2199" t="inlineStr">
        <is>
          <t>HALLANDS LÄN</t>
        </is>
      </c>
      <c r="G2199" t="inlineStr">
        <is>
          <t>KUNGSBACKA</t>
        </is>
      </c>
      <c r="I2199" t="n">
        <v>3.5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29890-2024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45487</v>
      </c>
      <c r="E2200" s="1" t="n">
        <v>46265</v>
      </c>
      <c r="F2200" t="inlineStr">
        <is>
          <t>HALLANDS LÄN</t>
        </is>
      </c>
      <c r="G2200" t="inlineStr">
        <is>
          <t>VARBERG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15858-2022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44664</v>
      </c>
      <c r="E2201" s="1" t="n">
        <v>46265</v>
      </c>
      <c r="F2201" t="inlineStr">
        <is>
          <t>HALLANDS LÄN</t>
        </is>
      </c>
      <c r="G2201" t="inlineStr">
        <is>
          <t>FALKENBERG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52465-2023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45225</v>
      </c>
      <c r="E2202" s="1" t="n">
        <v>46265</v>
      </c>
      <c r="F2202" t="inlineStr">
        <is>
          <t>HALLANDS LÄN</t>
        </is>
      </c>
      <c r="G2202" t="inlineStr">
        <is>
          <t>HYLTE</t>
        </is>
      </c>
      <c r="I2202" t="n">
        <v>8.800000000000001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42498-2025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45905</v>
      </c>
      <c r="E2203" s="1" t="n">
        <v>46265</v>
      </c>
      <c r="F2203" t="inlineStr">
        <is>
          <t>HALLANDS LÄN</t>
        </is>
      </c>
      <c r="G2203" t="inlineStr">
        <is>
          <t>VARBERG</t>
        </is>
      </c>
      <c r="I2203" t="n">
        <v>2.9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39154-2025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45888</v>
      </c>
      <c r="E2204" s="1" t="n">
        <v>46265</v>
      </c>
      <c r="F2204" t="inlineStr">
        <is>
          <t>HALLANDS LÄN</t>
        </is>
      </c>
      <c r="G2204" t="inlineStr">
        <is>
          <t>KUNGSBACKA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34889-2025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45849</v>
      </c>
      <c r="E2205" s="1" t="n">
        <v>46265</v>
      </c>
      <c r="F2205" t="inlineStr">
        <is>
          <t>HALLANDS LÄN</t>
        </is>
      </c>
      <c r="G2205" t="inlineStr">
        <is>
          <t>LAHOLM</t>
        </is>
      </c>
      <c r="I2205" t="n">
        <v>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49569-2023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45211</v>
      </c>
      <c r="E2206" s="1" t="n">
        <v>46265</v>
      </c>
      <c r="F2206" t="inlineStr">
        <is>
          <t>HALLANDS LÄN</t>
        </is>
      </c>
      <c r="G2206" t="inlineStr">
        <is>
          <t>LAHOLM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12263-2025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45729</v>
      </c>
      <c r="E2207" s="1" t="n">
        <v>46265</v>
      </c>
      <c r="F2207" t="inlineStr">
        <is>
          <t>HALLANDS LÄN</t>
        </is>
      </c>
      <c r="G2207" t="inlineStr">
        <is>
          <t>HALMSTAD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31302-2022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44773</v>
      </c>
      <c r="E2208" s="1" t="n">
        <v>46265</v>
      </c>
      <c r="F2208" t="inlineStr">
        <is>
          <t>HALLANDS LÄN</t>
        </is>
      </c>
      <c r="G2208" t="inlineStr">
        <is>
          <t>KUNGSBACKA</t>
        </is>
      </c>
      <c r="I2208" t="n">
        <v>2.6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42653-2023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45181</v>
      </c>
      <c r="E2209" s="1" t="n">
        <v>46265</v>
      </c>
      <c r="F2209" t="inlineStr">
        <is>
          <t>HALLANDS LÄN</t>
        </is>
      </c>
      <c r="G2209" t="inlineStr">
        <is>
          <t>HYLTE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3559-2025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45680</v>
      </c>
      <c r="E2210" s="1" t="n">
        <v>46265</v>
      </c>
      <c r="F2210" t="inlineStr">
        <is>
          <t>HALLANDS LÄN</t>
        </is>
      </c>
      <c r="G2210" t="inlineStr">
        <is>
          <t>FALKENBERG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55770-2023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45239</v>
      </c>
      <c r="E2211" s="1" t="n">
        <v>46265</v>
      </c>
      <c r="F2211" t="inlineStr">
        <is>
          <t>HALLANDS LÄN</t>
        </is>
      </c>
      <c r="G2211" t="inlineStr">
        <is>
          <t>HALMSTAD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3282-2025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45679</v>
      </c>
      <c r="E2212" s="1" t="n">
        <v>46265</v>
      </c>
      <c r="F2212" t="inlineStr">
        <is>
          <t>HALLANDS LÄN</t>
        </is>
      </c>
      <c r="G2212" t="inlineStr">
        <is>
          <t>FALKENBERG</t>
        </is>
      </c>
      <c r="H2212" t="inlineStr">
        <is>
          <t>Kyrkan</t>
        </is>
      </c>
      <c r="I2212" t="n">
        <v>4.1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19785-2026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46135</v>
      </c>
      <c r="E2213" s="1" t="n">
        <v>46265</v>
      </c>
      <c r="F2213" t="inlineStr">
        <is>
          <t>HALLANDS LÄN</t>
        </is>
      </c>
      <c r="G2213" t="inlineStr">
        <is>
          <t>LAHOLM</t>
        </is>
      </c>
      <c r="I2213" t="n">
        <v>2.2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40451-2022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44823</v>
      </c>
      <c r="E2214" s="1" t="n">
        <v>46265</v>
      </c>
      <c r="F2214" t="inlineStr">
        <is>
          <t>HALLANDS LÄN</t>
        </is>
      </c>
      <c r="G2214" t="inlineStr">
        <is>
          <t>HYLTE</t>
        </is>
      </c>
      <c r="I2214" t="n">
        <v>7.4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12935-2024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45385</v>
      </c>
      <c r="E2215" s="1" t="n">
        <v>46265</v>
      </c>
      <c r="F2215" t="inlineStr">
        <is>
          <t>HALLANDS LÄN</t>
        </is>
      </c>
      <c r="G2215" t="inlineStr">
        <is>
          <t>LAHOLM</t>
        </is>
      </c>
      <c r="I2215" t="n">
        <v>0.4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55600-2023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45238</v>
      </c>
      <c r="E2216" s="1" t="n">
        <v>46265</v>
      </c>
      <c r="F2216" t="inlineStr">
        <is>
          <t>HALLANDS LÄN</t>
        </is>
      </c>
      <c r="G2216" t="inlineStr">
        <is>
          <t>HYLTE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37557-2023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45159</v>
      </c>
      <c r="E2217" s="1" t="n">
        <v>46265</v>
      </c>
      <c r="F2217" t="inlineStr">
        <is>
          <t>HALLANDS LÄN</t>
        </is>
      </c>
      <c r="G2217" t="inlineStr">
        <is>
          <t>LAHOLM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32989-2025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45840</v>
      </c>
      <c r="E2218" s="1" t="n">
        <v>46265</v>
      </c>
      <c r="F2218" t="inlineStr">
        <is>
          <t>HALLANDS LÄN</t>
        </is>
      </c>
      <c r="G2218" t="inlineStr">
        <is>
          <t>HYLTE</t>
        </is>
      </c>
      <c r="H2218" t="inlineStr">
        <is>
          <t>Bergvik skog väst AB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27295-2023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45096</v>
      </c>
      <c r="E2219" s="1" t="n">
        <v>46265</v>
      </c>
      <c r="F2219" t="inlineStr">
        <is>
          <t>HALLANDS LÄN</t>
        </is>
      </c>
      <c r="G2219" t="inlineStr">
        <is>
          <t>KUNGSBACKA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38905-2023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45163</v>
      </c>
      <c r="E2220" s="1" t="n">
        <v>46265</v>
      </c>
      <c r="F2220" t="inlineStr">
        <is>
          <t>HALLANDS LÄN</t>
        </is>
      </c>
      <c r="G2220" t="inlineStr">
        <is>
          <t>FALKENBERG</t>
        </is>
      </c>
      <c r="I2220" t="n">
        <v>3.5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42915-2023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45182</v>
      </c>
      <c r="E2221" s="1" t="n">
        <v>46265</v>
      </c>
      <c r="F2221" t="inlineStr">
        <is>
          <t>HALLANDS LÄN</t>
        </is>
      </c>
      <c r="G2221" t="inlineStr">
        <is>
          <t>FALKENBERG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44133-2023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45188</v>
      </c>
      <c r="E2222" s="1" t="n">
        <v>46265</v>
      </c>
      <c r="F2222" t="inlineStr">
        <is>
          <t>HALLANDS LÄN</t>
        </is>
      </c>
      <c r="G2222" t="inlineStr">
        <is>
          <t>FALKENBERG</t>
        </is>
      </c>
      <c r="I2222" t="n">
        <v>5.1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32987-2025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45840</v>
      </c>
      <c r="E2223" s="1" t="n">
        <v>46265</v>
      </c>
      <c r="F2223" t="inlineStr">
        <is>
          <t>HALLANDS LÄN</t>
        </is>
      </c>
      <c r="G2223" t="inlineStr">
        <is>
          <t>HYLTE</t>
        </is>
      </c>
      <c r="H2223" t="inlineStr">
        <is>
          <t>Bergvik skog väst AB</t>
        </is>
      </c>
      <c r="I2223" t="n">
        <v>3.1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65003-2023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45287</v>
      </c>
      <c r="E2224" s="1" t="n">
        <v>46265</v>
      </c>
      <c r="F2224" t="inlineStr">
        <is>
          <t>HALLANDS LÄN</t>
        </is>
      </c>
      <c r="G2224" t="inlineStr">
        <is>
          <t>HYLTE</t>
        </is>
      </c>
      <c r="I2224" t="n">
        <v>3.6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58324-2024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45632</v>
      </c>
      <c r="E2225" s="1" t="n">
        <v>46265</v>
      </c>
      <c r="F2225" t="inlineStr">
        <is>
          <t>HALLANDS LÄN</t>
        </is>
      </c>
      <c r="G2225" t="inlineStr">
        <is>
          <t>KUNGSBACKA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40345-2023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45169</v>
      </c>
      <c r="E2226" s="1" t="n">
        <v>46265</v>
      </c>
      <c r="F2226" t="inlineStr">
        <is>
          <t>HALLANDS LÄN</t>
        </is>
      </c>
      <c r="G2226" t="inlineStr">
        <is>
          <t>HALMSTAD</t>
        </is>
      </c>
      <c r="I2226" t="n">
        <v>0.8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58330-2024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45632</v>
      </c>
      <c r="E2227" s="1" t="n">
        <v>46265</v>
      </c>
      <c r="F2227" t="inlineStr">
        <is>
          <t>HALLANDS LÄN</t>
        </is>
      </c>
      <c r="G2227" t="inlineStr">
        <is>
          <t>KUNGSBACKA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46164-2024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45581</v>
      </c>
      <c r="E2228" s="1" t="n">
        <v>46265</v>
      </c>
      <c r="F2228" t="inlineStr">
        <is>
          <t>HALLANDS LÄN</t>
        </is>
      </c>
      <c r="G2228" t="inlineStr">
        <is>
          <t>LAHOLM</t>
        </is>
      </c>
      <c r="I2228" t="n">
        <v>0.4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20763-2022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44701</v>
      </c>
      <c r="E2229" s="1" t="n">
        <v>46265</v>
      </c>
      <c r="F2229" t="inlineStr">
        <is>
          <t>HALLANDS LÄN</t>
        </is>
      </c>
      <c r="G2229" t="inlineStr">
        <is>
          <t>HYLTE</t>
        </is>
      </c>
      <c r="H2229" t="inlineStr">
        <is>
          <t>Bergvik skog väst AB</t>
        </is>
      </c>
      <c r="I2229" t="n">
        <v>10.7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34208-2025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45845</v>
      </c>
      <c r="E2230" s="1" t="n">
        <v>46265</v>
      </c>
      <c r="F2230" t="inlineStr">
        <is>
          <t>HALLANDS LÄN</t>
        </is>
      </c>
      <c r="G2230" t="inlineStr">
        <is>
          <t>LAHOLM</t>
        </is>
      </c>
      <c r="I2230" t="n">
        <v>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58558-2022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44902</v>
      </c>
      <c r="E2231" s="1" t="n">
        <v>46265</v>
      </c>
      <c r="F2231" t="inlineStr">
        <is>
          <t>HALLANDS LÄN</t>
        </is>
      </c>
      <c r="G2231" t="inlineStr">
        <is>
          <t>LAHOLM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24459-2022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44726</v>
      </c>
      <c r="E2232" s="1" t="n">
        <v>46265</v>
      </c>
      <c r="F2232" t="inlineStr">
        <is>
          <t>HALLANDS LÄN</t>
        </is>
      </c>
      <c r="G2232" t="inlineStr">
        <is>
          <t>KUNGSBACKA</t>
        </is>
      </c>
      <c r="I2232" t="n">
        <v>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26363-2022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44735</v>
      </c>
      <c r="E2233" s="1" t="n">
        <v>46265</v>
      </c>
      <c r="F2233" t="inlineStr">
        <is>
          <t>HALLANDS LÄN</t>
        </is>
      </c>
      <c r="G2233" t="inlineStr">
        <is>
          <t>HYLTE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30603-2025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45831</v>
      </c>
      <c r="E2234" s="1" t="n">
        <v>46265</v>
      </c>
      <c r="F2234" t="inlineStr">
        <is>
          <t>HALLANDS LÄN</t>
        </is>
      </c>
      <c r="G2234" t="inlineStr">
        <is>
          <t>FALKENBERG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11204-2025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45726</v>
      </c>
      <c r="E2235" s="1" t="n">
        <v>46265</v>
      </c>
      <c r="F2235" t="inlineStr">
        <is>
          <t>HALLANDS LÄN</t>
        </is>
      </c>
      <c r="G2235" t="inlineStr">
        <is>
          <t>KUNGSBACKA</t>
        </is>
      </c>
      <c r="I2235" t="n">
        <v>1.5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8032-2025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45707</v>
      </c>
      <c r="E2236" s="1" t="n">
        <v>46265</v>
      </c>
      <c r="F2236" t="inlineStr">
        <is>
          <t>HALLANDS LÄN</t>
        </is>
      </c>
      <c r="G2236" t="inlineStr">
        <is>
          <t>LAHOLM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14254-2022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44651</v>
      </c>
      <c r="E2237" s="1" t="n">
        <v>46265</v>
      </c>
      <c r="F2237" t="inlineStr">
        <is>
          <t>HALLANDS LÄN</t>
        </is>
      </c>
      <c r="G2237" t="inlineStr">
        <is>
          <t>HYLTE</t>
        </is>
      </c>
      <c r="I2237" t="n">
        <v>2.2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40165-2023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45169</v>
      </c>
      <c r="E2238" s="1" t="n">
        <v>46265</v>
      </c>
      <c r="F2238" t="inlineStr">
        <is>
          <t>HALLANDS LÄN</t>
        </is>
      </c>
      <c r="G2238" t="inlineStr">
        <is>
          <t>HYLTE</t>
        </is>
      </c>
      <c r="I2238" t="n">
        <v>1.4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33484-2023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45131</v>
      </c>
      <c r="E2239" s="1" t="n">
        <v>46265</v>
      </c>
      <c r="F2239" t="inlineStr">
        <is>
          <t>HALLANDS LÄN</t>
        </is>
      </c>
      <c r="G2239" t="inlineStr">
        <is>
          <t>FALKENBERG</t>
        </is>
      </c>
      <c r="I2239" t="n">
        <v>1.2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46421-2023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45197</v>
      </c>
      <c r="E2240" s="1" t="n">
        <v>46265</v>
      </c>
      <c r="F2240" t="inlineStr">
        <is>
          <t>HALLANDS LÄN</t>
        </is>
      </c>
      <c r="G2240" t="inlineStr">
        <is>
          <t>VARBERG</t>
        </is>
      </c>
      <c r="I2240" t="n">
        <v>2.3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5967-2025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45695</v>
      </c>
      <c r="E2241" s="1" t="n">
        <v>46265</v>
      </c>
      <c r="F2241" t="inlineStr">
        <is>
          <t>HALLANDS LÄN</t>
        </is>
      </c>
      <c r="G2241" t="inlineStr">
        <is>
          <t>VARBERG</t>
        </is>
      </c>
      <c r="H2241" t="inlineStr">
        <is>
          <t>Kyrkan</t>
        </is>
      </c>
      <c r="I2241" t="n">
        <v>2.4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53778-2023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45231</v>
      </c>
      <c r="E2242" s="1" t="n">
        <v>46265</v>
      </c>
      <c r="F2242" t="inlineStr">
        <is>
          <t>HALLANDS LÄN</t>
        </is>
      </c>
      <c r="G2242" t="inlineStr">
        <is>
          <t>LAHOLM</t>
        </is>
      </c>
      <c r="H2242" t="inlineStr">
        <is>
          <t>Sveaskog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13621-2024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45390</v>
      </c>
      <c r="E2243" s="1" t="n">
        <v>46265</v>
      </c>
      <c r="F2243" t="inlineStr">
        <is>
          <t>HALLANDS LÄN</t>
        </is>
      </c>
      <c r="G2243" t="inlineStr">
        <is>
          <t>FALKENBERG</t>
        </is>
      </c>
      <c r="I2243" t="n">
        <v>2.2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5281-2025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45692</v>
      </c>
      <c r="E2244" s="1" t="n">
        <v>46265</v>
      </c>
      <c r="F2244" t="inlineStr">
        <is>
          <t>HALLANDS LÄN</t>
        </is>
      </c>
      <c r="G2244" t="inlineStr">
        <is>
          <t>HALMSTAD</t>
        </is>
      </c>
      <c r="I2244" t="n">
        <v>2.6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35059-2025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45852</v>
      </c>
      <c r="E2245" s="1" t="n">
        <v>46265</v>
      </c>
      <c r="F2245" t="inlineStr">
        <is>
          <t>HALLANDS LÄN</t>
        </is>
      </c>
      <c r="G2245" t="inlineStr">
        <is>
          <t>VARBERG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20523-2025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45775</v>
      </c>
      <c r="E2246" s="1" t="n">
        <v>46265</v>
      </c>
      <c r="F2246" t="inlineStr">
        <is>
          <t>HALLANDS LÄN</t>
        </is>
      </c>
      <c r="G2246" t="inlineStr">
        <is>
          <t>HYLTE</t>
        </is>
      </c>
      <c r="I2246" t="n">
        <v>1.6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19060-2025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45764</v>
      </c>
      <c r="E2247" s="1" t="n">
        <v>46265</v>
      </c>
      <c r="F2247" t="inlineStr">
        <is>
          <t>HALLANDS LÄN</t>
        </is>
      </c>
      <c r="G2247" t="inlineStr">
        <is>
          <t>FALKENBERG</t>
        </is>
      </c>
      <c r="I2247" t="n">
        <v>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35498-2025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45856</v>
      </c>
      <c r="E2248" s="1" t="n">
        <v>46265</v>
      </c>
      <c r="F2248" t="inlineStr">
        <is>
          <t>HALLANDS LÄN</t>
        </is>
      </c>
      <c r="G2248" t="inlineStr">
        <is>
          <t>FALKENBERG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8406-2025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45709</v>
      </c>
      <c r="E2249" s="1" t="n">
        <v>46265</v>
      </c>
      <c r="F2249" t="inlineStr">
        <is>
          <t>HALLANDS LÄN</t>
        </is>
      </c>
      <c r="G2249" t="inlineStr">
        <is>
          <t>FALKENBERG</t>
        </is>
      </c>
      <c r="I2249" t="n">
        <v>2.9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6507-2025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45699</v>
      </c>
      <c r="E2250" s="1" t="n">
        <v>46265</v>
      </c>
      <c r="F2250" t="inlineStr">
        <is>
          <t>HALLANDS LÄN</t>
        </is>
      </c>
      <c r="G2250" t="inlineStr">
        <is>
          <t>KUNGSBACKA</t>
        </is>
      </c>
      <c r="I2250" t="n">
        <v>3.8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16175-2023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45027</v>
      </c>
      <c r="E2251" s="1" t="n">
        <v>46265</v>
      </c>
      <c r="F2251" t="inlineStr">
        <is>
          <t>HALLANDS LÄN</t>
        </is>
      </c>
      <c r="G2251" t="inlineStr">
        <is>
          <t>LAHOLM</t>
        </is>
      </c>
      <c r="I2251" t="n">
        <v>3.6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15413-2024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45401</v>
      </c>
      <c r="E2252" s="1" t="n">
        <v>46265</v>
      </c>
      <c r="F2252" t="inlineStr">
        <is>
          <t>HALLANDS LÄN</t>
        </is>
      </c>
      <c r="G2252" t="inlineStr">
        <is>
          <t>VARBERG</t>
        </is>
      </c>
      <c r="I2252" t="n">
        <v>3.3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21330-2025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45782</v>
      </c>
      <c r="E2253" s="1" t="n">
        <v>46265</v>
      </c>
      <c r="F2253" t="inlineStr">
        <is>
          <t>HALLANDS LÄN</t>
        </is>
      </c>
      <c r="G2253" t="inlineStr">
        <is>
          <t>HYLTE</t>
        </is>
      </c>
      <c r="I2253" t="n">
        <v>8.4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15065-2025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45743</v>
      </c>
      <c r="E2254" s="1" t="n">
        <v>46265</v>
      </c>
      <c r="F2254" t="inlineStr">
        <is>
          <t>HALLANDS LÄN</t>
        </is>
      </c>
      <c r="G2254" t="inlineStr">
        <is>
          <t>VARBERG</t>
        </is>
      </c>
      <c r="I2254" t="n">
        <v>5.9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17259-2023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45035</v>
      </c>
      <c r="E2255" s="1" t="n">
        <v>46265</v>
      </c>
      <c r="F2255" t="inlineStr">
        <is>
          <t>HALLANDS LÄN</t>
        </is>
      </c>
      <c r="G2255" t="inlineStr">
        <is>
          <t>LAHOLM</t>
        </is>
      </c>
      <c r="I2255" t="n">
        <v>2.4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60323-2022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44910</v>
      </c>
      <c r="E2256" s="1" t="n">
        <v>46265</v>
      </c>
      <c r="F2256" t="inlineStr">
        <is>
          <t>HALLANDS LÄN</t>
        </is>
      </c>
      <c r="G2256" t="inlineStr">
        <is>
          <t>HALMSTAD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10124-2025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45719</v>
      </c>
      <c r="E2257" s="1" t="n">
        <v>46265</v>
      </c>
      <c r="F2257" t="inlineStr">
        <is>
          <t>HALLANDS LÄN</t>
        </is>
      </c>
      <c r="G2257" t="inlineStr">
        <is>
          <t>KUNGSBACKA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10140-2025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45719</v>
      </c>
      <c r="E2258" s="1" t="n">
        <v>46265</v>
      </c>
      <c r="F2258" t="inlineStr">
        <is>
          <t>HALLANDS LÄN</t>
        </is>
      </c>
      <c r="G2258" t="inlineStr">
        <is>
          <t>KUNGSBACKA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2771-2024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45314</v>
      </c>
      <c r="E2259" s="1" t="n">
        <v>46265</v>
      </c>
      <c r="F2259" t="inlineStr">
        <is>
          <t>HALLANDS LÄN</t>
        </is>
      </c>
      <c r="G2259" t="inlineStr">
        <is>
          <t>LAHOLM</t>
        </is>
      </c>
      <c r="I2259" t="n">
        <v>2.1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60139-2023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45258</v>
      </c>
      <c r="E2260" s="1" t="n">
        <v>46265</v>
      </c>
      <c r="F2260" t="inlineStr">
        <is>
          <t>HALLANDS LÄN</t>
        </is>
      </c>
      <c r="G2260" t="inlineStr">
        <is>
          <t>HALMSTAD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55876-2023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45239</v>
      </c>
      <c r="E2261" s="1" t="n">
        <v>46265</v>
      </c>
      <c r="F2261" t="inlineStr">
        <is>
          <t>HALLANDS LÄN</t>
        </is>
      </c>
      <c r="G2261" t="inlineStr">
        <is>
          <t>FALKENBERG</t>
        </is>
      </c>
      <c r="I2261" t="n">
        <v>1.4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37594-2023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45159</v>
      </c>
      <c r="E2262" s="1" t="n">
        <v>46265</v>
      </c>
      <c r="F2262" t="inlineStr">
        <is>
          <t>HALLANDS LÄN</t>
        </is>
      </c>
      <c r="G2262" t="inlineStr">
        <is>
          <t>VARBERG</t>
        </is>
      </c>
      <c r="I2262" t="n">
        <v>1.9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45300</v>
      </c>
      <c r="E2263" s="1" t="n">
        <v>46265</v>
      </c>
      <c r="F2263" t="inlineStr">
        <is>
          <t>HALLANDS LÄN</t>
        </is>
      </c>
      <c r="G2263" t="inlineStr">
        <is>
          <t>FALKENBERG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34114-2023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45126</v>
      </c>
      <c r="E2264" s="1" t="n">
        <v>46265</v>
      </c>
      <c r="F2264" t="inlineStr">
        <is>
          <t>HALLANDS LÄN</t>
        </is>
      </c>
      <c r="G2264" t="inlineStr">
        <is>
          <t>HALMSTAD</t>
        </is>
      </c>
      <c r="I2264" t="n">
        <v>2.5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2997-2024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45315</v>
      </c>
      <c r="E2265" s="1" t="n">
        <v>46265</v>
      </c>
      <c r="F2265" t="inlineStr">
        <is>
          <t>HALLANDS LÄN</t>
        </is>
      </c>
      <c r="G2265" t="inlineStr">
        <is>
          <t>VARBERG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3037-2024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45316</v>
      </c>
      <c r="E2266" s="1" t="n">
        <v>46265</v>
      </c>
      <c r="F2266" t="inlineStr">
        <is>
          <t>HALLANDS LÄN</t>
        </is>
      </c>
      <c r="G2266" t="inlineStr">
        <is>
          <t>HYLTE</t>
        </is>
      </c>
      <c r="H2266" t="inlineStr">
        <is>
          <t>Bergvik skog väst AB</t>
        </is>
      </c>
      <c r="I2266" t="n">
        <v>4.3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22149-2022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44712</v>
      </c>
      <c r="E2267" s="1" t="n">
        <v>46265</v>
      </c>
      <c r="F2267" t="inlineStr">
        <is>
          <t>HALLANDS LÄN</t>
        </is>
      </c>
      <c r="G2267" t="inlineStr">
        <is>
          <t>HALMSTAD</t>
        </is>
      </c>
      <c r="I2267" t="n">
        <v>9.699999999999999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39634-2023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45167</v>
      </c>
      <c r="E2268" s="1" t="n">
        <v>46265</v>
      </c>
      <c r="F2268" t="inlineStr">
        <is>
          <t>HALLANDS LÄN</t>
        </is>
      </c>
      <c r="G2268" t="inlineStr">
        <is>
          <t>HYLTE</t>
        </is>
      </c>
      <c r="I2268" t="n">
        <v>2.2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64203-2023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45279</v>
      </c>
      <c r="E2269" s="1" t="n">
        <v>46265</v>
      </c>
      <c r="F2269" t="inlineStr">
        <is>
          <t>HALLANDS LÄN</t>
        </is>
      </c>
      <c r="G2269" t="inlineStr">
        <is>
          <t>VARBERG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16041-2025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45749</v>
      </c>
      <c r="E2270" s="1" t="n">
        <v>46265</v>
      </c>
      <c r="F2270" t="inlineStr">
        <is>
          <t>HALLANDS LÄN</t>
        </is>
      </c>
      <c r="G2270" t="inlineStr">
        <is>
          <t>KUNGSBACKA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59624-2023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45254</v>
      </c>
      <c r="E2271" s="1" t="n">
        <v>46265</v>
      </c>
      <c r="F2271" t="inlineStr">
        <is>
          <t>HALLANDS LÄN</t>
        </is>
      </c>
      <c r="G2271" t="inlineStr">
        <is>
          <t>HYLTE</t>
        </is>
      </c>
      <c r="I2271" t="n">
        <v>0.8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59628-2023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45254</v>
      </c>
      <c r="E2272" s="1" t="n">
        <v>46265</v>
      </c>
      <c r="F2272" t="inlineStr">
        <is>
          <t>HALLANDS LÄN</t>
        </is>
      </c>
      <c r="G2272" t="inlineStr">
        <is>
          <t>HYLTE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57291-2023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45245</v>
      </c>
      <c r="E2273" s="1" t="n">
        <v>46265</v>
      </c>
      <c r="F2273" t="inlineStr">
        <is>
          <t>HALLANDS LÄN</t>
        </is>
      </c>
      <c r="G2273" t="inlineStr">
        <is>
          <t>HYLTE</t>
        </is>
      </c>
      <c r="I2273" t="n">
        <v>1.7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15076-2025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45743</v>
      </c>
      <c r="E2274" s="1" t="n">
        <v>46265</v>
      </c>
      <c r="F2274" t="inlineStr">
        <is>
          <t>HALLANDS LÄN</t>
        </is>
      </c>
      <c r="G2274" t="inlineStr">
        <is>
          <t>KUNGSBACKA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25757-2025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45801</v>
      </c>
      <c r="E2275" s="1" t="n">
        <v>46265</v>
      </c>
      <c r="F2275" t="inlineStr">
        <is>
          <t>HALLANDS LÄN</t>
        </is>
      </c>
      <c r="G2275" t="inlineStr">
        <is>
          <t>KUNGSBACKA</t>
        </is>
      </c>
      <c r="I2275" t="n">
        <v>8.9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20473-2022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44699</v>
      </c>
      <c r="E2276" s="1" t="n">
        <v>46265</v>
      </c>
      <c r="F2276" t="inlineStr">
        <is>
          <t>HALLANDS LÄN</t>
        </is>
      </c>
      <c r="G2276" t="inlineStr">
        <is>
          <t>HYLTE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32050-2022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44778</v>
      </c>
      <c r="E2277" s="1" t="n">
        <v>46265</v>
      </c>
      <c r="F2277" t="inlineStr">
        <is>
          <t>HALLANDS LÄN</t>
        </is>
      </c>
      <c r="G2277" t="inlineStr">
        <is>
          <t>HYLTE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50099-2023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45215</v>
      </c>
      <c r="E2278" s="1" t="n">
        <v>46265</v>
      </c>
      <c r="F2278" t="inlineStr">
        <is>
          <t>HALLANDS LÄN</t>
        </is>
      </c>
      <c r="G2278" t="inlineStr">
        <is>
          <t>LAHOLM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4613-2024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45328</v>
      </c>
      <c r="E2279" s="1" t="n">
        <v>46265</v>
      </c>
      <c r="F2279" t="inlineStr">
        <is>
          <t>HALLANDS LÄN</t>
        </is>
      </c>
      <c r="G2279" t="inlineStr">
        <is>
          <t>FALKENBERG</t>
        </is>
      </c>
      <c r="H2279" t="inlineStr">
        <is>
          <t>Kyrkan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18270-2025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45762</v>
      </c>
      <c r="E2280" s="1" t="n">
        <v>46265</v>
      </c>
      <c r="F2280" t="inlineStr">
        <is>
          <t>HALLANDS LÄN</t>
        </is>
      </c>
      <c r="G2280" t="inlineStr">
        <is>
          <t>FALKENBERG</t>
        </is>
      </c>
      <c r="I2280" t="n">
        <v>1.8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3472-2024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45320</v>
      </c>
      <c r="E2281" s="1" t="n">
        <v>46265</v>
      </c>
      <c r="F2281" t="inlineStr">
        <is>
          <t>HALLANDS LÄN</t>
        </is>
      </c>
      <c r="G2281" t="inlineStr">
        <is>
          <t>LAHOLM</t>
        </is>
      </c>
      <c r="I2281" t="n">
        <v>5.5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46253-2022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44847</v>
      </c>
      <c r="E2282" s="1" t="n">
        <v>46265</v>
      </c>
      <c r="F2282" t="inlineStr">
        <is>
          <t>HALLANDS LÄN</t>
        </is>
      </c>
      <c r="G2282" t="inlineStr">
        <is>
          <t>HYLTE</t>
        </is>
      </c>
      <c r="I2282" t="n">
        <v>4.6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4598-2024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45328</v>
      </c>
      <c r="E2283" s="1" t="n">
        <v>46265</v>
      </c>
      <c r="F2283" t="inlineStr">
        <is>
          <t>HALLANDS LÄN</t>
        </is>
      </c>
      <c r="G2283" t="inlineStr">
        <is>
          <t>VARBERG</t>
        </is>
      </c>
      <c r="I2283" t="n">
        <v>6.7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55135-2023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45230</v>
      </c>
      <c r="E2284" s="1" t="n">
        <v>46265</v>
      </c>
      <c r="F2284" t="inlineStr">
        <is>
          <t>HALLANDS LÄN</t>
        </is>
      </c>
      <c r="G2284" t="inlineStr">
        <is>
          <t>LAHOLM</t>
        </is>
      </c>
      <c r="H2284" t="inlineStr">
        <is>
          <t>Övriga statliga verk och myndigheter</t>
        </is>
      </c>
      <c r="I2284" t="n">
        <v>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14756-2024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45397</v>
      </c>
      <c r="E2285" s="1" t="n">
        <v>46265</v>
      </c>
      <c r="F2285" t="inlineStr">
        <is>
          <t>HALLANDS LÄN</t>
        </is>
      </c>
      <c r="G2285" t="inlineStr">
        <is>
          <t>VARBERG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59913-2023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45257</v>
      </c>
      <c r="E2286" s="1" t="n">
        <v>46265</v>
      </c>
      <c r="F2286" t="inlineStr">
        <is>
          <t>HALLANDS LÄN</t>
        </is>
      </c>
      <c r="G2286" t="inlineStr">
        <is>
          <t>HALMSTAD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3248-2024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45317</v>
      </c>
      <c r="E2287" s="1" t="n">
        <v>46265</v>
      </c>
      <c r="F2287" t="inlineStr">
        <is>
          <t>HALLANDS LÄN</t>
        </is>
      </c>
      <c r="G2287" t="inlineStr">
        <is>
          <t>LAHOLM</t>
        </is>
      </c>
      <c r="I2287" t="n">
        <v>0.9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7004-2024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45343</v>
      </c>
      <c r="E2288" s="1" t="n">
        <v>46265</v>
      </c>
      <c r="F2288" t="inlineStr">
        <is>
          <t>HALLANDS LÄN</t>
        </is>
      </c>
      <c r="G2288" t="inlineStr">
        <is>
          <t>FALKENBERG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19659-2022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44694</v>
      </c>
      <c r="E2289" s="1" t="n">
        <v>46265</v>
      </c>
      <c r="F2289" t="inlineStr">
        <is>
          <t>HALLANDS LÄN</t>
        </is>
      </c>
      <c r="G2289" t="inlineStr">
        <is>
          <t>HYLTE</t>
        </is>
      </c>
      <c r="I2289" t="n">
        <v>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33578-2023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45131</v>
      </c>
      <c r="E2290" s="1" t="n">
        <v>46265</v>
      </c>
      <c r="F2290" t="inlineStr">
        <is>
          <t>HALLANDS LÄN</t>
        </is>
      </c>
      <c r="G2290" t="inlineStr">
        <is>
          <t>LAHOLM</t>
        </is>
      </c>
      <c r="I2290" t="n">
        <v>2.9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32473-2024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45513</v>
      </c>
      <c r="E2291" s="1" t="n">
        <v>46265</v>
      </c>
      <c r="F2291" t="inlineStr">
        <is>
          <t>HALLANDS LÄN</t>
        </is>
      </c>
      <c r="G2291" t="inlineStr">
        <is>
          <t>VARBERG</t>
        </is>
      </c>
      <c r="I2291" t="n">
        <v>3.1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9925-2025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45717</v>
      </c>
      <c r="E2292" s="1" t="n">
        <v>46265</v>
      </c>
      <c r="F2292" t="inlineStr">
        <is>
          <t>HALLANDS LÄN</t>
        </is>
      </c>
      <c r="G2292" t="inlineStr">
        <is>
          <t>VARBERG</t>
        </is>
      </c>
      <c r="I2292" t="n">
        <v>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57261-2023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45245</v>
      </c>
      <c r="E2293" s="1" t="n">
        <v>46265</v>
      </c>
      <c r="F2293" t="inlineStr">
        <is>
          <t>HALLANDS LÄN</t>
        </is>
      </c>
      <c r="G2293" t="inlineStr">
        <is>
          <t>HYLTE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27505-2023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45092</v>
      </c>
      <c r="E2294" s="1" t="n">
        <v>46265</v>
      </c>
      <c r="F2294" t="inlineStr">
        <is>
          <t>HALLANDS LÄN</t>
        </is>
      </c>
      <c r="G2294" t="inlineStr">
        <is>
          <t>HYLTE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10746-2022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44627</v>
      </c>
      <c r="E2295" s="1" t="n">
        <v>46265</v>
      </c>
      <c r="F2295" t="inlineStr">
        <is>
          <t>HALLANDS LÄN</t>
        </is>
      </c>
      <c r="G2295" t="inlineStr">
        <is>
          <t>FALKENBERG</t>
        </is>
      </c>
      <c r="I2295" t="n">
        <v>1.5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19629-2023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45051</v>
      </c>
      <c r="E2296" s="1" t="n">
        <v>46265</v>
      </c>
      <c r="F2296" t="inlineStr">
        <is>
          <t>HALLANDS LÄN</t>
        </is>
      </c>
      <c r="G2296" t="inlineStr">
        <is>
          <t>HYLTE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62688-2023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45268</v>
      </c>
      <c r="E2297" s="1" t="n">
        <v>46265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27751-2023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45098</v>
      </c>
      <c r="E2298" s="1" t="n">
        <v>46265</v>
      </c>
      <c r="F2298" t="inlineStr">
        <is>
          <t>HALLANDS LÄN</t>
        </is>
      </c>
      <c r="G2298" t="inlineStr">
        <is>
          <t>HYLTE</t>
        </is>
      </c>
      <c r="H2298" t="inlineStr">
        <is>
          <t>Bergvik skog väst AB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30796-2022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44764</v>
      </c>
      <c r="E2299" s="1" t="n">
        <v>46265</v>
      </c>
      <c r="F2299" t="inlineStr">
        <is>
          <t>HALLANDS LÄN</t>
        </is>
      </c>
      <c r="G2299" t="inlineStr">
        <is>
          <t>LAHOLM</t>
        </is>
      </c>
      <c r="I2299" t="n">
        <v>1.3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17739-2025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45758</v>
      </c>
      <c r="E2300" s="1" t="n">
        <v>46265</v>
      </c>
      <c r="F2300" t="inlineStr">
        <is>
          <t>HALLANDS LÄN</t>
        </is>
      </c>
      <c r="G2300" t="inlineStr">
        <is>
          <t>VARBERG</t>
        </is>
      </c>
      <c r="I2300" t="n">
        <v>1.3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8122-2024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45351</v>
      </c>
      <c r="E2301" s="1" t="n">
        <v>46265</v>
      </c>
      <c r="F2301" t="inlineStr">
        <is>
          <t>HALLANDS LÄN</t>
        </is>
      </c>
      <c r="G2301" t="inlineStr">
        <is>
          <t>HYLTE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35117-2022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44797</v>
      </c>
      <c r="E2302" s="1" t="n">
        <v>46265</v>
      </c>
      <c r="F2302" t="inlineStr">
        <is>
          <t>HALLANDS LÄN</t>
        </is>
      </c>
      <c r="G2302" t="inlineStr">
        <is>
          <t>HYLTE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62159-2023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45267</v>
      </c>
      <c r="E2303" s="1" t="n">
        <v>46265</v>
      </c>
      <c r="F2303" t="inlineStr">
        <is>
          <t>HALLANDS LÄN</t>
        </is>
      </c>
      <c r="G2303" t="inlineStr">
        <is>
          <t>HYLTE</t>
        </is>
      </c>
      <c r="I2303" t="n">
        <v>3.2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2464-2024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45313</v>
      </c>
      <c r="E2304" s="1" t="n">
        <v>46265</v>
      </c>
      <c r="F2304" t="inlineStr">
        <is>
          <t>HALLANDS LÄN</t>
        </is>
      </c>
      <c r="G2304" t="inlineStr">
        <is>
          <t>VARBERG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62187-2023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45267</v>
      </c>
      <c r="E2305" s="1" t="n">
        <v>46265</v>
      </c>
      <c r="F2305" t="inlineStr">
        <is>
          <t>HALLANDS LÄN</t>
        </is>
      </c>
      <c r="G2305" t="inlineStr">
        <is>
          <t>HALMSTAD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8091-2023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44974</v>
      </c>
      <c r="E2306" s="1" t="n">
        <v>46265</v>
      </c>
      <c r="F2306" t="inlineStr">
        <is>
          <t>HALLANDS LÄN</t>
        </is>
      </c>
      <c r="G2306" t="inlineStr">
        <is>
          <t>HYLTE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34197-2024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45524</v>
      </c>
      <c r="E2307" s="1" t="n">
        <v>46265</v>
      </c>
      <c r="F2307" t="inlineStr">
        <is>
          <t>HALLANDS LÄN</t>
        </is>
      </c>
      <c r="G2307" t="inlineStr">
        <is>
          <t>HYLTE</t>
        </is>
      </c>
      <c r="I2307" t="n">
        <v>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28843-2023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45104</v>
      </c>
      <c r="E2308" s="1" t="n">
        <v>46265</v>
      </c>
      <c r="F2308" t="inlineStr">
        <is>
          <t>HALLANDS LÄN</t>
        </is>
      </c>
      <c r="G2308" t="inlineStr">
        <is>
          <t>VARBERG</t>
        </is>
      </c>
      <c r="I2308" t="n">
        <v>4.4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46771-2022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44851</v>
      </c>
      <c r="E2309" s="1" t="n">
        <v>46265</v>
      </c>
      <c r="F2309" t="inlineStr">
        <is>
          <t>HALLANDS LÄN</t>
        </is>
      </c>
      <c r="G2309" t="inlineStr">
        <is>
          <t>VARBERG</t>
        </is>
      </c>
      <c r="I2309" t="n">
        <v>2.3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62741-2022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44925</v>
      </c>
      <c r="E2310" s="1" t="n">
        <v>46265</v>
      </c>
      <c r="F2310" t="inlineStr">
        <is>
          <t>HALLANDS LÄN</t>
        </is>
      </c>
      <c r="G2310" t="inlineStr">
        <is>
          <t>KUNGSBACKA</t>
        </is>
      </c>
      <c r="I2310" t="n">
        <v>0.2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17226-2023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45035</v>
      </c>
      <c r="E2311" s="1" t="n">
        <v>46265</v>
      </c>
      <c r="F2311" t="inlineStr">
        <is>
          <t>HALLANDS LÄN</t>
        </is>
      </c>
      <c r="G2311" t="inlineStr">
        <is>
          <t>LAHOLM</t>
        </is>
      </c>
      <c r="I2311" t="n">
        <v>2.1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59432-2025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45989</v>
      </c>
      <c r="E2312" s="1" t="n">
        <v>46265</v>
      </c>
      <c r="F2312" t="inlineStr">
        <is>
          <t>HALLANDS LÄN</t>
        </is>
      </c>
      <c r="G2312" t="inlineStr">
        <is>
          <t>HYLTE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11694-2026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46084</v>
      </c>
      <c r="E2313" s="1" t="n">
        <v>46265</v>
      </c>
      <c r="F2313" t="inlineStr">
        <is>
          <t>HALLANDS LÄN</t>
        </is>
      </c>
      <c r="G2313" t="inlineStr">
        <is>
          <t>HYLTE</t>
        </is>
      </c>
      <c r="I2313" t="n">
        <v>0.9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27036-2025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45811</v>
      </c>
      <c r="E2314" s="1" t="n">
        <v>46265</v>
      </c>
      <c r="F2314" t="inlineStr">
        <is>
          <t>HALLANDS LÄN</t>
        </is>
      </c>
      <c r="G2314" t="inlineStr">
        <is>
          <t>FALKENBERG</t>
        </is>
      </c>
      <c r="I2314" t="n">
        <v>4.3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30692-2025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45831</v>
      </c>
      <c r="E2315" s="1" t="n">
        <v>46265</v>
      </c>
      <c r="F2315" t="inlineStr">
        <is>
          <t>HALLANDS LÄN</t>
        </is>
      </c>
      <c r="G2315" t="inlineStr">
        <is>
          <t>HALMSTAD</t>
        </is>
      </c>
      <c r="I2315" t="n">
        <v>1.1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63033-2023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45272</v>
      </c>
      <c r="E2316" s="1" t="n">
        <v>46265</v>
      </c>
      <c r="F2316" t="inlineStr">
        <is>
          <t>HALLANDS LÄN</t>
        </is>
      </c>
      <c r="G2316" t="inlineStr">
        <is>
          <t>FALKENBERG</t>
        </is>
      </c>
      <c r="I2316" t="n">
        <v>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4970-2023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44958</v>
      </c>
      <c r="E2317" s="1" t="n">
        <v>46265</v>
      </c>
      <c r="F2317" t="inlineStr">
        <is>
          <t>HALLANDS LÄN</t>
        </is>
      </c>
      <c r="G2317" t="inlineStr">
        <is>
          <t>FALKENBERG</t>
        </is>
      </c>
      <c r="H2317" t="inlineStr">
        <is>
          <t>Kommuner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26310-2023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45091</v>
      </c>
      <c r="E2318" s="1" t="n">
        <v>46265</v>
      </c>
      <c r="F2318" t="inlineStr">
        <is>
          <t>HALLANDS LÄN</t>
        </is>
      </c>
      <c r="G2318" t="inlineStr">
        <is>
          <t>FALKENBERG</t>
        </is>
      </c>
      <c r="I2318" t="n">
        <v>4.7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31856-2023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45118</v>
      </c>
      <c r="E2319" s="1" t="n">
        <v>46265</v>
      </c>
      <c r="F2319" t="inlineStr">
        <is>
          <t>HALLANDS LÄN</t>
        </is>
      </c>
      <c r="G2319" t="inlineStr">
        <is>
          <t>FALKENBERG</t>
        </is>
      </c>
      <c r="I2319" t="n">
        <v>2.5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59209-2023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45252</v>
      </c>
      <c r="E2320" s="1" t="n">
        <v>46265</v>
      </c>
      <c r="F2320" t="inlineStr">
        <is>
          <t>HALLANDS LÄN</t>
        </is>
      </c>
      <c r="G2320" t="inlineStr">
        <is>
          <t>FALKENBERG</t>
        </is>
      </c>
      <c r="I2320" t="n">
        <v>6.3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15122-2025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45744</v>
      </c>
      <c r="E2321" s="1" t="n">
        <v>46265</v>
      </c>
      <c r="F2321" t="inlineStr">
        <is>
          <t>HALLANDS LÄN</t>
        </is>
      </c>
      <c r="G2321" t="inlineStr">
        <is>
          <t>KUNGSBACKA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33041-2022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44785</v>
      </c>
      <c r="E2322" s="1" t="n">
        <v>46265</v>
      </c>
      <c r="F2322" t="inlineStr">
        <is>
          <t>HALLANDS LÄN</t>
        </is>
      </c>
      <c r="G2322" t="inlineStr">
        <is>
          <t>FALKENBERG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26866-2025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45810</v>
      </c>
      <c r="E2323" s="1" t="n">
        <v>46265</v>
      </c>
      <c r="F2323" t="inlineStr">
        <is>
          <t>HALLANDS LÄN</t>
        </is>
      </c>
      <c r="G2323" t="inlineStr">
        <is>
          <t>KUNGSBACKA</t>
        </is>
      </c>
      <c r="I2323" t="n">
        <v>3.4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64836-2023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45282</v>
      </c>
      <c r="E2324" s="1" t="n">
        <v>46265</v>
      </c>
      <c r="F2324" t="inlineStr">
        <is>
          <t>HALLANDS LÄN</t>
        </is>
      </c>
      <c r="G2324" t="inlineStr">
        <is>
          <t>FALKENBERG</t>
        </is>
      </c>
      <c r="I2324" t="n">
        <v>7.2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74307-2021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44559</v>
      </c>
      <c r="E2325" s="1" t="n">
        <v>46265</v>
      </c>
      <c r="F2325" t="inlineStr">
        <is>
          <t>HALLANDS LÄN</t>
        </is>
      </c>
      <c r="G2325" t="inlineStr">
        <is>
          <t>HYLTE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42319-2022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44831</v>
      </c>
      <c r="E2326" s="1" t="n">
        <v>46265</v>
      </c>
      <c r="F2326" t="inlineStr">
        <is>
          <t>HALLANDS LÄN</t>
        </is>
      </c>
      <c r="G2326" t="inlineStr">
        <is>
          <t>FALKENBERG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40062-2024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45554</v>
      </c>
      <c r="E2327" s="1" t="n">
        <v>46265</v>
      </c>
      <c r="F2327" t="inlineStr">
        <is>
          <t>HALLANDS LÄN</t>
        </is>
      </c>
      <c r="G2327" t="inlineStr">
        <is>
          <t>VARBERG</t>
        </is>
      </c>
      <c r="I2327" t="n">
        <v>1.8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8908-2024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45357</v>
      </c>
      <c r="E2328" s="1" t="n">
        <v>46265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26312-2023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45091</v>
      </c>
      <c r="E2329" s="1" t="n">
        <v>46265</v>
      </c>
      <c r="F2329" t="inlineStr">
        <is>
          <t>HALLANDS LÄN</t>
        </is>
      </c>
      <c r="G2329" t="inlineStr">
        <is>
          <t>FALKENBERG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60394-2023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45259</v>
      </c>
      <c r="E2330" s="1" t="n">
        <v>46265</v>
      </c>
      <c r="F2330" t="inlineStr">
        <is>
          <t>HALLANDS LÄN</t>
        </is>
      </c>
      <c r="G2330" t="inlineStr">
        <is>
          <t>HALMSTAD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3407-2025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45680</v>
      </c>
      <c r="E2331" s="1" t="n">
        <v>46265</v>
      </c>
      <c r="F2331" t="inlineStr">
        <is>
          <t>HALLANDS LÄN</t>
        </is>
      </c>
      <c r="G2331" t="inlineStr">
        <is>
          <t>LAHOLM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48486-2025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45936</v>
      </c>
      <c r="E2332" s="1" t="n">
        <v>46265</v>
      </c>
      <c r="F2332" t="inlineStr">
        <is>
          <t>HALLANDS LÄN</t>
        </is>
      </c>
      <c r="G2332" t="inlineStr">
        <is>
          <t>KUNGSBACKA</t>
        </is>
      </c>
      <c r="I2332" t="n">
        <v>2.9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56580-2022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44893</v>
      </c>
      <c r="E2333" s="1" t="n">
        <v>46265</v>
      </c>
      <c r="F2333" t="inlineStr">
        <is>
          <t>HALLANDS LÄN</t>
        </is>
      </c>
      <c r="G2333" t="inlineStr">
        <is>
          <t>HYLTE</t>
        </is>
      </c>
      <c r="I2333" t="n">
        <v>1.9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41951-2022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44830</v>
      </c>
      <c r="E2334" s="1" t="n">
        <v>46265</v>
      </c>
      <c r="F2334" t="inlineStr">
        <is>
          <t>HALLANDS LÄN</t>
        </is>
      </c>
      <c r="G2334" t="inlineStr">
        <is>
          <t>HALMSTAD</t>
        </is>
      </c>
      <c r="I2334" t="n">
        <v>3.1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62942-2023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45272</v>
      </c>
      <c r="E2335" s="1" t="n">
        <v>46265</v>
      </c>
      <c r="F2335" t="inlineStr">
        <is>
          <t>HALLANDS LÄN</t>
        </is>
      </c>
      <c r="G2335" t="inlineStr">
        <is>
          <t>VARBERG</t>
        </is>
      </c>
      <c r="I2335" t="n">
        <v>7.5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52056-2022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44873</v>
      </c>
      <c r="E2336" s="1" t="n">
        <v>46265</v>
      </c>
      <c r="F2336" t="inlineStr">
        <is>
          <t>HALLANDS LÄN</t>
        </is>
      </c>
      <c r="G2336" t="inlineStr">
        <is>
          <t>LAHOLM</t>
        </is>
      </c>
      <c r="H2336" t="inlineStr">
        <is>
          <t>Sveaskog</t>
        </is>
      </c>
      <c r="I2336" t="n">
        <v>2.9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15020-2025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45743</v>
      </c>
      <c r="E2337" s="1" t="n">
        <v>46265</v>
      </c>
      <c r="F2337" t="inlineStr">
        <is>
          <t>HALLANDS LÄN</t>
        </is>
      </c>
      <c r="G2337" t="inlineStr">
        <is>
          <t>KUNGSBACKA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64136-2023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45279</v>
      </c>
      <c r="E2338" s="1" t="n">
        <v>46265</v>
      </c>
      <c r="F2338" t="inlineStr">
        <is>
          <t>HALLANDS LÄN</t>
        </is>
      </c>
      <c r="G2338" t="inlineStr">
        <is>
          <t>HALMSTAD</t>
        </is>
      </c>
      <c r="H2338" t="inlineStr">
        <is>
          <t>Bergvik skog väst AB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61424-2025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46001</v>
      </c>
      <c r="E2339" s="1" t="n">
        <v>46265</v>
      </c>
      <c r="F2339" t="inlineStr">
        <is>
          <t>HALLANDS LÄN</t>
        </is>
      </c>
      <c r="G2339" t="inlineStr">
        <is>
          <t>KUNGSBACKA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55813-2024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45623</v>
      </c>
      <c r="E2340" s="1" t="n">
        <v>46265</v>
      </c>
      <c r="F2340" t="inlineStr">
        <is>
          <t>HALLANDS LÄN</t>
        </is>
      </c>
      <c r="G2340" t="inlineStr">
        <is>
          <t>VARBERG</t>
        </is>
      </c>
      <c r="I2340" t="n">
        <v>6.3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11938-2025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45728</v>
      </c>
      <c r="E2341" s="1" t="n">
        <v>46265</v>
      </c>
      <c r="F2341" t="inlineStr">
        <is>
          <t>HALLANDS LÄN</t>
        </is>
      </c>
      <c r="G2341" t="inlineStr">
        <is>
          <t>KUNGSBACKA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31344-2024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45504</v>
      </c>
      <c r="E2342" s="1" t="n">
        <v>46265</v>
      </c>
      <c r="F2342" t="inlineStr">
        <is>
          <t>HALLANDS LÄN</t>
        </is>
      </c>
      <c r="G2342" t="inlineStr">
        <is>
          <t>KUNGSBACKA</t>
        </is>
      </c>
      <c r="I2342" t="n">
        <v>2.3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37823-2023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45160</v>
      </c>
      <c r="E2343" s="1" t="n">
        <v>46265</v>
      </c>
      <c r="F2343" t="inlineStr">
        <is>
          <t>HALLANDS LÄN</t>
        </is>
      </c>
      <c r="G2343" t="inlineStr">
        <is>
          <t>KUNGSBACKA</t>
        </is>
      </c>
      <c r="I2343" t="n">
        <v>2.4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37018-2024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45539</v>
      </c>
      <c r="E2344" s="1" t="n">
        <v>46265</v>
      </c>
      <c r="F2344" t="inlineStr">
        <is>
          <t>HALLANDS LÄN</t>
        </is>
      </c>
      <c r="G2344" t="inlineStr">
        <is>
          <t>FALKENBERG</t>
        </is>
      </c>
      <c r="I2344" t="n">
        <v>2.6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56650-2023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45238</v>
      </c>
      <c r="E2345" s="1" t="n">
        <v>46265</v>
      </c>
      <c r="F2345" t="inlineStr">
        <is>
          <t>HALLANDS LÄN</t>
        </is>
      </c>
      <c r="G2345" t="inlineStr">
        <is>
          <t>FALKENBERG</t>
        </is>
      </c>
      <c r="I2345" t="n">
        <v>29.4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40542-2023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45168</v>
      </c>
      <c r="E2346" s="1" t="n">
        <v>46265</v>
      </c>
      <c r="F2346" t="inlineStr">
        <is>
          <t>HALLANDS LÄN</t>
        </is>
      </c>
      <c r="G2346" t="inlineStr">
        <is>
          <t>HALMSTAD</t>
        </is>
      </c>
      <c r="H2346" t="inlineStr">
        <is>
          <t>Kommuner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33786-2025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45842</v>
      </c>
      <c r="E2347" s="1" t="n">
        <v>46265</v>
      </c>
      <c r="F2347" t="inlineStr">
        <is>
          <t>HALLANDS LÄN</t>
        </is>
      </c>
      <c r="G2347" t="inlineStr">
        <is>
          <t>FALKENBERG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36284-2025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45867</v>
      </c>
      <c r="E2348" s="1" t="n">
        <v>46265</v>
      </c>
      <c r="F2348" t="inlineStr">
        <is>
          <t>HALLANDS LÄN</t>
        </is>
      </c>
      <c r="G2348" t="inlineStr">
        <is>
          <t>KUNGSBACKA</t>
        </is>
      </c>
      <c r="I2348" t="n">
        <v>3.9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29865-2025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45826</v>
      </c>
      <c r="E2349" s="1" t="n">
        <v>46265</v>
      </c>
      <c r="F2349" t="inlineStr">
        <is>
          <t>HALLANDS LÄN</t>
        </is>
      </c>
      <c r="G2349" t="inlineStr">
        <is>
          <t>HALMSTAD</t>
        </is>
      </c>
      <c r="I2349" t="n">
        <v>2.3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41891-2024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45561</v>
      </c>
      <c r="E2350" s="1" t="n">
        <v>46265</v>
      </c>
      <c r="F2350" t="inlineStr">
        <is>
          <t>HALLANDS LÄN</t>
        </is>
      </c>
      <c r="G2350" t="inlineStr">
        <is>
          <t>FALKENBERG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27303-2025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45812</v>
      </c>
      <c r="E2351" s="1" t="n">
        <v>46265</v>
      </c>
      <c r="F2351" t="inlineStr">
        <is>
          <t>HALLANDS LÄN</t>
        </is>
      </c>
      <c r="G2351" t="inlineStr">
        <is>
          <t>LAHOLM</t>
        </is>
      </c>
      <c r="I2351" t="n">
        <v>1.1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34046-2023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45135</v>
      </c>
      <c r="E2352" s="1" t="n">
        <v>46265</v>
      </c>
      <c r="F2352" t="inlineStr">
        <is>
          <t>HALLANDS LÄN</t>
        </is>
      </c>
      <c r="G2352" t="inlineStr">
        <is>
          <t>LAHOLM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58427-2022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44901</v>
      </c>
      <c r="E2353" s="1" t="n">
        <v>46265</v>
      </c>
      <c r="F2353" t="inlineStr">
        <is>
          <t>HALLANDS LÄN</t>
        </is>
      </c>
      <c r="G2353" t="inlineStr">
        <is>
          <t>LAHOLM</t>
        </is>
      </c>
      <c r="I2353" t="n">
        <v>8.1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23833-2024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45455</v>
      </c>
      <c r="E2354" s="1" t="n">
        <v>46265</v>
      </c>
      <c r="F2354" t="inlineStr">
        <is>
          <t>HALLANDS LÄN</t>
        </is>
      </c>
      <c r="G2354" t="inlineStr">
        <is>
          <t>HYLTE</t>
        </is>
      </c>
      <c r="I2354" t="n">
        <v>3.8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15426-2024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45401</v>
      </c>
      <c r="E2355" s="1" t="n">
        <v>46265</v>
      </c>
      <c r="F2355" t="inlineStr">
        <is>
          <t>HALLANDS LÄN</t>
        </is>
      </c>
      <c r="G2355" t="inlineStr">
        <is>
          <t>VARBERG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19969-2023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45054</v>
      </c>
      <c r="E2356" s="1" t="n">
        <v>46265</v>
      </c>
      <c r="F2356" t="inlineStr">
        <is>
          <t>HALLANDS LÄN</t>
        </is>
      </c>
      <c r="G2356" t="inlineStr">
        <is>
          <t>LAHOLM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28803-2023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45104</v>
      </c>
      <c r="E2357" s="1" t="n">
        <v>46265</v>
      </c>
      <c r="F2357" t="inlineStr">
        <is>
          <t>HALLANDS LÄN</t>
        </is>
      </c>
      <c r="G2357" t="inlineStr">
        <is>
          <t>HYLTE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54385-2022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44882</v>
      </c>
      <c r="E2358" s="1" t="n">
        <v>46265</v>
      </c>
      <c r="F2358" t="inlineStr">
        <is>
          <t>HALLANDS LÄN</t>
        </is>
      </c>
      <c r="G2358" t="inlineStr">
        <is>
          <t>LAHOLM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5699-2024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45334</v>
      </c>
      <c r="E2359" s="1" t="n">
        <v>46265</v>
      </c>
      <c r="F2359" t="inlineStr">
        <is>
          <t>HALLANDS LÄN</t>
        </is>
      </c>
      <c r="G2359" t="inlineStr">
        <is>
          <t>HYLTE</t>
        </is>
      </c>
      <c r="I2359" t="n">
        <v>0.6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60556-2023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45259</v>
      </c>
      <c r="E2360" s="1" t="n">
        <v>46265</v>
      </c>
      <c r="F2360" t="inlineStr">
        <is>
          <t>HALLANDS LÄN</t>
        </is>
      </c>
      <c r="G2360" t="inlineStr">
        <is>
          <t>VARBERG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11999-2024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45377</v>
      </c>
      <c r="E2361" s="1" t="n">
        <v>46265</v>
      </c>
      <c r="F2361" t="inlineStr">
        <is>
          <t>HALLANDS LÄN</t>
        </is>
      </c>
      <c r="G2361" t="inlineStr">
        <is>
          <t>LAHOLM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28879-2025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45820</v>
      </c>
      <c r="E2362" s="1" t="n">
        <v>46265</v>
      </c>
      <c r="F2362" t="inlineStr">
        <is>
          <t>HALLANDS LÄN</t>
        </is>
      </c>
      <c r="G2362" t="inlineStr">
        <is>
          <t>KUNGSBACKA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8318-2024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45352</v>
      </c>
      <c r="E2363" s="1" t="n">
        <v>46265</v>
      </c>
      <c r="F2363" t="inlineStr">
        <is>
          <t>HALLANDS LÄN</t>
        </is>
      </c>
      <c r="G2363" t="inlineStr">
        <is>
          <t>HYLTE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5064-2025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45691</v>
      </c>
      <c r="E2364" s="1" t="n">
        <v>46265</v>
      </c>
      <c r="F2364" t="inlineStr">
        <is>
          <t>HALLANDS LÄN</t>
        </is>
      </c>
      <c r="G2364" t="inlineStr">
        <is>
          <t>FALKENBERG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3052-2023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44946</v>
      </c>
      <c r="E2365" s="1" t="n">
        <v>46265</v>
      </c>
      <c r="F2365" t="inlineStr">
        <is>
          <t>HALLANDS LÄN</t>
        </is>
      </c>
      <c r="G2365" t="inlineStr">
        <is>
          <t>FALKENBERG</t>
        </is>
      </c>
      <c r="I2365" t="n">
        <v>10.1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55505-2023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45238</v>
      </c>
      <c r="E2366" s="1" t="n">
        <v>46265</v>
      </c>
      <c r="F2366" t="inlineStr">
        <is>
          <t>HALLANDS LÄN</t>
        </is>
      </c>
      <c r="G2366" t="inlineStr">
        <is>
          <t>VARBERG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55523-2023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45232</v>
      </c>
      <c r="E2367" s="1" t="n">
        <v>46265</v>
      </c>
      <c r="F2367" t="inlineStr">
        <is>
          <t>HALLANDS LÄN</t>
        </is>
      </c>
      <c r="G2367" t="inlineStr">
        <is>
          <t>LAHOLM</t>
        </is>
      </c>
      <c r="I2367" t="n">
        <v>1.8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51190-2022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44868</v>
      </c>
      <c r="E2368" s="1" t="n">
        <v>46265</v>
      </c>
      <c r="F2368" t="inlineStr">
        <is>
          <t>HALLANDS LÄN</t>
        </is>
      </c>
      <c r="G2368" t="inlineStr">
        <is>
          <t>HALMSTAD</t>
        </is>
      </c>
      <c r="I2368" t="n">
        <v>1.7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9610-2025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45715</v>
      </c>
      <c r="E2369" s="1" t="n">
        <v>46265</v>
      </c>
      <c r="F2369" t="inlineStr">
        <is>
          <t>HALLANDS LÄN</t>
        </is>
      </c>
      <c r="G2369" t="inlineStr">
        <is>
          <t>HYLTE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3126-2024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45316</v>
      </c>
      <c r="E2370" s="1" t="n">
        <v>46265</v>
      </c>
      <c r="F2370" t="inlineStr">
        <is>
          <t>HALLANDS LÄN</t>
        </is>
      </c>
      <c r="G2370" t="inlineStr">
        <is>
          <t>HYLTE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18803-2023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45044</v>
      </c>
      <c r="E2371" s="1" t="n">
        <v>46265</v>
      </c>
      <c r="F2371" t="inlineStr">
        <is>
          <t>HALLANDS LÄN</t>
        </is>
      </c>
      <c r="G2371" t="inlineStr">
        <is>
          <t>FALKENBERG</t>
        </is>
      </c>
      <c r="I2371" t="n">
        <v>1.9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34899-2022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44796</v>
      </c>
      <c r="E2372" s="1" t="n">
        <v>46265</v>
      </c>
      <c r="F2372" t="inlineStr">
        <is>
          <t>HALLANDS LÄN</t>
        </is>
      </c>
      <c r="G2372" t="inlineStr">
        <is>
          <t>HYLTE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55798-2023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45239</v>
      </c>
      <c r="E2373" s="1" t="n">
        <v>46265</v>
      </c>
      <c r="F2373" t="inlineStr">
        <is>
          <t>HALLANDS LÄN</t>
        </is>
      </c>
      <c r="G2373" t="inlineStr">
        <is>
          <t>HALMSTAD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55800-2023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45239</v>
      </c>
      <c r="E2374" s="1" t="n">
        <v>46265</v>
      </c>
      <c r="F2374" t="inlineStr">
        <is>
          <t>HALLANDS LÄN</t>
        </is>
      </c>
      <c r="G2374" t="inlineStr">
        <is>
          <t>HALMSTAD</t>
        </is>
      </c>
      <c r="I2374" t="n">
        <v>2.2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13331-2024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45386</v>
      </c>
      <c r="E2375" s="1" t="n">
        <v>46265</v>
      </c>
      <c r="F2375" t="inlineStr">
        <is>
          <t>HALLANDS LÄN</t>
        </is>
      </c>
      <c r="G2375" t="inlineStr">
        <is>
          <t>HALMSTAD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7069-2025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45701</v>
      </c>
      <c r="E2376" s="1" t="n">
        <v>46265</v>
      </c>
      <c r="F2376" t="inlineStr">
        <is>
          <t>HALLANDS LÄN</t>
        </is>
      </c>
      <c r="G2376" t="inlineStr">
        <is>
          <t>KUNGSBACKA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59981-2024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45642</v>
      </c>
      <c r="E2377" s="1" t="n">
        <v>46265</v>
      </c>
      <c r="F2377" t="inlineStr">
        <is>
          <t>HALLANDS LÄN</t>
        </is>
      </c>
      <c r="G2377" t="inlineStr">
        <is>
          <t>VARBERG</t>
        </is>
      </c>
      <c r="I2377" t="n">
        <v>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23147-2024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45450</v>
      </c>
      <c r="E2378" s="1" t="n">
        <v>46265</v>
      </c>
      <c r="F2378" t="inlineStr">
        <is>
          <t>HALLANDS LÄN</t>
        </is>
      </c>
      <c r="G2378" t="inlineStr">
        <is>
          <t>HALMSTAD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58221-2022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44901</v>
      </c>
      <c r="E2379" s="1" t="n">
        <v>46265</v>
      </c>
      <c r="F2379" t="inlineStr">
        <is>
          <t>HALLANDS LÄN</t>
        </is>
      </c>
      <c r="G2379" t="inlineStr">
        <is>
          <t>HYLTE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47910-2024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45589</v>
      </c>
      <c r="E2380" s="1" t="n">
        <v>46265</v>
      </c>
      <c r="F2380" t="inlineStr">
        <is>
          <t>HALLANDS LÄN</t>
        </is>
      </c>
      <c r="G2380" t="inlineStr">
        <is>
          <t>HYLTE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54698-2024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45618</v>
      </c>
      <c r="E2381" s="1" t="n">
        <v>46265</v>
      </c>
      <c r="F2381" t="inlineStr">
        <is>
          <t>HALLANDS LÄN</t>
        </is>
      </c>
      <c r="G2381" t="inlineStr">
        <is>
          <t>FALKENBERG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54700-2024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45618</v>
      </c>
      <c r="E2382" s="1" t="n">
        <v>46265</v>
      </c>
      <c r="F2382" t="inlineStr">
        <is>
          <t>HALLANDS LÄN</t>
        </is>
      </c>
      <c r="G2382" t="inlineStr">
        <is>
          <t>FALKENBERG</t>
        </is>
      </c>
      <c r="I2382" t="n">
        <v>0.2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62131-2023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45267</v>
      </c>
      <c r="E2383" s="1" t="n">
        <v>46265</v>
      </c>
      <c r="F2383" t="inlineStr">
        <is>
          <t>HALLANDS LÄN</t>
        </is>
      </c>
      <c r="G2383" t="inlineStr">
        <is>
          <t>HALMSTAD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59701-2022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44908</v>
      </c>
      <c r="E2384" s="1" t="n">
        <v>46265</v>
      </c>
      <c r="F2384" t="inlineStr">
        <is>
          <t>HALLANDS LÄN</t>
        </is>
      </c>
      <c r="G2384" t="inlineStr">
        <is>
          <t>LAHOLM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39465-2023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45166</v>
      </c>
      <c r="E2385" s="1" t="n">
        <v>46265</v>
      </c>
      <c r="F2385" t="inlineStr">
        <is>
          <t>HALLANDS LÄN</t>
        </is>
      </c>
      <c r="G2385" t="inlineStr">
        <is>
          <t>LAHOLM</t>
        </is>
      </c>
      <c r="I2385" t="n">
        <v>0.9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4373-2024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45326</v>
      </c>
      <c r="E2386" s="1" t="n">
        <v>46265</v>
      </c>
      <c r="F2386" t="inlineStr">
        <is>
          <t>HALLANDS LÄN</t>
        </is>
      </c>
      <c r="G2386" t="inlineStr">
        <is>
          <t>FALKENBERG</t>
        </is>
      </c>
      <c r="I2386" t="n">
        <v>2.7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4381-2024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45327</v>
      </c>
      <c r="E2387" s="1" t="n">
        <v>46265</v>
      </c>
      <c r="F2387" t="inlineStr">
        <is>
          <t>HALLANDS LÄN</t>
        </is>
      </c>
      <c r="G2387" t="inlineStr">
        <is>
          <t>LAHOLM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4903-2024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45329</v>
      </c>
      <c r="E2388" s="1" t="n">
        <v>46265</v>
      </c>
      <c r="F2388" t="inlineStr">
        <is>
          <t>HALLANDS LÄN</t>
        </is>
      </c>
      <c r="G2388" t="inlineStr">
        <is>
          <t>HALMSTAD</t>
        </is>
      </c>
      <c r="I2388" t="n">
        <v>5.5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10466-2025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45720</v>
      </c>
      <c r="E2389" s="1" t="n">
        <v>46265</v>
      </c>
      <c r="F2389" t="inlineStr">
        <is>
          <t>HALLANDS LÄN</t>
        </is>
      </c>
      <c r="G2389" t="inlineStr">
        <is>
          <t>VARBERG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12218-2025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45729</v>
      </c>
      <c r="E2390" s="1" t="n">
        <v>46265</v>
      </c>
      <c r="F2390" t="inlineStr">
        <is>
          <t>HALLANDS LÄN</t>
        </is>
      </c>
      <c r="G2390" t="inlineStr">
        <is>
          <t>KUNGSBACKA</t>
        </is>
      </c>
      <c r="I2390" t="n">
        <v>0.6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34445-2024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45525</v>
      </c>
      <c r="E2391" s="1" t="n">
        <v>46265</v>
      </c>
      <c r="F2391" t="inlineStr">
        <is>
          <t>HALLANDS LÄN</t>
        </is>
      </c>
      <c r="G2391" t="inlineStr">
        <is>
          <t>KUNGSBACKA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34449-2024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45525</v>
      </c>
      <c r="E2392" s="1" t="n">
        <v>46265</v>
      </c>
      <c r="F2392" t="inlineStr">
        <is>
          <t>HALLANDS LÄN</t>
        </is>
      </c>
      <c r="G2392" t="inlineStr">
        <is>
          <t>KUNGSBACKA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57871-2022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44899</v>
      </c>
      <c r="E2393" s="1" t="n">
        <v>46265</v>
      </c>
      <c r="F2393" t="inlineStr">
        <is>
          <t>HALLANDS LÄN</t>
        </is>
      </c>
      <c r="G2393" t="inlineStr">
        <is>
          <t>HYLTE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11068-2023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44992</v>
      </c>
      <c r="E2394" s="1" t="n">
        <v>46265</v>
      </c>
      <c r="F2394" t="inlineStr">
        <is>
          <t>HALLANDS LÄN</t>
        </is>
      </c>
      <c r="G2394" t="inlineStr">
        <is>
          <t>KUNGSBACKA</t>
        </is>
      </c>
      <c r="I2394" t="n">
        <v>6.3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60025-2022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44909</v>
      </c>
      <c r="E2395" s="1" t="n">
        <v>46265</v>
      </c>
      <c r="F2395" t="inlineStr">
        <is>
          <t>HALLANDS LÄN</t>
        </is>
      </c>
      <c r="G2395" t="inlineStr">
        <is>
          <t>LAHOLM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3061-2023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44946</v>
      </c>
      <c r="E2396" s="1" t="n">
        <v>46265</v>
      </c>
      <c r="F2396" t="inlineStr">
        <is>
          <t>HALLANDS LÄN</t>
        </is>
      </c>
      <c r="G2396" t="inlineStr">
        <is>
          <t>FALKENBERG</t>
        </is>
      </c>
      <c r="I2396" t="n">
        <v>5.9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57037-2021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44482</v>
      </c>
      <c r="E2397" s="1" t="n">
        <v>46265</v>
      </c>
      <c r="F2397" t="inlineStr">
        <is>
          <t>HALLANDS LÄN</t>
        </is>
      </c>
      <c r="G2397" t="inlineStr">
        <is>
          <t>HALMSTAD</t>
        </is>
      </c>
      <c r="I2397" t="n">
        <v>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54114-2021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44470</v>
      </c>
      <c r="E2398" s="1" t="n">
        <v>46265</v>
      </c>
      <c r="F2398" t="inlineStr">
        <is>
          <t>HALLANDS LÄN</t>
        </is>
      </c>
      <c r="G2398" t="inlineStr">
        <is>
          <t>HALMSTAD</t>
        </is>
      </c>
      <c r="I2398" t="n">
        <v>2.5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15260-2024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45400</v>
      </c>
      <c r="E2399" s="1" t="n">
        <v>46265</v>
      </c>
      <c r="F2399" t="inlineStr">
        <is>
          <t>HALLANDS LÄN</t>
        </is>
      </c>
      <c r="G2399" t="inlineStr">
        <is>
          <t>VARBERG</t>
        </is>
      </c>
      <c r="H2399" t="inlineStr">
        <is>
          <t>Kyrkan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28489-2024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45477</v>
      </c>
      <c r="E2400" s="1" t="n">
        <v>46265</v>
      </c>
      <c r="F2400" t="inlineStr">
        <is>
          <t>HALLANDS LÄN</t>
        </is>
      </c>
      <c r="G2400" t="inlineStr">
        <is>
          <t>VARBERG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12928-2024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45385</v>
      </c>
      <c r="E2401" s="1" t="n">
        <v>46265</v>
      </c>
      <c r="F2401" t="inlineStr">
        <is>
          <t>HALLANDS LÄN</t>
        </is>
      </c>
      <c r="G2401" t="inlineStr">
        <is>
          <t>LAHOLM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11865-2023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44995</v>
      </c>
      <c r="E2402" s="1" t="n">
        <v>46265</v>
      </c>
      <c r="F2402" t="inlineStr">
        <is>
          <t>HALLANDS LÄN</t>
        </is>
      </c>
      <c r="G2402" t="inlineStr">
        <is>
          <t>HYLTE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39107-2024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45548</v>
      </c>
      <c r="E2403" s="1" t="n">
        <v>46265</v>
      </c>
      <c r="F2403" t="inlineStr">
        <is>
          <t>HALLANDS LÄN</t>
        </is>
      </c>
      <c r="G2403" t="inlineStr">
        <is>
          <t>HYLTE</t>
        </is>
      </c>
      <c r="I2403" t="n">
        <v>2.1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4886-2023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44958</v>
      </c>
      <c r="E2404" s="1" t="n">
        <v>46265</v>
      </c>
      <c r="F2404" t="inlineStr">
        <is>
          <t>HALLANDS LÄN</t>
        </is>
      </c>
      <c r="G2404" t="inlineStr">
        <is>
          <t>HYLTE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10186-2022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44622</v>
      </c>
      <c r="E2405" s="1" t="n">
        <v>46265</v>
      </c>
      <c r="F2405" t="inlineStr">
        <is>
          <t>HALLANDS LÄN</t>
        </is>
      </c>
      <c r="G2405" t="inlineStr">
        <is>
          <t>VARBERG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52094-2021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44462</v>
      </c>
      <c r="E2406" s="1" t="n">
        <v>46265</v>
      </c>
      <c r="F2406" t="inlineStr">
        <is>
          <t>HALLANDS LÄN</t>
        </is>
      </c>
      <c r="G2406" t="inlineStr">
        <is>
          <t>LAHOLM</t>
        </is>
      </c>
      <c r="I2406" t="n">
        <v>1.9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9819-2022</t>
        </is>
      </c>
      <c r="B2407" t="inlineStr">
        <is>
          <t>avverkningsanmälan</t>
        </is>
      </c>
      <c r="C2407" t="inlineStr">
        <is>
          <t>Avverkning för annat ändamål</t>
        </is>
      </c>
      <c r="D2407" s="1" t="n">
        <v>44620</v>
      </c>
      <c r="E2407" s="1" t="n">
        <v>46265</v>
      </c>
      <c r="F2407" t="inlineStr">
        <is>
          <t>HALLANDS LÄN</t>
        </is>
      </c>
      <c r="G2407" t="inlineStr">
        <is>
          <t>VARBERG</t>
        </is>
      </c>
      <c r="I2407" t="n">
        <v>2.3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15067-2022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44657</v>
      </c>
      <c r="E2408" s="1" t="n">
        <v>46265</v>
      </c>
      <c r="F2408" t="inlineStr">
        <is>
          <t>HALLANDS LÄN</t>
        </is>
      </c>
      <c r="G2408" t="inlineStr">
        <is>
          <t>VARBERG</t>
        </is>
      </c>
      <c r="I2408" t="n">
        <v>0.8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10748-2022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44627</v>
      </c>
      <c r="E2409" s="1" t="n">
        <v>46265</v>
      </c>
      <c r="F2409" t="inlineStr">
        <is>
          <t>HALLANDS LÄN</t>
        </is>
      </c>
      <c r="G2409" t="inlineStr">
        <is>
          <t>FALKENBERG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6187-2023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44964</v>
      </c>
      <c r="E2410" s="1" t="n">
        <v>46265</v>
      </c>
      <c r="F2410" t="inlineStr">
        <is>
          <t>HALLANDS LÄN</t>
        </is>
      </c>
      <c r="G2410" t="inlineStr">
        <is>
          <t>LAHOLM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1950-2022</t>
        </is>
      </c>
      <c r="B2411" t="inlineStr">
        <is>
          <t>avverkningsanmälan</t>
        </is>
      </c>
      <c r="C2411" t="inlineStr">
        <is>
          <t>Avverkning för annat ändamål</t>
        </is>
      </c>
      <c r="D2411" s="1" t="n">
        <v>44575</v>
      </c>
      <c r="E2411" s="1" t="n">
        <v>46265</v>
      </c>
      <c r="F2411" t="inlineStr">
        <is>
          <t>HALLANDS LÄN</t>
        </is>
      </c>
      <c r="G2411" t="inlineStr">
        <is>
          <t>HYLTE</t>
        </is>
      </c>
      <c r="I2411" t="n">
        <v>1.9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44131-2024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45572</v>
      </c>
      <c r="E2412" s="1" t="n">
        <v>46265</v>
      </c>
      <c r="F2412" t="inlineStr">
        <is>
          <t>HALLANDS LÄN</t>
        </is>
      </c>
      <c r="G2412" t="inlineStr">
        <is>
          <t>HYLTE</t>
        </is>
      </c>
      <c r="I2412" t="n">
        <v>1.9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4979-2022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44593</v>
      </c>
      <c r="E2413" s="1" t="n">
        <v>46265</v>
      </c>
      <c r="F2413" t="inlineStr">
        <is>
          <t>HALLANDS LÄN</t>
        </is>
      </c>
      <c r="G2413" t="inlineStr">
        <is>
          <t>KUNGSBACKA</t>
        </is>
      </c>
      <c r="I2413" t="n">
        <v>0.2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57557-2022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44896</v>
      </c>
      <c r="E2414" s="1" t="n">
        <v>46265</v>
      </c>
      <c r="F2414" t="inlineStr">
        <is>
          <t>HALLANDS LÄN</t>
        </is>
      </c>
      <c r="G2414" t="inlineStr">
        <is>
          <t>VARBERG</t>
        </is>
      </c>
      <c r="I2414" t="n">
        <v>5.6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55270-2022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44887</v>
      </c>
      <c r="E2415" s="1" t="n">
        <v>46265</v>
      </c>
      <c r="F2415" t="inlineStr">
        <is>
          <t>HALLANDS LÄN</t>
        </is>
      </c>
      <c r="G2415" t="inlineStr">
        <is>
          <t>FALKENBERG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51535-2023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45222</v>
      </c>
      <c r="E2416" s="1" t="n">
        <v>46265</v>
      </c>
      <c r="F2416" t="inlineStr">
        <is>
          <t>HALLANDS LÄN</t>
        </is>
      </c>
      <c r="G2416" t="inlineStr">
        <is>
          <t>VARBERG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5812-2024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45335</v>
      </c>
      <c r="E2417" s="1" t="n">
        <v>46265</v>
      </c>
      <c r="F2417" t="inlineStr">
        <is>
          <t>HALLANDS LÄN</t>
        </is>
      </c>
      <c r="G2417" t="inlineStr">
        <is>
          <t>KUNGSBACKA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19468-2024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45429</v>
      </c>
      <c r="E2418" s="1" t="n">
        <v>46265</v>
      </c>
      <c r="F2418" t="inlineStr">
        <is>
          <t>HALLANDS LÄN</t>
        </is>
      </c>
      <c r="G2418" t="inlineStr">
        <is>
          <t>HALMSTAD</t>
        </is>
      </c>
      <c r="I2418" t="n">
        <v>2.3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3813-2023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44951</v>
      </c>
      <c r="E2419" s="1" t="n">
        <v>46265</v>
      </c>
      <c r="F2419" t="inlineStr">
        <is>
          <t>HALLANDS LÄN</t>
        </is>
      </c>
      <c r="G2419" t="inlineStr">
        <is>
          <t>HYLTE</t>
        </is>
      </c>
      <c r="I2419" t="n">
        <v>2.6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61683-2023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45265</v>
      </c>
      <c r="E2420" s="1" t="n">
        <v>46265</v>
      </c>
      <c r="F2420" t="inlineStr">
        <is>
          <t>HALLANDS LÄN</t>
        </is>
      </c>
      <c r="G2420" t="inlineStr">
        <is>
          <t>HYLTE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62766-2023</t>
        </is>
      </c>
      <c r="B2421" t="inlineStr">
        <is>
          <t>avverkningsanmälan</t>
        </is>
      </c>
      <c r="C2421" t="inlineStr">
        <is>
          <t>Avverkning för att bevara och utveckla /försöksver</t>
        </is>
      </c>
      <c r="D2421" s="1" t="n">
        <v>45268</v>
      </c>
      <c r="E2421" s="1" t="n">
        <v>46265</v>
      </c>
      <c r="F2421" t="inlineStr">
        <is>
          <t>HALLANDS LÄN</t>
        </is>
      </c>
      <c r="G2421" t="inlineStr">
        <is>
          <t>HALMSTAD</t>
        </is>
      </c>
      <c r="H2421" t="inlineStr">
        <is>
          <t>Sveaskog</t>
        </is>
      </c>
      <c r="I2421" t="n">
        <v>7.8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35567-2024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45531</v>
      </c>
      <c r="E2422" s="1" t="n">
        <v>46265</v>
      </c>
      <c r="F2422" t="inlineStr">
        <is>
          <t>HALLANDS LÄN</t>
        </is>
      </c>
      <c r="G2422" t="inlineStr">
        <is>
          <t>HYLTE</t>
        </is>
      </c>
      <c r="I2422" t="n">
        <v>6.8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19312-2022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44692</v>
      </c>
      <c r="E2423" s="1" t="n">
        <v>46265</v>
      </c>
      <c r="F2423" t="inlineStr">
        <is>
          <t>HALLANDS LÄN</t>
        </is>
      </c>
      <c r="G2423" t="inlineStr">
        <is>
          <t>FALKENBERG</t>
        </is>
      </c>
      <c r="I2423" t="n">
        <v>0.8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41702-2024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45560</v>
      </c>
      <c r="E2424" s="1" t="n">
        <v>46265</v>
      </c>
      <c r="F2424" t="inlineStr">
        <is>
          <t>HALLANDS LÄN</t>
        </is>
      </c>
      <c r="G2424" t="inlineStr">
        <is>
          <t>FALKENBERG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19792-2024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45432</v>
      </c>
      <c r="E2425" s="1" t="n">
        <v>46265</v>
      </c>
      <c r="F2425" t="inlineStr">
        <is>
          <t>HALLANDS LÄN</t>
        </is>
      </c>
      <c r="G2425" t="inlineStr">
        <is>
          <t>HYLTE</t>
        </is>
      </c>
      <c r="I2425" t="n">
        <v>3.9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28060-2025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45817</v>
      </c>
      <c r="E2426" s="1" t="n">
        <v>46265</v>
      </c>
      <c r="F2426" t="inlineStr">
        <is>
          <t>HALLANDS LÄN</t>
        </is>
      </c>
      <c r="G2426" t="inlineStr">
        <is>
          <t>HYLTE</t>
        </is>
      </c>
      <c r="I2426" t="n">
        <v>3.9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11719-2026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46084</v>
      </c>
      <c r="E2427" s="1" t="n">
        <v>46265</v>
      </c>
      <c r="F2427" t="inlineStr">
        <is>
          <t>HALLANDS LÄN</t>
        </is>
      </c>
      <c r="G2427" t="inlineStr">
        <is>
          <t>HYLTE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4073-2024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45323</v>
      </c>
      <c r="E2428" s="1" t="n">
        <v>46265</v>
      </c>
      <c r="F2428" t="inlineStr">
        <is>
          <t>HALLANDS LÄN</t>
        </is>
      </c>
      <c r="G2428" t="inlineStr">
        <is>
          <t>HALMSTAD</t>
        </is>
      </c>
      <c r="I2428" t="n">
        <v>3.9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32921-2025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45839</v>
      </c>
      <c r="E2429" s="1" t="n">
        <v>46265</v>
      </c>
      <c r="F2429" t="inlineStr">
        <is>
          <t>HALLANDS LÄN</t>
        </is>
      </c>
      <c r="G2429" t="inlineStr">
        <is>
          <t>HYLTE</t>
        </is>
      </c>
      <c r="I2429" t="n">
        <v>3.2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49609-2023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45211</v>
      </c>
      <c r="E2430" s="1" t="n">
        <v>46265</v>
      </c>
      <c r="F2430" t="inlineStr">
        <is>
          <t>HALLANDS LÄN</t>
        </is>
      </c>
      <c r="G2430" t="inlineStr">
        <is>
          <t>FALKENBERG</t>
        </is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54248-2021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44470</v>
      </c>
      <c r="E2431" s="1" t="n">
        <v>46265</v>
      </c>
      <c r="F2431" t="inlineStr">
        <is>
          <t>HALLANDS LÄN</t>
        </is>
      </c>
      <c r="G2431" t="inlineStr">
        <is>
          <t>VARBERG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31617-2022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44775</v>
      </c>
      <c r="E2432" s="1" t="n">
        <v>46265</v>
      </c>
      <c r="F2432" t="inlineStr">
        <is>
          <t>HALLANDS LÄN</t>
        </is>
      </c>
      <c r="G2432" t="inlineStr">
        <is>
          <t>KUNGSBACKA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41425-2023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45175</v>
      </c>
      <c r="E2433" s="1" t="n">
        <v>46265</v>
      </c>
      <c r="F2433" t="inlineStr">
        <is>
          <t>HALLANDS LÄN</t>
        </is>
      </c>
      <c r="G2433" t="inlineStr">
        <is>
          <t>FALKENBERG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57056-2022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44895</v>
      </c>
      <c r="E2434" s="1" t="n">
        <v>46265</v>
      </c>
      <c r="F2434" t="inlineStr">
        <is>
          <t>HALLANDS LÄN</t>
        </is>
      </c>
      <c r="G2434" t="inlineStr">
        <is>
          <t>KUNGSBACKA</t>
        </is>
      </c>
      <c r="I2434" t="n">
        <v>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7291-2023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44970</v>
      </c>
      <c r="E2435" s="1" t="n">
        <v>46265</v>
      </c>
      <c r="F2435" t="inlineStr">
        <is>
          <t>HALLANDS LÄN</t>
        </is>
      </c>
      <c r="G2435" t="inlineStr">
        <is>
          <t>FALKENBERG</t>
        </is>
      </c>
      <c r="I2435" t="n">
        <v>0.1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34754-2025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45848</v>
      </c>
      <c r="E2436" s="1" t="n">
        <v>46265</v>
      </c>
      <c r="F2436" t="inlineStr">
        <is>
          <t>HALLANDS LÄN</t>
        </is>
      </c>
      <c r="G2436" t="inlineStr">
        <is>
          <t>HYLTE</t>
        </is>
      </c>
      <c r="I2436" t="n">
        <v>1.5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53763-2022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44875</v>
      </c>
      <c r="E2437" s="1" t="n">
        <v>46265</v>
      </c>
      <c r="F2437" t="inlineStr">
        <is>
          <t>HALLANDS LÄN</t>
        </is>
      </c>
      <c r="G2437" t="inlineStr">
        <is>
          <t>HALMSTAD</t>
        </is>
      </c>
      <c r="I2437" t="n">
        <v>0.9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5522-2022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44595</v>
      </c>
      <c r="E2438" s="1" t="n">
        <v>46265</v>
      </c>
      <c r="F2438" t="inlineStr">
        <is>
          <t>HALLANDS LÄN</t>
        </is>
      </c>
      <c r="G2438" t="inlineStr">
        <is>
          <t>HALMSTAD</t>
        </is>
      </c>
      <c r="I2438" t="n">
        <v>3.4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11310-2024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45371</v>
      </c>
      <c r="E2439" s="1" t="n">
        <v>46265</v>
      </c>
      <c r="F2439" t="inlineStr">
        <is>
          <t>HALLANDS LÄN</t>
        </is>
      </c>
      <c r="G2439" t="inlineStr">
        <is>
          <t>KUNGSBACKA</t>
        </is>
      </c>
      <c r="I2439" t="n">
        <v>2.1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48019-2022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44855</v>
      </c>
      <c r="E2440" s="1" t="n">
        <v>46265</v>
      </c>
      <c r="F2440" t="inlineStr">
        <is>
          <t>HALLANDS LÄN</t>
        </is>
      </c>
      <c r="G2440" t="inlineStr">
        <is>
          <t>VARBERG</t>
        </is>
      </c>
      <c r="I2440" t="n">
        <v>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1076-2024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45302</v>
      </c>
      <c r="E2441" s="1" t="n">
        <v>46265</v>
      </c>
      <c r="F2441" t="inlineStr">
        <is>
          <t>HALLANDS LÄN</t>
        </is>
      </c>
      <c r="G2441" t="inlineStr">
        <is>
          <t>VARBERG</t>
        </is>
      </c>
      <c r="I2441" t="n">
        <v>2.2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31198-2022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44770</v>
      </c>
      <c r="E2442" s="1" t="n">
        <v>46265</v>
      </c>
      <c r="F2442" t="inlineStr">
        <is>
          <t>HALLANDS LÄN</t>
        </is>
      </c>
      <c r="G2442" t="inlineStr">
        <is>
          <t>VARBERG</t>
        </is>
      </c>
      <c r="I2442" t="n">
        <v>5.9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15678-2024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45404</v>
      </c>
      <c r="E2443" s="1" t="n">
        <v>46265</v>
      </c>
      <c r="F2443" t="inlineStr">
        <is>
          <t>HALLANDS LÄN</t>
        </is>
      </c>
      <c r="G2443" t="inlineStr">
        <is>
          <t>HALMSTAD</t>
        </is>
      </c>
      <c r="I2443" t="n">
        <v>2.4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33613-2023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45132</v>
      </c>
      <c r="E2444" s="1" t="n">
        <v>46265</v>
      </c>
      <c r="F2444" t="inlineStr">
        <is>
          <t>HALLANDS LÄN</t>
        </is>
      </c>
      <c r="G2444" t="inlineStr">
        <is>
          <t>HYLTE</t>
        </is>
      </c>
      <c r="I2444" t="n">
        <v>3.9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64231-2023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45279</v>
      </c>
      <c r="E2445" s="1" t="n">
        <v>46265</v>
      </c>
      <c r="F2445" t="inlineStr">
        <is>
          <t>HALLANDS LÄN</t>
        </is>
      </c>
      <c r="G2445" t="inlineStr">
        <is>
          <t>HALMSTAD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41612-2022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44827</v>
      </c>
      <c r="E2446" s="1" t="n">
        <v>46265</v>
      </c>
      <c r="F2446" t="inlineStr">
        <is>
          <t>HALLANDS LÄN</t>
        </is>
      </c>
      <c r="G2446" t="inlineStr">
        <is>
          <t>HALMSTAD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57459-2023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45246</v>
      </c>
      <c r="E2447" s="1" t="n">
        <v>46265</v>
      </c>
      <c r="F2447" t="inlineStr">
        <is>
          <t>HALLANDS LÄN</t>
        </is>
      </c>
      <c r="G2447" t="inlineStr">
        <is>
          <t>HYLTE</t>
        </is>
      </c>
      <c r="I2447" t="n">
        <v>3.8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57466-2023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45246</v>
      </c>
      <c r="E2448" s="1" t="n">
        <v>46265</v>
      </c>
      <c r="F2448" t="inlineStr">
        <is>
          <t>HALLANDS LÄN</t>
        </is>
      </c>
      <c r="G2448" t="inlineStr">
        <is>
          <t>HYLTE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45838-2024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45580</v>
      </c>
      <c r="E2449" s="1" t="n">
        <v>46265</v>
      </c>
      <c r="F2449" t="inlineStr">
        <is>
          <t>HALLANDS LÄN</t>
        </is>
      </c>
      <c r="G2449" t="inlineStr">
        <is>
          <t>FALKENBERG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18840-2024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45426</v>
      </c>
      <c r="E2450" s="1" t="n">
        <v>46265</v>
      </c>
      <c r="F2450" t="inlineStr">
        <is>
          <t>HALLANDS LÄN</t>
        </is>
      </c>
      <c r="G2450" t="inlineStr">
        <is>
          <t>HYLTE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59297-2022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44904</v>
      </c>
      <c r="E2451" s="1" t="n">
        <v>46265</v>
      </c>
      <c r="F2451" t="inlineStr">
        <is>
          <t>HALLANDS LÄN</t>
        </is>
      </c>
      <c r="G2451" t="inlineStr">
        <is>
          <t>VARBERG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7314-2024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45345</v>
      </c>
      <c r="E2452" s="1" t="n">
        <v>46265</v>
      </c>
      <c r="F2452" t="inlineStr">
        <is>
          <t>HALLANDS LÄN</t>
        </is>
      </c>
      <c r="G2452" t="inlineStr">
        <is>
          <t>FALKENBERG</t>
        </is>
      </c>
      <c r="I2452" t="n">
        <v>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34558-2023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45140</v>
      </c>
      <c r="E2453" s="1" t="n">
        <v>46265</v>
      </c>
      <c r="F2453" t="inlineStr">
        <is>
          <t>HALLANDS LÄN</t>
        </is>
      </c>
      <c r="G2453" t="inlineStr">
        <is>
          <t>VARBERG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31358-2022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44774</v>
      </c>
      <c r="E2454" s="1" t="n">
        <v>46265</v>
      </c>
      <c r="F2454" t="inlineStr">
        <is>
          <t>HALLANDS LÄN</t>
        </is>
      </c>
      <c r="G2454" t="inlineStr">
        <is>
          <t>LAHOLM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11170-2024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45371</v>
      </c>
      <c r="E2455" s="1" t="n">
        <v>46265</v>
      </c>
      <c r="F2455" t="inlineStr">
        <is>
          <t>HALLANDS LÄN</t>
        </is>
      </c>
      <c r="G2455" t="inlineStr">
        <is>
          <t>HYLTE</t>
        </is>
      </c>
      <c r="I2455" t="n">
        <v>2.5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37223-2023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45155</v>
      </c>
      <c r="E2456" s="1" t="n">
        <v>46265</v>
      </c>
      <c r="F2456" t="inlineStr">
        <is>
          <t>HALLANDS LÄN</t>
        </is>
      </c>
      <c r="G2456" t="inlineStr">
        <is>
          <t>VARBERG</t>
        </is>
      </c>
      <c r="I2456" t="n">
        <v>1.8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44532-2023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45189</v>
      </c>
      <c r="E2457" s="1" t="n">
        <v>46265</v>
      </c>
      <c r="F2457" t="inlineStr">
        <is>
          <t>HALLANDS LÄN</t>
        </is>
      </c>
      <c r="G2457" t="inlineStr">
        <is>
          <t>FALKENBERG</t>
        </is>
      </c>
      <c r="I2457" t="n">
        <v>5.9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3171-2023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44946</v>
      </c>
      <c r="E2458" s="1" t="n">
        <v>46265</v>
      </c>
      <c r="F2458" t="inlineStr">
        <is>
          <t>HALLANDS LÄN</t>
        </is>
      </c>
      <c r="G2458" t="inlineStr">
        <is>
          <t>FALKENBERG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3175-2023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44946</v>
      </c>
      <c r="E2459" s="1" t="n">
        <v>46265</v>
      </c>
      <c r="F2459" t="inlineStr">
        <is>
          <t>HALLANDS LÄN</t>
        </is>
      </c>
      <c r="G2459" t="inlineStr">
        <is>
          <t>FALKENBERG</t>
        </is>
      </c>
      <c r="I2459" t="n">
        <v>2.3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620-2023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44930</v>
      </c>
      <c r="E2460" s="1" t="n">
        <v>46265</v>
      </c>
      <c r="F2460" t="inlineStr">
        <is>
          <t>HALLANDS LÄN</t>
        </is>
      </c>
      <c r="G2460" t="inlineStr">
        <is>
          <t>LAHOLM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8891-2024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45357</v>
      </c>
      <c r="E2461" s="1" t="n">
        <v>46265</v>
      </c>
      <c r="F2461" t="inlineStr">
        <is>
          <t>HALLANDS LÄN</t>
        </is>
      </c>
      <c r="G2461" t="inlineStr">
        <is>
          <t>LAHOLM</t>
        </is>
      </c>
      <c r="I2461" t="n">
        <v>4.2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8892-2024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45357</v>
      </c>
      <c r="E2462" s="1" t="n">
        <v>46265</v>
      </c>
      <c r="F2462" t="inlineStr">
        <is>
          <t>HALLANDS LÄN</t>
        </is>
      </c>
      <c r="G2462" t="inlineStr">
        <is>
          <t>FALKENBERG</t>
        </is>
      </c>
      <c r="I2462" t="n">
        <v>5.1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61711-2021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44501</v>
      </c>
      <c r="E2463" s="1" t="n">
        <v>46265</v>
      </c>
      <c r="F2463" t="inlineStr">
        <is>
          <t>HALLANDS LÄN</t>
        </is>
      </c>
      <c r="G2463" t="inlineStr">
        <is>
          <t>LAHOLM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14710-2023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45014</v>
      </c>
      <c r="E2464" s="1" t="n">
        <v>46265</v>
      </c>
      <c r="F2464" t="inlineStr">
        <is>
          <t>HALLANDS LÄN</t>
        </is>
      </c>
      <c r="G2464" t="inlineStr">
        <is>
          <t>VARBERG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55038-2022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44886</v>
      </c>
      <c r="E2465" s="1" t="n">
        <v>46265</v>
      </c>
      <c r="F2465" t="inlineStr">
        <is>
          <t>HALLANDS LÄN</t>
        </is>
      </c>
      <c r="G2465" t="inlineStr">
        <is>
          <t>VARBERG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8266-2023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44974</v>
      </c>
      <c r="E2466" s="1" t="n">
        <v>46265</v>
      </c>
      <c r="F2466" t="inlineStr">
        <is>
          <t>HALLANDS LÄN</t>
        </is>
      </c>
      <c r="G2466" t="inlineStr">
        <is>
          <t>FALKENBERG</t>
        </is>
      </c>
      <c r="I2466" t="n">
        <v>1.4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42656-2024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45566</v>
      </c>
      <c r="E2467" s="1" t="n">
        <v>46265</v>
      </c>
      <c r="F2467" t="inlineStr">
        <is>
          <t>HALLANDS LÄN</t>
        </is>
      </c>
      <c r="G2467" t="inlineStr">
        <is>
          <t>FALKENBERG</t>
        </is>
      </c>
      <c r="I2467" t="n">
        <v>0.3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16778-2024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45411</v>
      </c>
      <c r="E2468" s="1" t="n">
        <v>46265</v>
      </c>
      <c r="F2468" t="inlineStr">
        <is>
          <t>HALLANDS LÄN</t>
        </is>
      </c>
      <c r="G2468" t="inlineStr">
        <is>
          <t>HYLTE</t>
        </is>
      </c>
      <c r="I2468" t="n">
        <v>7.8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59762-2023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45257</v>
      </c>
      <c r="E2469" s="1" t="n">
        <v>46265</v>
      </c>
      <c r="F2469" t="inlineStr">
        <is>
          <t>HALLANDS LÄN</t>
        </is>
      </c>
      <c r="G2469" t="inlineStr">
        <is>
          <t>HALMSTAD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11790-2025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45727</v>
      </c>
      <c r="E2470" s="1" t="n">
        <v>46265</v>
      </c>
      <c r="F2470" t="inlineStr">
        <is>
          <t>HALLANDS LÄN</t>
        </is>
      </c>
      <c r="G2470" t="inlineStr">
        <is>
          <t>HALMSTAD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37150-2022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44806</v>
      </c>
      <c r="E2471" s="1" t="n">
        <v>46265</v>
      </c>
      <c r="F2471" t="inlineStr">
        <is>
          <t>HALLANDS LÄN</t>
        </is>
      </c>
      <c r="G2471" t="inlineStr">
        <is>
          <t>FALKENBERG</t>
        </is>
      </c>
      <c r="I2471" t="n">
        <v>4.6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66135-2021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44517</v>
      </c>
      <c r="E2472" s="1" t="n">
        <v>46265</v>
      </c>
      <c r="F2472" t="inlineStr">
        <is>
          <t>HALLANDS LÄN</t>
        </is>
      </c>
      <c r="G2472" t="inlineStr">
        <is>
          <t>FALKENBERG</t>
        </is>
      </c>
      <c r="I2472" t="n">
        <v>2.8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37161-2022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44806</v>
      </c>
      <c r="E2473" s="1" t="n">
        <v>46265</v>
      </c>
      <c r="F2473" t="inlineStr">
        <is>
          <t>HALLANDS LÄN</t>
        </is>
      </c>
      <c r="G2473" t="inlineStr">
        <is>
          <t>HALMSTAD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14536-2023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45013</v>
      </c>
      <c r="E2474" s="1" t="n">
        <v>46265</v>
      </c>
      <c r="F2474" t="inlineStr">
        <is>
          <t>HALLANDS LÄN</t>
        </is>
      </c>
      <c r="G2474" t="inlineStr">
        <is>
          <t>VARBERG</t>
        </is>
      </c>
      <c r="I2474" t="n">
        <v>0.5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19087-2022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44691</v>
      </c>
      <c r="E2475" s="1" t="n">
        <v>46265</v>
      </c>
      <c r="F2475" t="inlineStr">
        <is>
          <t>HALLANDS LÄN</t>
        </is>
      </c>
      <c r="G2475" t="inlineStr">
        <is>
          <t>HALMSTAD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44040-2023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45188</v>
      </c>
      <c r="E2476" s="1" t="n">
        <v>46265</v>
      </c>
      <c r="F2476" t="inlineStr">
        <is>
          <t>HALLANDS LÄN</t>
        </is>
      </c>
      <c r="G2476" t="inlineStr">
        <is>
          <t>FALKENBERG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43046-2023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45182</v>
      </c>
      <c r="E2477" s="1" t="n">
        <v>46265</v>
      </c>
      <c r="F2477" t="inlineStr">
        <is>
          <t>HALLANDS LÄN</t>
        </is>
      </c>
      <c r="G2477" t="inlineStr">
        <is>
          <t>FALKENBERG</t>
        </is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20044-2025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45772</v>
      </c>
      <c r="E2478" s="1" t="n">
        <v>46265</v>
      </c>
      <c r="F2478" t="inlineStr">
        <is>
          <t>HALLANDS LÄN</t>
        </is>
      </c>
      <c r="G2478" t="inlineStr">
        <is>
          <t>FALKENBERG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13845-2024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45391</v>
      </c>
      <c r="E2479" s="1" t="n">
        <v>46265</v>
      </c>
      <c r="F2479" t="inlineStr">
        <is>
          <t>HALLANDS LÄN</t>
        </is>
      </c>
      <c r="G2479" t="inlineStr">
        <is>
          <t>FALKENBERG</t>
        </is>
      </c>
      <c r="I2479" t="n">
        <v>7.3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9423-2024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45359</v>
      </c>
      <c r="E2480" s="1" t="n">
        <v>46265</v>
      </c>
      <c r="F2480" t="inlineStr">
        <is>
          <t>HALLANDS LÄN</t>
        </is>
      </c>
      <c r="G2480" t="inlineStr">
        <is>
          <t>KUNGSBACKA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22710-2023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45071</v>
      </c>
      <c r="E2481" s="1" t="n">
        <v>46265</v>
      </c>
      <c r="F2481" t="inlineStr">
        <is>
          <t>HALLANDS LÄN</t>
        </is>
      </c>
      <c r="G2481" t="inlineStr">
        <is>
          <t>HALMSTAD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51021-2024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45603</v>
      </c>
      <c r="E2482" s="1" t="n">
        <v>46265</v>
      </c>
      <c r="F2482" t="inlineStr">
        <is>
          <t>HALLANDS LÄN</t>
        </is>
      </c>
      <c r="G2482" t="inlineStr">
        <is>
          <t>LAHOLM</t>
        </is>
      </c>
      <c r="I2482" t="n">
        <v>6.2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21433-2024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45441</v>
      </c>
      <c r="E2483" s="1" t="n">
        <v>46265</v>
      </c>
      <c r="F2483" t="inlineStr">
        <is>
          <t>HALLANDS LÄN</t>
        </is>
      </c>
      <c r="G2483" t="inlineStr">
        <is>
          <t>HYLTE</t>
        </is>
      </c>
      <c r="H2483" t="inlineStr">
        <is>
          <t>Kyrkan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12606-2024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45381</v>
      </c>
      <c r="E2484" s="1" t="n">
        <v>46265</v>
      </c>
      <c r="F2484" t="inlineStr">
        <is>
          <t>HALLANDS LÄN</t>
        </is>
      </c>
      <c r="G2484" t="inlineStr">
        <is>
          <t>FALKENBERG</t>
        </is>
      </c>
      <c r="I2484" t="n">
        <v>14.4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12680-2024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45384</v>
      </c>
      <c r="E2485" s="1" t="n">
        <v>46265</v>
      </c>
      <c r="F2485" t="inlineStr">
        <is>
          <t>HALLANDS LÄN</t>
        </is>
      </c>
      <c r="G2485" t="inlineStr">
        <is>
          <t>FALKENBERG</t>
        </is>
      </c>
      <c r="I2485" t="n">
        <v>1.5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4144-2024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45323</v>
      </c>
      <c r="E2486" s="1" t="n">
        <v>46265</v>
      </c>
      <c r="F2486" t="inlineStr">
        <is>
          <t>HALLANDS LÄN</t>
        </is>
      </c>
      <c r="G2486" t="inlineStr">
        <is>
          <t>KUNGSBACKA</t>
        </is>
      </c>
      <c r="I2486" t="n">
        <v>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8789-2024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45356</v>
      </c>
      <c r="E2487" s="1" t="n">
        <v>46265</v>
      </c>
      <c r="F2487" t="inlineStr">
        <is>
          <t>HALLANDS LÄN</t>
        </is>
      </c>
      <c r="G2487" t="inlineStr">
        <is>
          <t>KUNGSBACKA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56310-2024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45624</v>
      </c>
      <c r="E2488" s="1" t="n">
        <v>46265</v>
      </c>
      <c r="F2488" t="inlineStr">
        <is>
          <t>HALLANDS LÄN</t>
        </is>
      </c>
      <c r="G2488" t="inlineStr">
        <is>
          <t>HYLTE</t>
        </is>
      </c>
      <c r="I2488" t="n">
        <v>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35140-2022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44797</v>
      </c>
      <c r="E2489" s="1" t="n">
        <v>46265</v>
      </c>
      <c r="F2489" t="inlineStr">
        <is>
          <t>HALLANDS LÄN</t>
        </is>
      </c>
      <c r="G2489" t="inlineStr">
        <is>
          <t>VARBERG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28529-2022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44748</v>
      </c>
      <c r="E2490" s="1" t="n">
        <v>46265</v>
      </c>
      <c r="F2490" t="inlineStr">
        <is>
          <t>HALLANDS LÄN</t>
        </is>
      </c>
      <c r="G2490" t="inlineStr">
        <is>
          <t>KUNGSBACKA</t>
        </is>
      </c>
      <c r="I2490" t="n">
        <v>7.2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24390-2022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44726</v>
      </c>
      <c r="E2491" s="1" t="n">
        <v>46265</v>
      </c>
      <c r="F2491" t="inlineStr">
        <is>
          <t>HALLANDS LÄN</t>
        </is>
      </c>
      <c r="G2491" t="inlineStr">
        <is>
          <t>LAHOLM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24395-2022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44726</v>
      </c>
      <c r="E2492" s="1" t="n">
        <v>46265</v>
      </c>
      <c r="F2492" t="inlineStr">
        <is>
          <t>HALLANDS LÄN</t>
        </is>
      </c>
      <c r="G2492" t="inlineStr">
        <is>
          <t>LAHOLM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9999-2024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45363</v>
      </c>
      <c r="E2493" s="1" t="n">
        <v>46265</v>
      </c>
      <c r="F2493" t="inlineStr">
        <is>
          <t>HALLANDS LÄN</t>
        </is>
      </c>
      <c r="G2493" t="inlineStr">
        <is>
          <t>FALKENBERG</t>
        </is>
      </c>
      <c r="I2493" t="n">
        <v>3.2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51331-2022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44869</v>
      </c>
      <c r="E2494" s="1" t="n">
        <v>46265</v>
      </c>
      <c r="F2494" t="inlineStr">
        <is>
          <t>HALLANDS LÄN</t>
        </is>
      </c>
      <c r="G2494" t="inlineStr">
        <is>
          <t>KUNGSBACKA</t>
        </is>
      </c>
      <c r="I2494" t="n">
        <v>1.7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57013-2021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44482</v>
      </c>
      <c r="E2495" s="1" t="n">
        <v>46265</v>
      </c>
      <c r="F2495" t="inlineStr">
        <is>
          <t>HALLANDS LÄN</t>
        </is>
      </c>
      <c r="G2495" t="inlineStr">
        <is>
          <t>HALMSTAD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57021-2021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44482</v>
      </c>
      <c r="E2496" s="1" t="n">
        <v>46265</v>
      </c>
      <c r="F2496" t="inlineStr">
        <is>
          <t>HALLANDS LÄN</t>
        </is>
      </c>
      <c r="G2496" t="inlineStr">
        <is>
          <t>HALMSTAD</t>
        </is>
      </c>
      <c r="I2496" t="n">
        <v>9.300000000000001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17450-2023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45036</v>
      </c>
      <c r="E2497" s="1" t="n">
        <v>46265</v>
      </c>
      <c r="F2497" t="inlineStr">
        <is>
          <t>HALLANDS LÄN</t>
        </is>
      </c>
      <c r="G2497" t="inlineStr">
        <is>
          <t>FALKENBERG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52469-2021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44466</v>
      </c>
      <c r="E2498" s="1" t="n">
        <v>46265</v>
      </c>
      <c r="F2498" t="inlineStr">
        <is>
          <t>HALLANDS LÄN</t>
        </is>
      </c>
      <c r="G2498" t="inlineStr">
        <is>
          <t>HALMSTAD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45916-2024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45580</v>
      </c>
      <c r="E2499" s="1" t="n">
        <v>46265</v>
      </c>
      <c r="F2499" t="inlineStr">
        <is>
          <t>HALLANDS LÄN</t>
        </is>
      </c>
      <c r="G2499" t="inlineStr">
        <is>
          <t>HYLTE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63793-2023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45278</v>
      </c>
      <c r="E2500" s="1" t="n">
        <v>46265</v>
      </c>
      <c r="F2500" t="inlineStr">
        <is>
          <t>HALLANDS LÄN</t>
        </is>
      </c>
      <c r="G2500" t="inlineStr">
        <is>
          <t>LAHOLM</t>
        </is>
      </c>
      <c r="I2500" t="n">
        <v>6.2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43402-2024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45568</v>
      </c>
      <c r="E2501" s="1" t="n">
        <v>46265</v>
      </c>
      <c r="F2501" t="inlineStr">
        <is>
          <t>HALLANDS LÄN</t>
        </is>
      </c>
      <c r="G2501" t="inlineStr">
        <is>
          <t>HYLTE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63486-2023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45274</v>
      </c>
      <c r="E2502" s="1" t="n">
        <v>46265</v>
      </c>
      <c r="F2502" t="inlineStr">
        <is>
          <t>HALLANDS LÄN</t>
        </is>
      </c>
      <c r="G2502" t="inlineStr">
        <is>
          <t>LAHOLM</t>
        </is>
      </c>
      <c r="I2502" t="n">
        <v>1.4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20353-2024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45435</v>
      </c>
      <c r="E2503" s="1" t="n">
        <v>46265</v>
      </c>
      <c r="F2503" t="inlineStr">
        <is>
          <t>HALLANDS LÄN</t>
        </is>
      </c>
      <c r="G2503" t="inlineStr">
        <is>
          <t>FALKENBERG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9798-2023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44984</v>
      </c>
      <c r="E2504" s="1" t="n">
        <v>46265</v>
      </c>
      <c r="F2504" t="inlineStr">
        <is>
          <t>HALLANDS LÄN</t>
        </is>
      </c>
      <c r="G2504" t="inlineStr">
        <is>
          <t>FALKENBERG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9519-2023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44981</v>
      </c>
      <c r="E2505" s="1" t="n">
        <v>46265</v>
      </c>
      <c r="F2505" t="inlineStr">
        <is>
          <t>HALLANDS LÄN</t>
        </is>
      </c>
      <c r="G2505" t="inlineStr">
        <is>
          <t>VARBERG</t>
        </is>
      </c>
      <c r="I2505" t="n">
        <v>1.4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6947-2023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44964</v>
      </c>
      <c r="E2506" s="1" t="n">
        <v>46265</v>
      </c>
      <c r="F2506" t="inlineStr">
        <is>
          <t>HALLANDS LÄN</t>
        </is>
      </c>
      <c r="G2506" t="inlineStr">
        <is>
          <t>HALMSTAD</t>
        </is>
      </c>
      <c r="H2506" t="inlineStr">
        <is>
          <t>Bergvik skog väst AB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6951-2023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44964</v>
      </c>
      <c r="E2507" s="1" t="n">
        <v>46265</v>
      </c>
      <c r="F2507" t="inlineStr">
        <is>
          <t>HALLANDS LÄN</t>
        </is>
      </c>
      <c r="G2507" t="inlineStr">
        <is>
          <t>HALMSTAD</t>
        </is>
      </c>
      <c r="H2507" t="inlineStr">
        <is>
          <t>Bergvik skog väst AB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2626-2023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44942</v>
      </c>
      <c r="E2508" s="1" t="n">
        <v>46265</v>
      </c>
      <c r="F2508" t="inlineStr">
        <is>
          <t>HALLANDS LÄN</t>
        </is>
      </c>
      <c r="G2508" t="inlineStr">
        <is>
          <t>LAHOLM</t>
        </is>
      </c>
      <c r="I2508" t="n">
        <v>2.1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48013-2025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45932</v>
      </c>
      <c r="E2509" s="1" t="n">
        <v>46265</v>
      </c>
      <c r="F2509" t="inlineStr">
        <is>
          <t>HALLANDS LÄN</t>
        </is>
      </c>
      <c r="G2509" t="inlineStr">
        <is>
          <t>VARBERG</t>
        </is>
      </c>
      <c r="I2509" t="n">
        <v>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20348-2024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45435</v>
      </c>
      <c r="E2510" s="1" t="n">
        <v>46265</v>
      </c>
      <c r="F2510" t="inlineStr">
        <is>
          <t>HALLANDS LÄN</t>
        </is>
      </c>
      <c r="G2510" t="inlineStr">
        <is>
          <t>FALKENBERG</t>
        </is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16646-2024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45408</v>
      </c>
      <c r="E2511" s="1" t="n">
        <v>46265</v>
      </c>
      <c r="F2511" t="inlineStr">
        <is>
          <t>HALLANDS LÄN</t>
        </is>
      </c>
      <c r="G2511" t="inlineStr">
        <is>
          <t>HALMSTAD</t>
        </is>
      </c>
      <c r="I2511" t="n">
        <v>5.8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45974-2021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44441</v>
      </c>
      <c r="E2512" s="1" t="n">
        <v>46265</v>
      </c>
      <c r="F2512" t="inlineStr">
        <is>
          <t>HALLANDS LÄN</t>
        </is>
      </c>
      <c r="G2512" t="inlineStr">
        <is>
          <t>VARBERG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10-2025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45658</v>
      </c>
      <c r="E2513" s="1" t="n">
        <v>46265</v>
      </c>
      <c r="F2513" t="inlineStr">
        <is>
          <t>HALLANDS LÄN</t>
        </is>
      </c>
      <c r="G2513" t="inlineStr">
        <is>
          <t>LAHOLM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50387-2023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45216</v>
      </c>
      <c r="E2514" s="1" t="n">
        <v>46265</v>
      </c>
      <c r="F2514" t="inlineStr">
        <is>
          <t>HALLANDS LÄN</t>
        </is>
      </c>
      <c r="G2514" t="inlineStr">
        <is>
          <t>HALMSTAD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17227-2023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45035</v>
      </c>
      <c r="E2515" s="1" t="n">
        <v>46265</v>
      </c>
      <c r="F2515" t="inlineStr">
        <is>
          <t>HALLANDS LÄN</t>
        </is>
      </c>
      <c r="G2515" t="inlineStr">
        <is>
          <t>LAHOLM</t>
        </is>
      </c>
      <c r="I2515" t="n">
        <v>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33494-2023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45131</v>
      </c>
      <c r="E2516" s="1" t="n">
        <v>46265</v>
      </c>
      <c r="F2516" t="inlineStr">
        <is>
          <t>HALLANDS LÄN</t>
        </is>
      </c>
      <c r="G2516" t="inlineStr">
        <is>
          <t>KUNGSBACKA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33496-2023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45131</v>
      </c>
      <c r="E2517" s="1" t="n">
        <v>46265</v>
      </c>
      <c r="F2517" t="inlineStr">
        <is>
          <t>HALLANDS LÄN</t>
        </is>
      </c>
      <c r="G2517" t="inlineStr">
        <is>
          <t>KUNGSBACKA</t>
        </is>
      </c>
      <c r="I2517" t="n">
        <v>0.4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46581-2024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45582</v>
      </c>
      <c r="E2518" s="1" t="n">
        <v>46265</v>
      </c>
      <c r="F2518" t="inlineStr">
        <is>
          <t>HALLANDS LÄN</t>
        </is>
      </c>
      <c r="G2518" t="inlineStr">
        <is>
          <t>VARBERG</t>
        </is>
      </c>
      <c r="I2518" t="n">
        <v>2.6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40601-2023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45168</v>
      </c>
      <c r="E2519" s="1" t="n">
        <v>46265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2552-2023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44943</v>
      </c>
      <c r="E2520" s="1" t="n">
        <v>46265</v>
      </c>
      <c r="F2520" t="inlineStr">
        <is>
          <t>HALLANDS LÄN</t>
        </is>
      </c>
      <c r="G2520" t="inlineStr">
        <is>
          <t>LAHOLM</t>
        </is>
      </c>
      <c r="H2520" t="inlineStr">
        <is>
          <t>Kommuner</t>
        </is>
      </c>
      <c r="I2520" t="n">
        <v>5.5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23455-2023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45076</v>
      </c>
      <c r="E2521" s="1" t="n">
        <v>46265</v>
      </c>
      <c r="F2521" t="inlineStr">
        <is>
          <t>HALLANDS LÄN</t>
        </is>
      </c>
      <c r="G2521" t="inlineStr">
        <is>
          <t>FALKENBERG</t>
        </is>
      </c>
      <c r="I2521" t="n">
        <v>1.2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23912-2022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44722</v>
      </c>
      <c r="E2522" s="1" t="n">
        <v>46265</v>
      </c>
      <c r="F2522" t="inlineStr">
        <is>
          <t>HALLANDS LÄN</t>
        </is>
      </c>
      <c r="G2522" t="inlineStr">
        <is>
          <t>VARBERG</t>
        </is>
      </c>
      <c r="I2522" t="n">
        <v>6.2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22656-2022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44714</v>
      </c>
      <c r="E2523" s="1" t="n">
        <v>46265</v>
      </c>
      <c r="F2523" t="inlineStr">
        <is>
          <t>HALLANDS LÄN</t>
        </is>
      </c>
      <c r="G2523" t="inlineStr">
        <is>
          <t>HYLTE</t>
        </is>
      </c>
      <c r="H2523" t="inlineStr">
        <is>
          <t>Bergvik skog väst AB</t>
        </is>
      </c>
      <c r="I2523" t="n">
        <v>5.5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38602-2022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44813</v>
      </c>
      <c r="E2524" s="1" t="n">
        <v>46265</v>
      </c>
      <c r="F2524" t="inlineStr">
        <is>
          <t>HALLANDS LÄN</t>
        </is>
      </c>
      <c r="G2524" t="inlineStr">
        <is>
          <t>HYLTE</t>
        </is>
      </c>
      <c r="I2524" t="n">
        <v>2.6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22419-2022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44713</v>
      </c>
      <c r="E2525" s="1" t="n">
        <v>46265</v>
      </c>
      <c r="F2525" t="inlineStr">
        <is>
          <t>HALLANDS LÄN</t>
        </is>
      </c>
      <c r="G2525" t="inlineStr">
        <is>
          <t>HALMSTAD</t>
        </is>
      </c>
      <c r="I2525" t="n">
        <v>2.2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38825-2023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45163</v>
      </c>
      <c r="E2526" s="1" t="n">
        <v>46265</v>
      </c>
      <c r="F2526" t="inlineStr">
        <is>
          <t>HALLANDS LÄN</t>
        </is>
      </c>
      <c r="G2526" t="inlineStr">
        <is>
          <t>HYLTE</t>
        </is>
      </c>
      <c r="I2526" t="n">
        <v>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46946-2022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44851</v>
      </c>
      <c r="E2527" s="1" t="n">
        <v>46265</v>
      </c>
      <c r="F2527" t="inlineStr">
        <is>
          <t>HALLANDS LÄN</t>
        </is>
      </c>
      <c r="G2527" t="inlineStr">
        <is>
          <t>HYLTE</t>
        </is>
      </c>
      <c r="I2527" t="n">
        <v>4.9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46948-2022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44851</v>
      </c>
      <c r="E2528" s="1" t="n">
        <v>46265</v>
      </c>
      <c r="F2528" t="inlineStr">
        <is>
          <t>HALLANDS LÄN</t>
        </is>
      </c>
      <c r="G2528" t="inlineStr">
        <is>
          <t>HYLTE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21190-2024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45440</v>
      </c>
      <c r="E2529" s="1" t="n">
        <v>46265</v>
      </c>
      <c r="F2529" t="inlineStr">
        <is>
          <t>HALLANDS LÄN</t>
        </is>
      </c>
      <c r="G2529" t="inlineStr">
        <is>
          <t>LAHOLM</t>
        </is>
      </c>
      <c r="I2529" t="n">
        <v>2.3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17379-2023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45035</v>
      </c>
      <c r="E2530" s="1" t="n">
        <v>46265</v>
      </c>
      <c r="F2530" t="inlineStr">
        <is>
          <t>HALLANDS LÄN</t>
        </is>
      </c>
      <c r="G2530" t="inlineStr">
        <is>
          <t>HYLTE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17401-2023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45035</v>
      </c>
      <c r="E2531" s="1" t="n">
        <v>46265</v>
      </c>
      <c r="F2531" t="inlineStr">
        <is>
          <t>HALLANDS LÄN</t>
        </is>
      </c>
      <c r="G2531" t="inlineStr">
        <is>
          <t>KUNGSBACKA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3463-2024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45320</v>
      </c>
      <c r="E2532" s="1" t="n">
        <v>46265</v>
      </c>
      <c r="F2532" t="inlineStr">
        <is>
          <t>HALLANDS LÄN</t>
        </is>
      </c>
      <c r="G2532" t="inlineStr">
        <is>
          <t>LAHOLM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40639-2023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45168</v>
      </c>
      <c r="E2533" s="1" t="n">
        <v>46265</v>
      </c>
      <c r="F2533" t="inlineStr">
        <is>
          <t>HALLANDS LÄN</t>
        </is>
      </c>
      <c r="G2533" t="inlineStr">
        <is>
          <t>HALMSTAD</t>
        </is>
      </c>
      <c r="H2533" t="inlineStr">
        <is>
          <t>Kommuner</t>
        </is>
      </c>
      <c r="I2533" t="n">
        <v>4.8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24481-2022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44726</v>
      </c>
      <c r="E2534" s="1" t="n">
        <v>46265</v>
      </c>
      <c r="F2534" t="inlineStr">
        <is>
          <t>HALLANDS LÄN</t>
        </is>
      </c>
      <c r="G2534" t="inlineStr">
        <is>
          <t>HYLTE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28855-2022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44749</v>
      </c>
      <c r="E2535" s="1" t="n">
        <v>46265</v>
      </c>
      <c r="F2535" t="inlineStr">
        <is>
          <t>HALLANDS LÄN</t>
        </is>
      </c>
      <c r="G2535" t="inlineStr">
        <is>
          <t>VARBERG</t>
        </is>
      </c>
      <c r="I2535" t="n">
        <v>2.3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10940-2022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44628</v>
      </c>
      <c r="E2536" s="1" t="n">
        <v>46265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47953-2024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46265</v>
      </c>
      <c r="F2537" t="inlineStr">
        <is>
          <t>HALLANDS LÄN</t>
        </is>
      </c>
      <c r="G2537" t="inlineStr">
        <is>
          <t>LAHOLM</t>
        </is>
      </c>
      <c r="I2537" t="n">
        <v>2.8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30797-2023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45112</v>
      </c>
      <c r="E2538" s="1" t="n">
        <v>46265</v>
      </c>
      <c r="F2538" t="inlineStr">
        <is>
          <t>HALLANDS LÄN</t>
        </is>
      </c>
      <c r="G2538" t="inlineStr">
        <is>
          <t>LAHOLM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30798-2023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45112</v>
      </c>
      <c r="E2539" s="1" t="n">
        <v>46265</v>
      </c>
      <c r="F2539" t="inlineStr">
        <is>
          <t>HALLANDS LÄN</t>
        </is>
      </c>
      <c r="G2539" t="inlineStr">
        <is>
          <t>LAHOLM</t>
        </is>
      </c>
      <c r="I2539" t="n">
        <v>0.5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15313-2023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45019</v>
      </c>
      <c r="E2540" s="1" t="n">
        <v>46265</v>
      </c>
      <c r="F2540" t="inlineStr">
        <is>
          <t>HALLANDS LÄN</t>
        </is>
      </c>
      <c r="G2540" t="inlineStr">
        <is>
          <t>HYLTE</t>
        </is>
      </c>
      <c r="I2540" t="n">
        <v>5.9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10263-2022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44622</v>
      </c>
      <c r="E2541" s="1" t="n">
        <v>46265</v>
      </c>
      <c r="F2541" t="inlineStr">
        <is>
          <t>HALLANDS LÄN</t>
        </is>
      </c>
      <c r="G2541" t="inlineStr">
        <is>
          <t>HALMSTAD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7934-2024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45350</v>
      </c>
      <c r="E2542" s="1" t="n">
        <v>46265</v>
      </c>
      <c r="F2542" t="inlineStr">
        <is>
          <t>HALLANDS LÄN</t>
        </is>
      </c>
      <c r="G2542" t="inlineStr">
        <is>
          <t>HYLTE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20038-2024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45434</v>
      </c>
      <c r="E2543" s="1" t="n">
        <v>46265</v>
      </c>
      <c r="F2543" t="inlineStr">
        <is>
          <t>HALLANDS LÄN</t>
        </is>
      </c>
      <c r="G2543" t="inlineStr">
        <is>
          <t>HYLTE</t>
        </is>
      </c>
      <c r="I2543" t="n">
        <v>7.5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9514-2023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44981</v>
      </c>
      <c r="E2544" s="1" t="n">
        <v>46265</v>
      </c>
      <c r="F2544" t="inlineStr">
        <is>
          <t>HALLANDS LÄN</t>
        </is>
      </c>
      <c r="G2544" t="inlineStr">
        <is>
          <t>VARBERG</t>
        </is>
      </c>
      <c r="I2544" t="n">
        <v>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53815-2021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44469</v>
      </c>
      <c r="E2545" s="1" t="n">
        <v>46265</v>
      </c>
      <c r="F2545" t="inlineStr">
        <is>
          <t>HALLANDS LÄN</t>
        </is>
      </c>
      <c r="G2545" t="inlineStr">
        <is>
          <t>HYLTE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60705-2024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45644</v>
      </c>
      <c r="E2546" s="1" t="n">
        <v>46265</v>
      </c>
      <c r="F2546" t="inlineStr">
        <is>
          <t>HALLANDS LÄN</t>
        </is>
      </c>
      <c r="G2546" t="inlineStr">
        <is>
          <t>LAHOLM</t>
        </is>
      </c>
      <c r="I2546" t="n">
        <v>5.6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64488-2021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44511</v>
      </c>
      <c r="E2547" s="1" t="n">
        <v>46265</v>
      </c>
      <c r="F2547" t="inlineStr">
        <is>
          <t>HALLANDS LÄN</t>
        </is>
      </c>
      <c r="G2547" t="inlineStr">
        <is>
          <t>VARBERG</t>
        </is>
      </c>
      <c r="I2547" t="n">
        <v>0.5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23242-2024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45453</v>
      </c>
      <c r="E2548" s="1" t="n">
        <v>46265</v>
      </c>
      <c r="F2548" t="inlineStr">
        <is>
          <t>HALLANDS LÄN</t>
        </is>
      </c>
      <c r="G2548" t="inlineStr">
        <is>
          <t>LAHOLM</t>
        </is>
      </c>
      <c r="H2548" t="inlineStr">
        <is>
          <t>Sveaskog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54008-2023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45231</v>
      </c>
      <c r="E2549" s="1" t="n">
        <v>46265</v>
      </c>
      <c r="F2549" t="inlineStr">
        <is>
          <t>HALLANDS LÄN</t>
        </is>
      </c>
      <c r="G2549" t="inlineStr">
        <is>
          <t>HALMSTAD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10821-2024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45369</v>
      </c>
      <c r="E2550" s="1" t="n">
        <v>46265</v>
      </c>
      <c r="F2550" t="inlineStr">
        <is>
          <t>HALLANDS LÄN</t>
        </is>
      </c>
      <c r="G2550" t="inlineStr">
        <is>
          <t>FALKENBERG</t>
        </is>
      </c>
      <c r="I2550" t="n">
        <v>2.4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38462-2024</t>
        </is>
      </c>
      <c r="B2551" t="inlineStr">
        <is>
          <t>avverkningsanmälan</t>
        </is>
      </c>
      <c r="C2551" t="inlineStr">
        <is>
          <t>Avverkning för annat ändamål</t>
        </is>
      </c>
      <c r="D2551" s="1" t="n">
        <v>45546</v>
      </c>
      <c r="E2551" s="1" t="n">
        <v>46265</v>
      </c>
      <c r="F2551" t="inlineStr">
        <is>
          <t>HALLANDS LÄN</t>
        </is>
      </c>
      <c r="G2551" t="inlineStr">
        <is>
          <t>FALKENBERG</t>
        </is>
      </c>
      <c r="H2551" t="inlineStr">
        <is>
          <t>Kyrkan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51316-2023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45219</v>
      </c>
      <c r="E2552" s="1" t="n">
        <v>46265</v>
      </c>
      <c r="F2552" t="inlineStr">
        <is>
          <t>HALLANDS LÄN</t>
        </is>
      </c>
      <c r="G2552" t="inlineStr">
        <is>
          <t>KUNGSBACKA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62170-2023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45267</v>
      </c>
      <c r="E2553" s="1" t="n">
        <v>46265</v>
      </c>
      <c r="F2553" t="inlineStr">
        <is>
          <t>HALLANDS LÄN</t>
        </is>
      </c>
      <c r="G2553" t="inlineStr">
        <is>
          <t>HALMSTAD</t>
        </is>
      </c>
      <c r="I2553" t="n">
        <v>1.1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57941-2022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44900</v>
      </c>
      <c r="E2554" s="1" t="n">
        <v>46265</v>
      </c>
      <c r="F2554" t="inlineStr">
        <is>
          <t>HALLANDS LÄN</t>
        </is>
      </c>
      <c r="G2554" t="inlineStr">
        <is>
          <t>HYLTE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8912-2024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45357</v>
      </c>
      <c r="E2555" s="1" t="n">
        <v>46265</v>
      </c>
      <c r="F2555" t="inlineStr">
        <is>
          <t>HALLANDS LÄN</t>
        </is>
      </c>
      <c r="G2555" t="inlineStr">
        <is>
          <t>HYLTE</t>
        </is>
      </c>
      <c r="I2555" t="n">
        <v>4.5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19393-2024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45429</v>
      </c>
      <c r="E2556" s="1" t="n">
        <v>46265</v>
      </c>
      <c r="F2556" t="inlineStr">
        <is>
          <t>HALLANDS LÄN</t>
        </is>
      </c>
      <c r="G2556" t="inlineStr">
        <is>
          <t>HYLTE</t>
        </is>
      </c>
      <c r="I2556" t="n">
        <v>4.2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47198-2022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44852</v>
      </c>
      <c r="E2557" s="1" t="n">
        <v>46265</v>
      </c>
      <c r="F2557" t="inlineStr">
        <is>
          <t>HALLANDS LÄN</t>
        </is>
      </c>
      <c r="G2557" t="inlineStr">
        <is>
          <t>HALMSTAD</t>
        </is>
      </c>
      <c r="I2557" t="n">
        <v>3.7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26496-2024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45469</v>
      </c>
      <c r="E2558" s="1" t="n">
        <v>46265</v>
      </c>
      <c r="F2558" t="inlineStr">
        <is>
          <t>HALLANDS LÄN</t>
        </is>
      </c>
      <c r="G2558" t="inlineStr">
        <is>
          <t>VARBERG</t>
        </is>
      </c>
      <c r="I2558" t="n">
        <v>0.4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13081-2025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45734</v>
      </c>
      <c r="E2559" s="1" t="n">
        <v>46265</v>
      </c>
      <c r="F2559" t="inlineStr">
        <is>
          <t>HALLANDS LÄN</t>
        </is>
      </c>
      <c r="G2559" t="inlineStr">
        <is>
          <t>VARBERG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4494-2024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45327</v>
      </c>
      <c r="E2560" s="1" t="n">
        <v>46265</v>
      </c>
      <c r="F2560" t="inlineStr">
        <is>
          <t>HALLANDS LÄN</t>
        </is>
      </c>
      <c r="G2560" t="inlineStr">
        <is>
          <t>LAHOLM</t>
        </is>
      </c>
      <c r="I2560" t="n">
        <v>0.8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37672-2022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44810</v>
      </c>
      <c r="E2561" s="1" t="n">
        <v>46265</v>
      </c>
      <c r="F2561" t="inlineStr">
        <is>
          <t>HALLANDS LÄN</t>
        </is>
      </c>
      <c r="G2561" t="inlineStr">
        <is>
          <t>LAHOLM</t>
        </is>
      </c>
      <c r="I2561" t="n">
        <v>2.7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20562-2023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45057</v>
      </c>
      <c r="E2562" s="1" t="n">
        <v>46265</v>
      </c>
      <c r="F2562" t="inlineStr">
        <is>
          <t>HALLANDS LÄN</t>
        </is>
      </c>
      <c r="G2562" t="inlineStr">
        <is>
          <t>LAHOLM</t>
        </is>
      </c>
      <c r="I2562" t="n">
        <v>2.5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59208-2023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45252</v>
      </c>
      <c r="E2563" s="1" t="n">
        <v>46265</v>
      </c>
      <c r="F2563" t="inlineStr">
        <is>
          <t>HALLANDS LÄN</t>
        </is>
      </c>
      <c r="G2563" t="inlineStr">
        <is>
          <t>FALKENBERG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50633-2024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45601</v>
      </c>
      <c r="E2564" s="1" t="n">
        <v>46265</v>
      </c>
      <c r="F2564" t="inlineStr">
        <is>
          <t>HALLANDS LÄN</t>
        </is>
      </c>
      <c r="G2564" t="inlineStr">
        <is>
          <t>FALKENBERG</t>
        </is>
      </c>
      <c r="I2564" t="n">
        <v>1.6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3447-2023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44949</v>
      </c>
      <c r="E2565" s="1" t="n">
        <v>46265</v>
      </c>
      <c r="F2565" t="inlineStr">
        <is>
          <t>HALLANDS LÄN</t>
        </is>
      </c>
      <c r="G2565" t="inlineStr">
        <is>
          <t>LAHOLM</t>
        </is>
      </c>
      <c r="I2565" t="n">
        <v>1.9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8230-2023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44974</v>
      </c>
      <c r="E2566" s="1" t="n">
        <v>46265</v>
      </c>
      <c r="F2566" t="inlineStr">
        <is>
          <t>HALLANDS LÄN</t>
        </is>
      </c>
      <c r="G2566" t="inlineStr">
        <is>
          <t>HALMSTAD</t>
        </is>
      </c>
      <c r="I2566" t="n">
        <v>0.6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4005-2024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45323</v>
      </c>
      <c r="E2567" s="1" t="n">
        <v>46265</v>
      </c>
      <c r="F2567" t="inlineStr">
        <is>
          <t>HALLANDS LÄN</t>
        </is>
      </c>
      <c r="G2567" t="inlineStr">
        <is>
          <t>HALMSTAD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4062-2024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45323</v>
      </c>
      <c r="E2568" s="1" t="n">
        <v>46265</v>
      </c>
      <c r="F2568" t="inlineStr">
        <is>
          <t>HALLANDS LÄN</t>
        </is>
      </c>
      <c r="G2568" t="inlineStr">
        <is>
          <t>FALKENBERG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56260-2024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45624</v>
      </c>
      <c r="E2569" s="1" t="n">
        <v>46265</v>
      </c>
      <c r="F2569" t="inlineStr">
        <is>
          <t>HALLANDS LÄN</t>
        </is>
      </c>
      <c r="G2569" t="inlineStr">
        <is>
          <t>FALKENBERG</t>
        </is>
      </c>
      <c r="I2569" t="n">
        <v>3.1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6833-2022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44602</v>
      </c>
      <c r="E2570" s="1" t="n">
        <v>46265</v>
      </c>
      <c r="F2570" t="inlineStr">
        <is>
          <t>HALLANDS LÄN</t>
        </is>
      </c>
      <c r="G2570" t="inlineStr">
        <is>
          <t>LAHOLM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15315-2022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44659</v>
      </c>
      <c r="E2571" s="1" t="n">
        <v>46265</v>
      </c>
      <c r="F2571" t="inlineStr">
        <is>
          <t>HALLANDS LÄN</t>
        </is>
      </c>
      <c r="G2571" t="inlineStr">
        <is>
          <t>VARBERG</t>
        </is>
      </c>
      <c r="I2571" t="n">
        <v>4.2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44441-2024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45574</v>
      </c>
      <c r="E2572" s="1" t="n">
        <v>46265</v>
      </c>
      <c r="F2572" t="inlineStr">
        <is>
          <t>HALLANDS LÄN</t>
        </is>
      </c>
      <c r="G2572" t="inlineStr">
        <is>
          <t>VARBERG</t>
        </is>
      </c>
      <c r="I2572" t="n">
        <v>2.1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14331-2022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44652</v>
      </c>
      <c r="E2573" s="1" t="n">
        <v>46265</v>
      </c>
      <c r="F2573" t="inlineStr">
        <is>
          <t>HALLANDS LÄN</t>
        </is>
      </c>
      <c r="G2573" t="inlineStr">
        <is>
          <t>FALKENBERG</t>
        </is>
      </c>
      <c r="I2573" t="n">
        <v>1.5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58080-2024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45632</v>
      </c>
      <c r="E2574" s="1" t="n">
        <v>46265</v>
      </c>
      <c r="F2574" t="inlineStr">
        <is>
          <t>HALLANDS LÄN</t>
        </is>
      </c>
      <c r="G2574" t="inlineStr">
        <is>
          <t>HALMSTAD</t>
        </is>
      </c>
      <c r="I2574" t="n">
        <v>1.9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20647-2023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45058</v>
      </c>
      <c r="E2575" s="1" t="n">
        <v>46265</v>
      </c>
      <c r="F2575" t="inlineStr">
        <is>
          <t>HALLANDS LÄN</t>
        </is>
      </c>
      <c r="G2575" t="inlineStr">
        <is>
          <t>VARBERG</t>
        </is>
      </c>
      <c r="I2575" t="n">
        <v>5.3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3739-2025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45681</v>
      </c>
      <c r="E2576" s="1" t="n">
        <v>46265</v>
      </c>
      <c r="F2576" t="inlineStr">
        <is>
          <t>HALLANDS LÄN</t>
        </is>
      </c>
      <c r="G2576" t="inlineStr">
        <is>
          <t>FALKENBERG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3838-2025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45682</v>
      </c>
      <c r="E2577" s="1" t="n">
        <v>46265</v>
      </c>
      <c r="F2577" t="inlineStr">
        <is>
          <t>HALLANDS LÄN</t>
        </is>
      </c>
      <c r="G2577" t="inlineStr">
        <is>
          <t>FALKENBERG</t>
        </is>
      </c>
      <c r="I2577" t="n">
        <v>2.7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3839-2025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45682</v>
      </c>
      <c r="E2578" s="1" t="n">
        <v>46265</v>
      </c>
      <c r="F2578" t="inlineStr">
        <is>
          <t>HALLANDS LÄN</t>
        </is>
      </c>
      <c r="G2578" t="inlineStr">
        <is>
          <t>FALKENBERG</t>
        </is>
      </c>
      <c r="I2578" t="n">
        <v>2.5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18329-2025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46265</v>
      </c>
      <c r="F2579" t="inlineStr">
        <is>
          <t>HALLANDS LÄN</t>
        </is>
      </c>
      <c r="G2579" t="inlineStr">
        <is>
          <t>VARBERG</t>
        </is>
      </c>
      <c r="I2579" t="n">
        <v>3.7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22146-2022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44712</v>
      </c>
      <c r="E2580" s="1" t="n">
        <v>46265</v>
      </c>
      <c r="F2580" t="inlineStr">
        <is>
          <t>HALLANDS LÄN</t>
        </is>
      </c>
      <c r="G2580" t="inlineStr">
        <is>
          <t>HALMSTAD</t>
        </is>
      </c>
      <c r="I2580" t="n">
        <v>5.4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57493-2023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45246</v>
      </c>
      <c r="E2581" s="1" t="n">
        <v>46265</v>
      </c>
      <c r="F2581" t="inlineStr">
        <is>
          <t>HALLANDS LÄN</t>
        </is>
      </c>
      <c r="G2581" t="inlineStr">
        <is>
          <t>FALKENBERG</t>
        </is>
      </c>
      <c r="I2581" t="n">
        <v>1.6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2379-2025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45673</v>
      </c>
      <c r="E2582" s="1" t="n">
        <v>46265</v>
      </c>
      <c r="F2582" t="inlineStr">
        <is>
          <t>HALLANDS LÄN</t>
        </is>
      </c>
      <c r="G2582" t="inlineStr">
        <is>
          <t>FALKENBERG</t>
        </is>
      </c>
      <c r="I2582" t="n">
        <v>1.1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13096-2023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45002</v>
      </c>
      <c r="E2583" s="1" t="n">
        <v>46265</v>
      </c>
      <c r="F2583" t="inlineStr">
        <is>
          <t>HALLANDS LÄN</t>
        </is>
      </c>
      <c r="G2583" t="inlineStr">
        <is>
          <t>HYLTE</t>
        </is>
      </c>
      <c r="I2583" t="n">
        <v>2.1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48406-2023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45205</v>
      </c>
      <c r="E2584" s="1" t="n">
        <v>46265</v>
      </c>
      <c r="F2584" t="inlineStr">
        <is>
          <t>HALLANDS LÄN</t>
        </is>
      </c>
      <c r="G2584" t="inlineStr">
        <is>
          <t>KUNGSBACKA</t>
        </is>
      </c>
      <c r="I2584" t="n">
        <v>1.4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19572-2023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45050</v>
      </c>
      <c r="E2585" s="1" t="n">
        <v>46265</v>
      </c>
      <c r="F2585" t="inlineStr">
        <is>
          <t>HALLANDS LÄN</t>
        </is>
      </c>
      <c r="G2585" t="inlineStr">
        <is>
          <t>HALMSTAD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45625-2025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45922</v>
      </c>
      <c r="E2586" s="1" t="n">
        <v>46265</v>
      </c>
      <c r="F2586" t="inlineStr">
        <is>
          <t>HALLANDS LÄN</t>
        </is>
      </c>
      <c r="G2586" t="inlineStr">
        <is>
          <t>KUNGSBACKA</t>
        </is>
      </c>
      <c r="I2586" t="n">
        <v>3.6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3727-2024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45321</v>
      </c>
      <c r="E2587" s="1" t="n">
        <v>46265</v>
      </c>
      <c r="F2587" t="inlineStr">
        <is>
          <t>HALLANDS LÄN</t>
        </is>
      </c>
      <c r="G2587" t="inlineStr">
        <is>
          <t>FALKENBERG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4119-2025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45684</v>
      </c>
      <c r="E2588" s="1" t="n">
        <v>46265</v>
      </c>
      <c r="F2588" t="inlineStr">
        <is>
          <t>HALLANDS LÄN</t>
        </is>
      </c>
      <c r="G2588" t="inlineStr">
        <is>
          <t>HYLTE</t>
        </is>
      </c>
      <c r="I2588" t="n">
        <v>2.5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71891-2021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44543</v>
      </c>
      <c r="E2589" s="1" t="n">
        <v>46265</v>
      </c>
      <c r="F2589" t="inlineStr">
        <is>
          <t>HALLANDS LÄN</t>
        </is>
      </c>
      <c r="G2589" t="inlineStr">
        <is>
          <t>KUNGSBACKA</t>
        </is>
      </c>
      <c r="I2589" t="n">
        <v>4.4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47478-2024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45587</v>
      </c>
      <c r="E2590" s="1" t="n">
        <v>46265</v>
      </c>
      <c r="F2590" t="inlineStr">
        <is>
          <t>HALLANDS LÄN</t>
        </is>
      </c>
      <c r="G2590" t="inlineStr">
        <is>
          <t>VARBERG</t>
        </is>
      </c>
      <c r="H2590" t="inlineStr">
        <is>
          <t>Kyrkan</t>
        </is>
      </c>
      <c r="I2590" t="n">
        <v>2.5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6677-2025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45700</v>
      </c>
      <c r="E2591" s="1" t="n">
        <v>46265</v>
      </c>
      <c r="F2591" t="inlineStr">
        <is>
          <t>HALLANDS LÄN</t>
        </is>
      </c>
      <c r="G2591" t="inlineStr">
        <is>
          <t>LAHOLM</t>
        </is>
      </c>
      <c r="I2591" t="n">
        <v>1.4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61259-2025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46000</v>
      </c>
      <c r="E2592" s="1" t="n">
        <v>46265</v>
      </c>
      <c r="F2592" t="inlineStr">
        <is>
          <t>HALLANDS LÄN</t>
        </is>
      </c>
      <c r="G2592" t="inlineStr">
        <is>
          <t>KUNGSBACKA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11490-2025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45726</v>
      </c>
      <c r="E2593" s="1" t="n">
        <v>46265</v>
      </c>
      <c r="F2593" t="inlineStr">
        <is>
          <t>HALLANDS LÄN</t>
        </is>
      </c>
      <c r="G2593" t="inlineStr">
        <is>
          <t>KUNGSBACKA</t>
        </is>
      </c>
      <c r="I2593" t="n">
        <v>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25830-2023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45090</v>
      </c>
      <c r="E2594" s="1" t="n">
        <v>46265</v>
      </c>
      <c r="F2594" t="inlineStr">
        <is>
          <t>HALLANDS LÄN</t>
        </is>
      </c>
      <c r="G2594" t="inlineStr">
        <is>
          <t>VARBERG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4985-2025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45691</v>
      </c>
      <c r="E2595" s="1" t="n">
        <v>46265</v>
      </c>
      <c r="F2595" t="inlineStr">
        <is>
          <t>HALLANDS LÄN</t>
        </is>
      </c>
      <c r="G2595" t="inlineStr">
        <is>
          <t>KUNGSBACKA</t>
        </is>
      </c>
      <c r="I2595" t="n">
        <v>1.4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30093-2023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45099</v>
      </c>
      <c r="E2596" s="1" t="n">
        <v>46265</v>
      </c>
      <c r="F2596" t="inlineStr">
        <is>
          <t>HALLANDS LÄN</t>
        </is>
      </c>
      <c r="G2596" t="inlineStr">
        <is>
          <t>HALMSTAD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6793-2024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45342</v>
      </c>
      <c r="E2597" s="1" t="n">
        <v>46265</v>
      </c>
      <c r="F2597" t="inlineStr">
        <is>
          <t>HALLANDS LÄN</t>
        </is>
      </c>
      <c r="G2597" t="inlineStr">
        <is>
          <t>HYLTE</t>
        </is>
      </c>
      <c r="H2597" t="inlineStr">
        <is>
          <t>Bergvik skog väst AB</t>
        </is>
      </c>
      <c r="I2597" t="n">
        <v>2.6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28491-2024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45477</v>
      </c>
      <c r="E2598" s="1" t="n">
        <v>46265</v>
      </c>
      <c r="F2598" t="inlineStr">
        <is>
          <t>HALLANDS LÄN</t>
        </is>
      </c>
      <c r="G2598" t="inlineStr">
        <is>
          <t>HYLTE</t>
        </is>
      </c>
      <c r="I2598" t="n">
        <v>2.7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8900-2024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45357</v>
      </c>
      <c r="E2599" s="1" t="n">
        <v>46265</v>
      </c>
      <c r="F2599" t="inlineStr">
        <is>
          <t>HALLANDS LÄN</t>
        </is>
      </c>
      <c r="G2599" t="inlineStr">
        <is>
          <t>FALKENBERG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11175-2024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45371</v>
      </c>
      <c r="E2600" s="1" t="n">
        <v>46265</v>
      </c>
      <c r="F2600" t="inlineStr">
        <is>
          <t>HALLANDS LÄN</t>
        </is>
      </c>
      <c r="G2600" t="inlineStr">
        <is>
          <t>HYLTE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11293-2024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45371</v>
      </c>
      <c r="E2601" s="1" t="n">
        <v>46265</v>
      </c>
      <c r="F2601" t="inlineStr">
        <is>
          <t>HALLANDS LÄN</t>
        </is>
      </c>
      <c r="G2601" t="inlineStr">
        <is>
          <t>KUNGSBACKA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11296-2024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45371</v>
      </c>
      <c r="E2602" s="1" t="n">
        <v>46265</v>
      </c>
      <c r="F2602" t="inlineStr">
        <is>
          <t>HALLANDS LÄN</t>
        </is>
      </c>
      <c r="G2602" t="inlineStr">
        <is>
          <t>KUNGSBACKA</t>
        </is>
      </c>
      <c r="I2602" t="n">
        <v>2.9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15074-2025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45743</v>
      </c>
      <c r="E2603" s="1" t="n">
        <v>46265</v>
      </c>
      <c r="F2603" t="inlineStr">
        <is>
          <t>HALLANDS LÄN</t>
        </is>
      </c>
      <c r="G2603" t="inlineStr">
        <is>
          <t>KUNGSBACKA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37448-2023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45156</v>
      </c>
      <c r="E2604" s="1" t="n">
        <v>46265</v>
      </c>
      <c r="F2604" t="inlineStr">
        <is>
          <t>HALLANDS LÄN</t>
        </is>
      </c>
      <c r="G2604" t="inlineStr">
        <is>
          <t>LAHOLM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33250-2023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45127</v>
      </c>
      <c r="E2605" s="1" t="n">
        <v>46265</v>
      </c>
      <c r="F2605" t="inlineStr">
        <is>
          <t>HALLANDS LÄN</t>
        </is>
      </c>
      <c r="G2605" t="inlineStr">
        <is>
          <t>FALKENBERG</t>
        </is>
      </c>
      <c r="H2605" t="inlineStr">
        <is>
          <t>Kommuner</t>
        </is>
      </c>
      <c r="I2605" t="n">
        <v>6.1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4225-2023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44953</v>
      </c>
      <c r="E2606" s="1" t="n">
        <v>46265</v>
      </c>
      <c r="F2606" t="inlineStr">
        <is>
          <t>HALLANDS LÄN</t>
        </is>
      </c>
      <c r="G2606" t="inlineStr">
        <is>
          <t>HYLTE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22035-2025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45785</v>
      </c>
      <c r="E2607" s="1" t="n">
        <v>46265</v>
      </c>
      <c r="F2607" t="inlineStr">
        <is>
          <t>HALLANDS LÄN</t>
        </is>
      </c>
      <c r="G2607" t="inlineStr">
        <is>
          <t>VARBERG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6942-2023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44964</v>
      </c>
      <c r="E2608" s="1" t="n">
        <v>46265</v>
      </c>
      <c r="F2608" t="inlineStr">
        <is>
          <t>HALLANDS LÄN</t>
        </is>
      </c>
      <c r="G2608" t="inlineStr">
        <is>
          <t>HALMSTAD</t>
        </is>
      </c>
      <c r="H2608" t="inlineStr">
        <is>
          <t>Bergvik skog väst AB</t>
        </is>
      </c>
      <c r="I2608" t="n">
        <v>2.2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9917-2023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44985</v>
      </c>
      <c r="E2609" s="1" t="n">
        <v>46265</v>
      </c>
      <c r="F2609" t="inlineStr">
        <is>
          <t>HALLANDS LÄN</t>
        </is>
      </c>
      <c r="G2609" t="inlineStr">
        <is>
          <t>FALKENBERG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46655-2023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45195</v>
      </c>
      <c r="E2610" s="1" t="n">
        <v>46265</v>
      </c>
      <c r="F2610" t="inlineStr">
        <is>
          <t>HALLANDS LÄN</t>
        </is>
      </c>
      <c r="G2610" t="inlineStr">
        <is>
          <t>LAHOLM</t>
        </is>
      </c>
      <c r="I2610" t="n">
        <v>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2550-2023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44943</v>
      </c>
      <c r="E2611" s="1" t="n">
        <v>46265</v>
      </c>
      <c r="F2611" t="inlineStr">
        <is>
          <t>HALLANDS LÄN</t>
        </is>
      </c>
      <c r="G2611" t="inlineStr">
        <is>
          <t>LAHOLM</t>
        </is>
      </c>
      <c r="H2611" t="inlineStr">
        <is>
          <t>Kommuner</t>
        </is>
      </c>
      <c r="I2611" t="n">
        <v>7.6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49126-2021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44453</v>
      </c>
      <c r="E2612" s="1" t="n">
        <v>46265</v>
      </c>
      <c r="F2612" t="inlineStr">
        <is>
          <t>HALLANDS LÄN</t>
        </is>
      </c>
      <c r="G2612" t="inlineStr">
        <is>
          <t>FALKENBERG</t>
        </is>
      </c>
      <c r="I2612" t="n">
        <v>2.9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23471-2025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45792</v>
      </c>
      <c r="E2613" s="1" t="n">
        <v>46265</v>
      </c>
      <c r="F2613" t="inlineStr">
        <is>
          <t>HALLANDS LÄN</t>
        </is>
      </c>
      <c r="G2613" t="inlineStr">
        <is>
          <t>VARBERG</t>
        </is>
      </c>
      <c r="I2613" t="n">
        <v>11.8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46913-2025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45929</v>
      </c>
      <c r="E2614" s="1" t="n">
        <v>46265</v>
      </c>
      <c r="F2614" t="inlineStr">
        <is>
          <t>HALLANDS LÄN</t>
        </is>
      </c>
      <c r="G2614" t="inlineStr">
        <is>
          <t>VARBERG</t>
        </is>
      </c>
      <c r="I2614" t="n">
        <v>1.2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54411-2024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45617</v>
      </c>
      <c r="E2615" s="1" t="n">
        <v>46265</v>
      </c>
      <c r="F2615" t="inlineStr">
        <is>
          <t>HALLANDS LÄN</t>
        </is>
      </c>
      <c r="G2615" t="inlineStr">
        <is>
          <t>HYLTE</t>
        </is>
      </c>
      <c r="I2615" t="n">
        <v>3.9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39074-2024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45548</v>
      </c>
      <c r="E2616" s="1" t="n">
        <v>46265</v>
      </c>
      <c r="F2616" t="inlineStr">
        <is>
          <t>HALLANDS LÄN</t>
        </is>
      </c>
      <c r="G2616" t="inlineStr">
        <is>
          <t>FALKENBERG</t>
        </is>
      </c>
      <c r="I2616" t="n">
        <v>3.4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1254-2024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45302</v>
      </c>
      <c r="E2617" s="1" t="n">
        <v>46265</v>
      </c>
      <c r="F2617" t="inlineStr">
        <is>
          <t>HALLANDS LÄN</t>
        </is>
      </c>
      <c r="G2617" t="inlineStr">
        <is>
          <t>VARBERG</t>
        </is>
      </c>
      <c r="I2617" t="n">
        <v>5.1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40561-2023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45168</v>
      </c>
      <c r="E2618" s="1" t="n">
        <v>46265</v>
      </c>
      <c r="F2618" t="inlineStr">
        <is>
          <t>HALLANDS LÄN</t>
        </is>
      </c>
      <c r="G2618" t="inlineStr">
        <is>
          <t>HALMSTAD</t>
        </is>
      </c>
      <c r="H2618" t="inlineStr">
        <is>
          <t>Kommuner</t>
        </is>
      </c>
      <c r="I2618" t="n">
        <v>2.4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40595-2023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45168</v>
      </c>
      <c r="E2619" s="1" t="n">
        <v>46265</v>
      </c>
      <c r="F2619" t="inlineStr">
        <is>
          <t>HALLANDS LÄN</t>
        </is>
      </c>
      <c r="G2619" t="inlineStr">
        <is>
          <t>HALMSTAD</t>
        </is>
      </c>
      <c r="H2619" t="inlineStr">
        <is>
          <t>Kommuner</t>
        </is>
      </c>
      <c r="I2619" t="n">
        <v>7.1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56066-2024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45624</v>
      </c>
      <c r="E2620" s="1" t="n">
        <v>46265</v>
      </c>
      <c r="F2620" t="inlineStr">
        <is>
          <t>HALLANDS LÄN</t>
        </is>
      </c>
      <c r="G2620" t="inlineStr">
        <is>
          <t>HYLTE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40348-2023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45169</v>
      </c>
      <c r="E2621" s="1" t="n">
        <v>46265</v>
      </c>
      <c r="F2621" t="inlineStr">
        <is>
          <t>HALLANDS LÄN</t>
        </is>
      </c>
      <c r="G2621" t="inlineStr">
        <is>
          <t>HYLTE</t>
        </is>
      </c>
      <c r="I2621" t="n">
        <v>3.1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53294-2023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45229</v>
      </c>
      <c r="E2622" s="1" t="n">
        <v>46265</v>
      </c>
      <c r="F2622" t="inlineStr">
        <is>
          <t>HALLANDS LÄN</t>
        </is>
      </c>
      <c r="G2622" t="inlineStr">
        <is>
          <t>HYLTE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18813-2023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45044</v>
      </c>
      <c r="E2623" s="1" t="n">
        <v>46265</v>
      </c>
      <c r="F2623" t="inlineStr">
        <is>
          <t>HALLANDS LÄN</t>
        </is>
      </c>
      <c r="G2623" t="inlineStr">
        <is>
          <t>FALKENBERG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12743-2022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44641</v>
      </c>
      <c r="E2624" s="1" t="n">
        <v>46265</v>
      </c>
      <c r="F2624" t="inlineStr">
        <is>
          <t>HALLANDS LÄN</t>
        </is>
      </c>
      <c r="G2624" t="inlineStr">
        <is>
          <t>VARBERG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11574-2022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44631</v>
      </c>
      <c r="E2625" s="1" t="n">
        <v>46265</v>
      </c>
      <c r="F2625" t="inlineStr">
        <is>
          <t>HALLANDS LÄN</t>
        </is>
      </c>
      <c r="G2625" t="inlineStr">
        <is>
          <t>FALKENBERG</t>
        </is>
      </c>
      <c r="I2625" t="n">
        <v>1.3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19598-2025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45770</v>
      </c>
      <c r="E2626" s="1" t="n">
        <v>46265</v>
      </c>
      <c r="F2626" t="inlineStr">
        <is>
          <t>HALLANDS LÄN</t>
        </is>
      </c>
      <c r="G2626" t="inlineStr">
        <is>
          <t>HYLTE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54802-2022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44883</v>
      </c>
      <c r="E2627" s="1" t="n">
        <v>46265</v>
      </c>
      <c r="F2627" t="inlineStr">
        <is>
          <t>HALLANDS LÄN</t>
        </is>
      </c>
      <c r="G2627" t="inlineStr">
        <is>
          <t>LAHOLM</t>
        </is>
      </c>
      <c r="H2627" t="inlineStr">
        <is>
          <t>Kommuner</t>
        </is>
      </c>
      <c r="I2627" t="n">
        <v>4.4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51002-2024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45603</v>
      </c>
      <c r="E2628" s="1" t="n">
        <v>46265</v>
      </c>
      <c r="F2628" t="inlineStr">
        <is>
          <t>HALLANDS LÄN</t>
        </is>
      </c>
      <c r="G2628" t="inlineStr">
        <is>
          <t>LAHOLM</t>
        </is>
      </c>
      <c r="I2628" t="n">
        <v>2.1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14843-2024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45398</v>
      </c>
      <c r="E2629" s="1" t="n">
        <v>46265</v>
      </c>
      <c r="F2629" t="inlineStr">
        <is>
          <t>HALLANDS LÄN</t>
        </is>
      </c>
      <c r="G2629" t="inlineStr">
        <is>
          <t>KUNGSBACKA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14846-2024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45398</v>
      </c>
      <c r="E2630" s="1" t="n">
        <v>46265</v>
      </c>
      <c r="F2630" t="inlineStr">
        <is>
          <t>HALLANDS LÄN</t>
        </is>
      </c>
      <c r="G2630" t="inlineStr">
        <is>
          <t>KUNGSBACKA</t>
        </is>
      </c>
      <c r="I2630" t="n">
        <v>0.9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2590-2025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45674</v>
      </c>
      <c r="E2631" s="1" t="n">
        <v>46265</v>
      </c>
      <c r="F2631" t="inlineStr">
        <is>
          <t>HALLANDS LÄN</t>
        </is>
      </c>
      <c r="G2631" t="inlineStr">
        <is>
          <t>HYLTE</t>
        </is>
      </c>
      <c r="I2631" t="n">
        <v>3.6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60021-2022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44909</v>
      </c>
      <c r="E2632" s="1" t="n">
        <v>46265</v>
      </c>
      <c r="F2632" t="inlineStr">
        <is>
          <t>HALLANDS LÄN</t>
        </is>
      </c>
      <c r="G2632" t="inlineStr">
        <is>
          <t>LAHOLM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615-2024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45299</v>
      </c>
      <c r="E2633" s="1" t="n">
        <v>46265</v>
      </c>
      <c r="F2633" t="inlineStr">
        <is>
          <t>HALLANDS LÄN</t>
        </is>
      </c>
      <c r="G2633" t="inlineStr">
        <is>
          <t>LAHOLM</t>
        </is>
      </c>
      <c r="I2633" t="n">
        <v>7.2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17381-2023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45035</v>
      </c>
      <c r="E2634" s="1" t="n">
        <v>46265</v>
      </c>
      <c r="F2634" t="inlineStr">
        <is>
          <t>HALLANDS LÄN</t>
        </is>
      </c>
      <c r="G2634" t="inlineStr">
        <is>
          <t>HYLTE</t>
        </is>
      </c>
      <c r="I2634" t="n">
        <v>1.8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28036-2023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45099</v>
      </c>
      <c r="E2635" s="1" t="n">
        <v>46265</v>
      </c>
      <c r="F2635" t="inlineStr">
        <is>
          <t>HALLANDS LÄN</t>
        </is>
      </c>
      <c r="G2635" t="inlineStr">
        <is>
          <t>KUNGSBACKA</t>
        </is>
      </c>
      <c r="I2635" t="n">
        <v>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18773-2022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44689</v>
      </c>
      <c r="E2636" s="1" t="n">
        <v>46265</v>
      </c>
      <c r="F2636" t="inlineStr">
        <is>
          <t>HALLANDS LÄN</t>
        </is>
      </c>
      <c r="G2636" t="inlineStr">
        <is>
          <t>FALKENBERG</t>
        </is>
      </c>
      <c r="I2636" t="n">
        <v>0.4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58746-2024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45635</v>
      </c>
      <c r="E2637" s="1" t="n">
        <v>46265</v>
      </c>
      <c r="F2637" t="inlineStr">
        <is>
          <t>HALLANDS LÄN</t>
        </is>
      </c>
      <c r="G2637" t="inlineStr">
        <is>
          <t>VARBERG</t>
        </is>
      </c>
      <c r="I2637" t="n">
        <v>8.1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40359-2023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45169</v>
      </c>
      <c r="E2638" s="1" t="n">
        <v>46265</v>
      </c>
      <c r="F2638" t="inlineStr">
        <is>
          <t>HALLANDS LÄN</t>
        </is>
      </c>
      <c r="G2638" t="inlineStr">
        <is>
          <t>HALMSTAD</t>
        </is>
      </c>
      <c r="I2638" t="n">
        <v>1.3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694-2025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45665</v>
      </c>
      <c r="E2639" s="1" t="n">
        <v>46265</v>
      </c>
      <c r="F2639" t="inlineStr">
        <is>
          <t>HALLANDS LÄN</t>
        </is>
      </c>
      <c r="G2639" t="inlineStr">
        <is>
          <t>VARBERG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56293-2023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45242</v>
      </c>
      <c r="E2640" s="1" t="n">
        <v>46265</v>
      </c>
      <c r="F2640" t="inlineStr">
        <is>
          <t>HALLANDS LÄN</t>
        </is>
      </c>
      <c r="G2640" t="inlineStr">
        <is>
          <t>KUNGSBACKA</t>
        </is>
      </c>
      <c r="I2640" t="n">
        <v>1.1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56294-2023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45242</v>
      </c>
      <c r="E2641" s="1" t="n">
        <v>46265</v>
      </c>
      <c r="F2641" t="inlineStr">
        <is>
          <t>HALLANDS LÄN</t>
        </is>
      </c>
      <c r="G2641" t="inlineStr">
        <is>
          <t>KUNGSBACKA</t>
        </is>
      </c>
      <c r="I2641" t="n">
        <v>0.7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11941-2022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44635</v>
      </c>
      <c r="E2642" s="1" t="n">
        <v>46265</v>
      </c>
      <c r="F2642" t="inlineStr">
        <is>
          <t>HALLANDS LÄN</t>
        </is>
      </c>
      <c r="G2642" t="inlineStr">
        <is>
          <t>HYLTE</t>
        </is>
      </c>
      <c r="H2642" t="inlineStr">
        <is>
          <t>Bergvik skog väst AB</t>
        </is>
      </c>
      <c r="I2642" t="n">
        <v>2.7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56028-2023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45240</v>
      </c>
      <c r="E2643" s="1" t="n">
        <v>46265</v>
      </c>
      <c r="F2643" t="inlineStr">
        <is>
          <t>HALLANDS LÄN</t>
        </is>
      </c>
      <c r="G2643" t="inlineStr">
        <is>
          <t>HALMSTAD</t>
        </is>
      </c>
      <c r="I2643" t="n">
        <v>1.7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40669-2023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45168</v>
      </c>
      <c r="E2644" s="1" t="n">
        <v>46265</v>
      </c>
      <c r="F2644" t="inlineStr">
        <is>
          <t>HALLANDS LÄN</t>
        </is>
      </c>
      <c r="G2644" t="inlineStr">
        <is>
          <t>HALMSTAD</t>
        </is>
      </c>
      <c r="H2644" t="inlineStr">
        <is>
          <t>Kommuner</t>
        </is>
      </c>
      <c r="I2644" t="n">
        <v>4.3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18710-2022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44687</v>
      </c>
      <c r="E2645" s="1" t="n">
        <v>46265</v>
      </c>
      <c r="F2645" t="inlineStr">
        <is>
          <t>HALLANDS LÄN</t>
        </is>
      </c>
      <c r="G2645" t="inlineStr">
        <is>
          <t>FALKENBERG</t>
        </is>
      </c>
      <c r="I2645" t="n">
        <v>5.5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62139-2024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45656</v>
      </c>
      <c r="E2646" s="1" t="n">
        <v>46265</v>
      </c>
      <c r="F2646" t="inlineStr">
        <is>
          <t>HALLANDS LÄN</t>
        </is>
      </c>
      <c r="G2646" t="inlineStr">
        <is>
          <t>KUNGSBACKA</t>
        </is>
      </c>
      <c r="I2646" t="n">
        <v>0.8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7203-2025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45702</v>
      </c>
      <c r="E2647" s="1" t="n">
        <v>46265</v>
      </c>
      <c r="F2647" t="inlineStr">
        <is>
          <t>HALLANDS LÄN</t>
        </is>
      </c>
      <c r="G2647" t="inlineStr">
        <is>
          <t>FALKENBERG</t>
        </is>
      </c>
      <c r="I2647" t="n">
        <v>2.7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6598-2025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45700</v>
      </c>
      <c r="E2648" s="1" t="n">
        <v>46265</v>
      </c>
      <c r="F2648" t="inlineStr">
        <is>
          <t>HALLANDS LÄN</t>
        </is>
      </c>
      <c r="G2648" t="inlineStr">
        <is>
          <t>HYLTE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64230-2023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45279</v>
      </c>
      <c r="E2649" s="1" t="n">
        <v>46265</v>
      </c>
      <c r="F2649" t="inlineStr">
        <is>
          <t>HALLANDS LÄN</t>
        </is>
      </c>
      <c r="G2649" t="inlineStr">
        <is>
          <t>HALMSTAD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15061-2025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45743</v>
      </c>
      <c r="E2650" s="1" t="n">
        <v>46265</v>
      </c>
      <c r="F2650" t="inlineStr">
        <is>
          <t>HALLANDS LÄN</t>
        </is>
      </c>
      <c r="G2650" t="inlineStr">
        <is>
          <t>KUNGSBACKA</t>
        </is>
      </c>
      <c r="I2650" t="n">
        <v>0.6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61868-2023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45266</v>
      </c>
      <c r="E2651" s="1" t="n">
        <v>46265</v>
      </c>
      <c r="F2651" t="inlineStr">
        <is>
          <t>HALLANDS LÄN</t>
        </is>
      </c>
      <c r="G2651" t="inlineStr">
        <is>
          <t>FALKENBERG</t>
        </is>
      </c>
      <c r="I2651" t="n">
        <v>1.6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52285-2023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45224</v>
      </c>
      <c r="E2652" s="1" t="n">
        <v>46265</v>
      </c>
      <c r="F2652" t="inlineStr">
        <is>
          <t>HALLANDS LÄN</t>
        </is>
      </c>
      <c r="G2652" t="inlineStr">
        <is>
          <t>VARBERG</t>
        </is>
      </c>
      <c r="I2652" t="n">
        <v>2.1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49505-2024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45596</v>
      </c>
      <c r="E2653" s="1" t="n">
        <v>46265</v>
      </c>
      <c r="F2653" t="inlineStr">
        <is>
          <t>HALLANDS LÄN</t>
        </is>
      </c>
      <c r="G2653" t="inlineStr">
        <is>
          <t>KUNGSBACKA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529-2025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45664</v>
      </c>
      <c r="E2654" s="1" t="n">
        <v>46265</v>
      </c>
      <c r="F2654" t="inlineStr">
        <is>
          <t>HALLANDS LÄN</t>
        </is>
      </c>
      <c r="G2654" t="inlineStr">
        <is>
          <t>FALKENBERG</t>
        </is>
      </c>
      <c r="I2654" t="n">
        <v>4.7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57433-2024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45629</v>
      </c>
      <c r="E2655" s="1" t="n">
        <v>46265</v>
      </c>
      <c r="F2655" t="inlineStr">
        <is>
          <t>HALLANDS LÄN</t>
        </is>
      </c>
      <c r="G2655" t="inlineStr">
        <is>
          <t>FALKENBERG</t>
        </is>
      </c>
      <c r="I2655" t="n">
        <v>0.5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37065-2024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45539</v>
      </c>
      <c r="E2656" s="1" t="n">
        <v>46265</v>
      </c>
      <c r="F2656" t="inlineStr">
        <is>
          <t>HALLANDS LÄN</t>
        </is>
      </c>
      <c r="G2656" t="inlineStr">
        <is>
          <t>VARBERG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24605-2023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45084</v>
      </c>
      <c r="E2657" s="1" t="n">
        <v>46265</v>
      </c>
      <c r="F2657" t="inlineStr">
        <is>
          <t>HALLANDS LÄN</t>
        </is>
      </c>
      <c r="G2657" t="inlineStr">
        <is>
          <t>HYLTE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53306-2023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45229</v>
      </c>
      <c r="E2658" s="1" t="n">
        <v>46265</v>
      </c>
      <c r="F2658" t="inlineStr">
        <is>
          <t>HALLANDS LÄN</t>
        </is>
      </c>
      <c r="G2658" t="inlineStr">
        <is>
          <t>HYLTE</t>
        </is>
      </c>
      <c r="I2658" t="n">
        <v>1.9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52975-2022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44875</v>
      </c>
      <c r="E2659" s="1" t="n">
        <v>46265</v>
      </c>
      <c r="F2659" t="inlineStr">
        <is>
          <t>HALLANDS LÄN</t>
        </is>
      </c>
      <c r="G2659" t="inlineStr">
        <is>
          <t>VARBERG</t>
        </is>
      </c>
      <c r="I2659" t="n">
        <v>4.2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52283-2023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45224</v>
      </c>
      <c r="E2660" s="1" t="n">
        <v>46265</v>
      </c>
      <c r="F2660" t="inlineStr">
        <is>
          <t>HALLANDS LÄN</t>
        </is>
      </c>
      <c r="G2660" t="inlineStr">
        <is>
          <t>VARBERG</t>
        </is>
      </c>
      <c r="I2660" t="n">
        <v>0.7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12803-2022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44642</v>
      </c>
      <c r="E2661" s="1" t="n">
        <v>46265</v>
      </c>
      <c r="F2661" t="inlineStr">
        <is>
          <t>HALLANDS LÄN</t>
        </is>
      </c>
      <c r="G2661" t="inlineStr">
        <is>
          <t>FALKENBERG</t>
        </is>
      </c>
      <c r="I2661" t="n">
        <v>1.7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58737-2023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45251</v>
      </c>
      <c r="E2662" s="1" t="n">
        <v>46265</v>
      </c>
      <c r="F2662" t="inlineStr">
        <is>
          <t>HALLANDS LÄN</t>
        </is>
      </c>
      <c r="G2662" t="inlineStr">
        <is>
          <t>HALMSTAD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4441-2025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45686</v>
      </c>
      <c r="E2663" s="1" t="n">
        <v>46265</v>
      </c>
      <c r="F2663" t="inlineStr">
        <is>
          <t>HALLANDS LÄN</t>
        </is>
      </c>
      <c r="G2663" t="inlineStr">
        <is>
          <t>FALKENBERG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14312-2022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44652</v>
      </c>
      <c r="E2664" s="1" t="n">
        <v>46265</v>
      </c>
      <c r="F2664" t="inlineStr">
        <is>
          <t>HALLANDS LÄN</t>
        </is>
      </c>
      <c r="G2664" t="inlineStr">
        <is>
          <t>VARBERG</t>
        </is>
      </c>
      <c r="I2664" t="n">
        <v>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46104-2023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45196</v>
      </c>
      <c r="E2665" s="1" t="n">
        <v>46265</v>
      </c>
      <c r="F2665" t="inlineStr">
        <is>
          <t>HALLANDS LÄN</t>
        </is>
      </c>
      <c r="G2665" t="inlineStr">
        <is>
          <t>HALMSTAD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39573-2024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45552</v>
      </c>
      <c r="E2666" s="1" t="n">
        <v>46265</v>
      </c>
      <c r="F2666" t="inlineStr">
        <is>
          <t>HALLANDS LÄN</t>
        </is>
      </c>
      <c r="G2666" t="inlineStr">
        <is>
          <t>FALKENBERG</t>
        </is>
      </c>
      <c r="I2666" t="n">
        <v>1.9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8058-2024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45351</v>
      </c>
      <c r="E2667" s="1" t="n">
        <v>46265</v>
      </c>
      <c r="F2667" t="inlineStr">
        <is>
          <t>HALLANDS LÄN</t>
        </is>
      </c>
      <c r="G2667" t="inlineStr">
        <is>
          <t>FALKENBERG</t>
        </is>
      </c>
      <c r="I2667" t="n">
        <v>3.8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58995-2023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45252</v>
      </c>
      <c r="E2668" s="1" t="n">
        <v>46265</v>
      </c>
      <c r="F2668" t="inlineStr">
        <is>
          <t>HALLANDS LÄN</t>
        </is>
      </c>
      <c r="G2668" t="inlineStr">
        <is>
          <t>HYLTE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44353-2023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45188</v>
      </c>
      <c r="E2669" s="1" t="n">
        <v>46265</v>
      </c>
      <c r="F2669" t="inlineStr">
        <is>
          <t>HALLANDS LÄN</t>
        </is>
      </c>
      <c r="G2669" t="inlineStr">
        <is>
          <t>KUNGSBACKA</t>
        </is>
      </c>
      <c r="I2669" t="n">
        <v>4.8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45914-2022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44846</v>
      </c>
      <c r="E2670" s="1" t="n">
        <v>46265</v>
      </c>
      <c r="F2670" t="inlineStr">
        <is>
          <t>HALLANDS LÄN</t>
        </is>
      </c>
      <c r="G2670" t="inlineStr">
        <is>
          <t>FALKENBERG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51134-2023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45219</v>
      </c>
      <c r="E2671" s="1" t="n">
        <v>46265</v>
      </c>
      <c r="F2671" t="inlineStr">
        <is>
          <t>HALLANDS LÄN</t>
        </is>
      </c>
      <c r="G2671" t="inlineStr">
        <is>
          <t>LAHOLM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29167-2022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44750</v>
      </c>
      <c r="E2672" s="1" t="n">
        <v>46265</v>
      </c>
      <c r="F2672" t="inlineStr">
        <is>
          <t>HALLANDS LÄN</t>
        </is>
      </c>
      <c r="G2672" t="inlineStr">
        <is>
          <t>HYLTE</t>
        </is>
      </c>
      <c r="I2672" t="n">
        <v>2.2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10508-2024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45368</v>
      </c>
      <c r="E2673" s="1" t="n">
        <v>46265</v>
      </c>
      <c r="F2673" t="inlineStr">
        <is>
          <t>HALLANDS LÄN</t>
        </is>
      </c>
      <c r="G2673" t="inlineStr">
        <is>
          <t>HYLTE</t>
        </is>
      </c>
      <c r="H2673" t="inlineStr">
        <is>
          <t>Kyrkan</t>
        </is>
      </c>
      <c r="I2673" t="n">
        <v>2.3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20903-2026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46142</v>
      </c>
      <c r="E2674" s="1" t="n">
        <v>46265</v>
      </c>
      <c r="F2674" t="inlineStr">
        <is>
          <t>HALLANDS LÄN</t>
        </is>
      </c>
      <c r="G2674" t="inlineStr">
        <is>
          <t>LAHOLM</t>
        </is>
      </c>
      <c r="I2674" t="n">
        <v>3.7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5886-2024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45335</v>
      </c>
      <c r="E2675" s="1" t="n">
        <v>46265</v>
      </c>
      <c r="F2675" t="inlineStr">
        <is>
          <t>HALLANDS LÄN</t>
        </is>
      </c>
      <c r="G2675" t="inlineStr">
        <is>
          <t>HALMSTAD</t>
        </is>
      </c>
      <c r="I2675" t="n">
        <v>2.4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4326-2024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45324</v>
      </c>
      <c r="E2676" s="1" t="n">
        <v>46265</v>
      </c>
      <c r="F2676" t="inlineStr">
        <is>
          <t>HALLANDS LÄN</t>
        </is>
      </c>
      <c r="G2676" t="inlineStr">
        <is>
          <t>FALKENBERG</t>
        </is>
      </c>
      <c r="I2676" t="n">
        <v>0.6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56496-2022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44893</v>
      </c>
      <c r="E2677" s="1" t="n">
        <v>46265</v>
      </c>
      <c r="F2677" t="inlineStr">
        <is>
          <t>HALLANDS LÄN</t>
        </is>
      </c>
      <c r="G2677" t="inlineStr">
        <is>
          <t>HYLTE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56656-2023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45243</v>
      </c>
      <c r="E2678" s="1" t="n">
        <v>46265</v>
      </c>
      <c r="F2678" t="inlineStr">
        <is>
          <t>HALLANDS LÄN</t>
        </is>
      </c>
      <c r="G2678" t="inlineStr">
        <is>
          <t>FALKENBERG</t>
        </is>
      </c>
      <c r="I2678" t="n">
        <v>5.1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18460-2025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45762</v>
      </c>
      <c r="E2679" s="1" t="n">
        <v>46265</v>
      </c>
      <c r="F2679" t="inlineStr">
        <is>
          <t>HALLANDS LÄN</t>
        </is>
      </c>
      <c r="G2679" t="inlineStr">
        <is>
          <t>VARBERG</t>
        </is>
      </c>
      <c r="I2679" t="n">
        <v>7.5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442-2025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45664</v>
      </c>
      <c r="E2680" s="1" t="n">
        <v>46265</v>
      </c>
      <c r="F2680" t="inlineStr">
        <is>
          <t>HALLANDS LÄN</t>
        </is>
      </c>
      <c r="G2680" t="inlineStr">
        <is>
          <t>LAHOLM</t>
        </is>
      </c>
      <c r="H2680" t="inlineStr">
        <is>
          <t>Sveaskog</t>
        </is>
      </c>
      <c r="I2680" t="n">
        <v>0.8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19375-2025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45769</v>
      </c>
      <c r="E2681" s="1" t="n">
        <v>46265</v>
      </c>
      <c r="F2681" t="inlineStr">
        <is>
          <t>HALLANDS LÄN</t>
        </is>
      </c>
      <c r="G2681" t="inlineStr">
        <is>
          <t>VARBERG</t>
        </is>
      </c>
      <c r="I2681" t="n">
        <v>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3147-2024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45316</v>
      </c>
      <c r="E2682" s="1" t="n">
        <v>46265</v>
      </c>
      <c r="F2682" t="inlineStr">
        <is>
          <t>HALLANDS LÄN</t>
        </is>
      </c>
      <c r="G2682" t="inlineStr">
        <is>
          <t>HALMSTAD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928-2025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45665</v>
      </c>
      <c r="E2683" s="1" t="n">
        <v>46265</v>
      </c>
      <c r="F2683" t="inlineStr">
        <is>
          <t>HALLANDS LÄN</t>
        </is>
      </c>
      <c r="G2683" t="inlineStr">
        <is>
          <t>VARBERG</t>
        </is>
      </c>
      <c r="I2683" t="n">
        <v>3.1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32402-2023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45120</v>
      </c>
      <c r="E2684" s="1" t="n">
        <v>46265</v>
      </c>
      <c r="F2684" t="inlineStr">
        <is>
          <t>HALLANDS LÄN</t>
        </is>
      </c>
      <c r="G2684" t="inlineStr">
        <is>
          <t>FALKENBERG</t>
        </is>
      </c>
      <c r="I2684" t="n">
        <v>5.5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48754-2023</t>
        </is>
      </c>
      <c r="B2685" t="inlineStr">
        <is>
          <t>avverkningsanmälan</t>
        </is>
      </c>
      <c r="C2685" t="inlineStr">
        <is>
          <t>Avverkning för annat ändamål</t>
        </is>
      </c>
      <c r="D2685" s="1" t="n">
        <v>45208</v>
      </c>
      <c r="E2685" s="1" t="n">
        <v>46265</v>
      </c>
      <c r="F2685" t="inlineStr">
        <is>
          <t>HALLANDS LÄN</t>
        </is>
      </c>
      <c r="G2685" t="inlineStr">
        <is>
          <t>KUNGSBACKA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42201-2024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45562</v>
      </c>
      <c r="E2686" s="1" t="n">
        <v>46265</v>
      </c>
      <c r="F2686" t="inlineStr">
        <is>
          <t>HALLANDS LÄN</t>
        </is>
      </c>
      <c r="G2686" t="inlineStr">
        <is>
          <t>HALMSTAD</t>
        </is>
      </c>
      <c r="I2686" t="n">
        <v>2.2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42204-2024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45562</v>
      </c>
      <c r="E2687" s="1" t="n">
        <v>46265</v>
      </c>
      <c r="F2687" t="inlineStr">
        <is>
          <t>HALLANDS LÄN</t>
        </is>
      </c>
      <c r="G2687" t="inlineStr">
        <is>
          <t>HALMSTAD</t>
        </is>
      </c>
      <c r="I2687" t="n">
        <v>1.5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27732-2023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45098</v>
      </c>
      <c r="E2688" s="1" t="n">
        <v>46265</v>
      </c>
      <c r="F2688" t="inlineStr">
        <is>
          <t>HALLANDS LÄN</t>
        </is>
      </c>
      <c r="G2688" t="inlineStr">
        <is>
          <t>LAHOLM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48022-2024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45589</v>
      </c>
      <c r="E2689" s="1" t="n">
        <v>46265</v>
      </c>
      <c r="F2689" t="inlineStr">
        <is>
          <t>HALLANDS LÄN</t>
        </is>
      </c>
      <c r="G2689" t="inlineStr">
        <is>
          <t>HALMSTAD</t>
        </is>
      </c>
      <c r="I2689" t="n">
        <v>3.3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37661-2024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45541</v>
      </c>
      <c r="E2690" s="1" t="n">
        <v>46265</v>
      </c>
      <c r="F2690" t="inlineStr">
        <is>
          <t>HALLANDS LÄN</t>
        </is>
      </c>
      <c r="G2690" t="inlineStr">
        <is>
          <t>HYLTE</t>
        </is>
      </c>
      <c r="I2690" t="n">
        <v>0.5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3003-2025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45678</v>
      </c>
      <c r="E2691" s="1" t="n">
        <v>46265</v>
      </c>
      <c r="F2691" t="inlineStr">
        <is>
          <t>HALLANDS LÄN</t>
        </is>
      </c>
      <c r="G2691" t="inlineStr">
        <is>
          <t>VARBERG</t>
        </is>
      </c>
      <c r="H2691" t="inlineStr">
        <is>
          <t>Kyrkan</t>
        </is>
      </c>
      <c r="I2691" t="n">
        <v>3.4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17745-2023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45037</v>
      </c>
      <c r="E2692" s="1" t="n">
        <v>46265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35041-2024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45527</v>
      </c>
      <c r="E2693" s="1" t="n">
        <v>46265</v>
      </c>
      <c r="F2693" t="inlineStr">
        <is>
          <t>HALLANDS LÄN</t>
        </is>
      </c>
      <c r="G2693" t="inlineStr">
        <is>
          <t>HYLTE</t>
        </is>
      </c>
      <c r="I2693" t="n">
        <v>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10252-2023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44986</v>
      </c>
      <c r="E2694" s="1" t="n">
        <v>46265</v>
      </c>
      <c r="F2694" t="inlineStr">
        <is>
          <t>HALLANDS LÄN</t>
        </is>
      </c>
      <c r="G2694" t="inlineStr">
        <is>
          <t>FALKENBERG</t>
        </is>
      </c>
      <c r="I2694" t="n">
        <v>4.1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3735-2025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45681</v>
      </c>
      <c r="E2695" s="1" t="n">
        <v>46265</v>
      </c>
      <c r="F2695" t="inlineStr">
        <is>
          <t>HALLANDS LÄN</t>
        </is>
      </c>
      <c r="G2695" t="inlineStr">
        <is>
          <t>FALKENBERG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967-2023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44935</v>
      </c>
      <c r="E2696" s="1" t="n">
        <v>46265</v>
      </c>
      <c r="F2696" t="inlineStr">
        <is>
          <t>HALLANDS LÄN</t>
        </is>
      </c>
      <c r="G2696" t="inlineStr">
        <is>
          <t>VARBERG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21723-2023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45065</v>
      </c>
      <c r="E2697" s="1" t="n">
        <v>46265</v>
      </c>
      <c r="F2697" t="inlineStr">
        <is>
          <t>HALLANDS LÄN</t>
        </is>
      </c>
      <c r="G2697" t="inlineStr">
        <is>
          <t>HALMSTAD</t>
        </is>
      </c>
      <c r="I2697" t="n">
        <v>4.4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20912-2026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46142</v>
      </c>
      <c r="E2698" s="1" t="n">
        <v>46265</v>
      </c>
      <c r="F2698" t="inlineStr">
        <is>
          <t>HALLANDS LÄN</t>
        </is>
      </c>
      <c r="G2698" t="inlineStr">
        <is>
          <t>FALKENBERG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50995-2024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45603</v>
      </c>
      <c r="E2699" s="1" t="n">
        <v>46265</v>
      </c>
      <c r="F2699" t="inlineStr">
        <is>
          <t>HALLANDS LÄN</t>
        </is>
      </c>
      <c r="G2699" t="inlineStr">
        <is>
          <t>LAHOLM</t>
        </is>
      </c>
      <c r="I2699" t="n">
        <v>4.2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55699-2023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45239</v>
      </c>
      <c r="E2700" s="1" t="n">
        <v>46265</v>
      </c>
      <c r="F2700" t="inlineStr">
        <is>
          <t>HALLANDS LÄN</t>
        </is>
      </c>
      <c r="G2700" t="inlineStr">
        <is>
          <t>LAHOLM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21284-2023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45062</v>
      </c>
      <c r="E2701" s="1" t="n">
        <v>46265</v>
      </c>
      <c r="F2701" t="inlineStr">
        <is>
          <t>HALLANDS LÄN</t>
        </is>
      </c>
      <c r="G2701" t="inlineStr">
        <is>
          <t>HYLTE</t>
        </is>
      </c>
      <c r="I2701" t="n">
        <v>0.5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1284-2024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45303</v>
      </c>
      <c r="E2702" s="1" t="n">
        <v>46265</v>
      </c>
      <c r="F2702" t="inlineStr">
        <is>
          <t>HALLANDS LÄN</t>
        </is>
      </c>
      <c r="G2702" t="inlineStr">
        <is>
          <t>LAHOLM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21008-2026</t>
        </is>
      </c>
      <c r="B2703" t="inlineStr">
        <is>
          <t>avverkningsanmälan</t>
        </is>
      </c>
      <c r="C2703" t="inlineStr">
        <is>
          <t>Avverkning för att bevara och utveckla /försöksver</t>
        </is>
      </c>
      <c r="D2703" s="1" t="n">
        <v>46142</v>
      </c>
      <c r="E2703" s="1" t="n">
        <v>46265</v>
      </c>
      <c r="F2703" t="inlineStr">
        <is>
          <t>HALLANDS LÄN</t>
        </is>
      </c>
      <c r="G2703" t="inlineStr">
        <is>
          <t>FALKENBERG</t>
        </is>
      </c>
      <c r="I2703" t="n">
        <v>6.1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20702-2024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45436</v>
      </c>
      <c r="E2704" s="1" t="n">
        <v>46265</v>
      </c>
      <c r="F2704" t="inlineStr">
        <is>
          <t>HALLANDS LÄN</t>
        </is>
      </c>
      <c r="G2704" t="inlineStr">
        <is>
          <t>VARBERG</t>
        </is>
      </c>
      <c r="H2704" t="inlineStr">
        <is>
          <t>Kyrkan</t>
        </is>
      </c>
      <c r="I2704" t="n">
        <v>1.3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5795-2023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44963</v>
      </c>
      <c r="E2705" s="1" t="n">
        <v>46265</v>
      </c>
      <c r="F2705" t="inlineStr">
        <is>
          <t>HALLANDS LÄN</t>
        </is>
      </c>
      <c r="G2705" t="inlineStr">
        <is>
          <t>FALKENBERG</t>
        </is>
      </c>
      <c r="I2705" t="n">
        <v>0.3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5796-2023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44963</v>
      </c>
      <c r="E2706" s="1" t="n">
        <v>46265</v>
      </c>
      <c r="F2706" t="inlineStr">
        <is>
          <t>HALLANDS LÄN</t>
        </is>
      </c>
      <c r="G2706" t="inlineStr">
        <is>
          <t>FALKENBERG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13600-2025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45736</v>
      </c>
      <c r="E2707" s="1" t="n">
        <v>46265</v>
      </c>
      <c r="F2707" t="inlineStr">
        <is>
          <t>HALLANDS LÄN</t>
        </is>
      </c>
      <c r="G2707" t="inlineStr">
        <is>
          <t>VARBERG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58939-2022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44903</v>
      </c>
      <c r="E2708" s="1" t="n">
        <v>46265</v>
      </c>
      <c r="F2708" t="inlineStr">
        <is>
          <t>HALLANDS LÄN</t>
        </is>
      </c>
      <c r="G2708" t="inlineStr">
        <is>
          <t>FALKENBERG</t>
        </is>
      </c>
      <c r="I2708" t="n">
        <v>1.6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37971-2022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44811</v>
      </c>
      <c r="E2709" s="1" t="n">
        <v>46265</v>
      </c>
      <c r="F2709" t="inlineStr">
        <is>
          <t>HALLANDS LÄN</t>
        </is>
      </c>
      <c r="G2709" t="inlineStr">
        <is>
          <t>VARBERG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31884-2022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44777</v>
      </c>
      <c r="E2710" s="1" t="n">
        <v>46265</v>
      </c>
      <c r="F2710" t="inlineStr">
        <is>
          <t>HALLANDS LÄN</t>
        </is>
      </c>
      <c r="G2710" t="inlineStr">
        <is>
          <t>KUNGSBACKA</t>
        </is>
      </c>
      <c r="I2710" t="n">
        <v>1.3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21501-2026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46148</v>
      </c>
      <c r="E2711" s="1" t="n">
        <v>46265</v>
      </c>
      <c r="F2711" t="inlineStr">
        <is>
          <t>HALLANDS LÄN</t>
        </is>
      </c>
      <c r="G2711" t="inlineStr">
        <is>
          <t>HYLTE</t>
        </is>
      </c>
      <c r="I2711" t="n">
        <v>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17906-2023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45040</v>
      </c>
      <c r="E2712" s="1" t="n">
        <v>46265</v>
      </c>
      <c r="F2712" t="inlineStr">
        <is>
          <t>HALLANDS LÄN</t>
        </is>
      </c>
      <c r="G2712" t="inlineStr">
        <is>
          <t>LAHOLM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51391-2023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45219</v>
      </c>
      <c r="E2713" s="1" t="n">
        <v>46265</v>
      </c>
      <c r="F2713" t="inlineStr">
        <is>
          <t>HALLANDS LÄN</t>
        </is>
      </c>
      <c r="G2713" t="inlineStr">
        <is>
          <t>FALKENBERG</t>
        </is>
      </c>
      <c r="I2713" t="n">
        <v>3.1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11178-2024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45371</v>
      </c>
      <c r="E2714" s="1" t="n">
        <v>46265</v>
      </c>
      <c r="F2714" t="inlineStr">
        <is>
          <t>HALLANDS LÄN</t>
        </is>
      </c>
      <c r="G2714" t="inlineStr">
        <is>
          <t>HYLTE</t>
        </is>
      </c>
      <c r="I2714" t="n">
        <v>1.1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24103-2023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45079</v>
      </c>
      <c r="E2715" s="1" t="n">
        <v>46265</v>
      </c>
      <c r="F2715" t="inlineStr">
        <is>
          <t>HALLANDS LÄN</t>
        </is>
      </c>
      <c r="G2715" t="inlineStr">
        <is>
          <t>HALMSTAD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54464-2024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45617</v>
      </c>
      <c r="E2716" s="1" t="n">
        <v>46265</v>
      </c>
      <c r="F2716" t="inlineStr">
        <is>
          <t>HALLANDS LÄN</t>
        </is>
      </c>
      <c r="G2716" t="inlineStr">
        <is>
          <t>LAHOLM</t>
        </is>
      </c>
      <c r="H2716" t="inlineStr">
        <is>
          <t>Sveaskog</t>
        </is>
      </c>
      <c r="I2716" t="n">
        <v>1.7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21756-2026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46149</v>
      </c>
      <c r="E2717" s="1" t="n">
        <v>46265</v>
      </c>
      <c r="F2717" t="inlineStr">
        <is>
          <t>HALLANDS LÄN</t>
        </is>
      </c>
      <c r="G2717" t="inlineStr">
        <is>
          <t>KUNGSBACKA</t>
        </is>
      </c>
      <c r="I2717" t="n">
        <v>1.6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51223-2022</t>
        </is>
      </c>
      <c r="B2718" t="inlineStr">
        <is>
          <t>avverkningsanmälan</t>
        </is>
      </c>
      <c r="C2718" t="inlineStr">
        <is>
          <t>Avverkning för annat ändamål</t>
        </is>
      </c>
      <c r="D2718" s="1" t="n">
        <v>44868</v>
      </c>
      <c r="E2718" s="1" t="n">
        <v>46265</v>
      </c>
      <c r="F2718" t="inlineStr">
        <is>
          <t>HALLANDS LÄN</t>
        </is>
      </c>
      <c r="G2718" t="inlineStr">
        <is>
          <t>HYLTE</t>
        </is>
      </c>
      <c r="I2718" t="n">
        <v>1.8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43681-2022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44837</v>
      </c>
      <c r="E2719" s="1" t="n">
        <v>46265</v>
      </c>
      <c r="F2719" t="inlineStr">
        <is>
          <t>HALLANDS LÄN</t>
        </is>
      </c>
      <c r="G2719" t="inlineStr">
        <is>
          <t>VARBERG</t>
        </is>
      </c>
      <c r="I2719" t="n">
        <v>3.8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40629-2023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45168</v>
      </c>
      <c r="E2720" s="1" t="n">
        <v>46265</v>
      </c>
      <c r="F2720" t="inlineStr">
        <is>
          <t>HALLANDS LÄN</t>
        </is>
      </c>
      <c r="G2720" t="inlineStr">
        <is>
          <t>HALMSTAD</t>
        </is>
      </c>
      <c r="H2720" t="inlineStr">
        <is>
          <t>Kommuner</t>
        </is>
      </c>
      <c r="I2720" t="n">
        <v>6.3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21945-2026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46151</v>
      </c>
      <c r="E2721" s="1" t="n">
        <v>46265</v>
      </c>
      <c r="F2721" t="inlineStr">
        <is>
          <t>HALLANDS LÄN</t>
        </is>
      </c>
      <c r="G2721" t="inlineStr">
        <is>
          <t>LAHOLM</t>
        </is>
      </c>
      <c r="I2721" t="n">
        <v>1.7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13946-2025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45737</v>
      </c>
      <c r="E2722" s="1" t="n">
        <v>46265</v>
      </c>
      <c r="F2722" t="inlineStr">
        <is>
          <t>HALLANDS LÄN</t>
        </is>
      </c>
      <c r="G2722" t="inlineStr">
        <is>
          <t>HYLTE</t>
        </is>
      </c>
      <c r="I2722" t="n">
        <v>1.6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8679-2025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45712</v>
      </c>
      <c r="E2723" s="1" t="n">
        <v>46265</v>
      </c>
      <c r="F2723" t="inlineStr">
        <is>
          <t>HALLANDS LÄN</t>
        </is>
      </c>
      <c r="G2723" t="inlineStr">
        <is>
          <t>HALMSTAD</t>
        </is>
      </c>
      <c r="I2723" t="n">
        <v>1.8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22160-2026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46153</v>
      </c>
      <c r="E2724" s="1" t="n">
        <v>46265</v>
      </c>
      <c r="F2724" t="inlineStr">
        <is>
          <t>HALLANDS LÄN</t>
        </is>
      </c>
      <c r="G2724" t="inlineStr">
        <is>
          <t>HYLTE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60017-2023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45258</v>
      </c>
      <c r="E2725" s="1" t="n">
        <v>46265</v>
      </c>
      <c r="F2725" t="inlineStr">
        <is>
          <t>HALLANDS LÄN</t>
        </is>
      </c>
      <c r="G2725" t="inlineStr">
        <is>
          <t>HYLTE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40741-2023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45170</v>
      </c>
      <c r="E2726" s="1" t="n">
        <v>46265</v>
      </c>
      <c r="F2726" t="inlineStr">
        <is>
          <t>HALLANDS LÄN</t>
        </is>
      </c>
      <c r="G2726" t="inlineStr">
        <is>
          <t>HALMSTAD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24227-2024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45457</v>
      </c>
      <c r="E2727" s="1" t="n">
        <v>46265</v>
      </c>
      <c r="F2727" t="inlineStr">
        <is>
          <t>HALLANDS LÄN</t>
        </is>
      </c>
      <c r="G2727" t="inlineStr">
        <is>
          <t>VARBERG</t>
        </is>
      </c>
      <c r="H2727" t="inlineStr">
        <is>
          <t>Kyrkan</t>
        </is>
      </c>
      <c r="I2727" t="n">
        <v>3.8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35506-2024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45531</v>
      </c>
      <c r="E2728" s="1" t="n">
        <v>46265</v>
      </c>
      <c r="F2728" t="inlineStr">
        <is>
          <t>HALLANDS LÄN</t>
        </is>
      </c>
      <c r="G2728" t="inlineStr">
        <is>
          <t>VARBERG</t>
        </is>
      </c>
      <c r="I2728" t="n">
        <v>3.4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30031-2024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45485</v>
      </c>
      <c r="E2729" s="1" t="n">
        <v>46265</v>
      </c>
      <c r="F2729" t="inlineStr">
        <is>
          <t>HALLANDS LÄN</t>
        </is>
      </c>
      <c r="G2729" t="inlineStr">
        <is>
          <t>HYLTE</t>
        </is>
      </c>
      <c r="I2729" t="n">
        <v>2.7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22173-2026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46153</v>
      </c>
      <c r="E2730" s="1" t="n">
        <v>46265</v>
      </c>
      <c r="F2730" t="inlineStr">
        <is>
          <t>HALLANDS LÄN</t>
        </is>
      </c>
      <c r="G2730" t="inlineStr">
        <is>
          <t>HYLTE</t>
        </is>
      </c>
      <c r="I2730" t="n">
        <v>2.3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22177-2026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46153</v>
      </c>
      <c r="E2731" s="1" t="n">
        <v>46265</v>
      </c>
      <c r="F2731" t="inlineStr">
        <is>
          <t>HALLANDS LÄN</t>
        </is>
      </c>
      <c r="G2731" t="inlineStr">
        <is>
          <t>HYLTE</t>
        </is>
      </c>
      <c r="I2731" t="n">
        <v>1.5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60032-2023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45258</v>
      </c>
      <c r="E2732" s="1" t="n">
        <v>46265</v>
      </c>
      <c r="F2732" t="inlineStr">
        <is>
          <t>HALLANDS LÄN</t>
        </is>
      </c>
      <c r="G2732" t="inlineStr">
        <is>
          <t>HALMSTAD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25067-2024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45462</v>
      </c>
      <c r="E2733" s="1" t="n">
        <v>46265</v>
      </c>
      <c r="F2733" t="inlineStr">
        <is>
          <t>HALLANDS LÄN</t>
        </is>
      </c>
      <c r="G2733" t="inlineStr">
        <is>
          <t>HYLTE</t>
        </is>
      </c>
      <c r="I2733" t="n">
        <v>1.9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66730-2021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44520</v>
      </c>
      <c r="E2734" s="1" t="n">
        <v>46265</v>
      </c>
      <c r="F2734" t="inlineStr">
        <is>
          <t>HALLANDS LÄN</t>
        </is>
      </c>
      <c r="G2734" t="inlineStr">
        <is>
          <t>HALMSTAD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4713-2023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44957</v>
      </c>
      <c r="E2735" s="1" t="n">
        <v>46265</v>
      </c>
      <c r="F2735" t="inlineStr">
        <is>
          <t>HALLANDS LÄN</t>
        </is>
      </c>
      <c r="G2735" t="inlineStr">
        <is>
          <t>FALKENBERG</t>
        </is>
      </c>
      <c r="I2735" t="n">
        <v>2.4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33450-2023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45130</v>
      </c>
      <c r="E2736" s="1" t="n">
        <v>46265</v>
      </c>
      <c r="F2736" t="inlineStr">
        <is>
          <t>HALLANDS LÄN</t>
        </is>
      </c>
      <c r="G2736" t="inlineStr">
        <is>
          <t>LAHOLM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10169-2024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45364</v>
      </c>
      <c r="E2737" s="1" t="n">
        <v>46265</v>
      </c>
      <c r="F2737" t="inlineStr">
        <is>
          <t>HALLANDS LÄN</t>
        </is>
      </c>
      <c r="G2737" t="inlineStr">
        <is>
          <t>VARBERG</t>
        </is>
      </c>
      <c r="I2737" t="n">
        <v>4.9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10170-2024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45364</v>
      </c>
      <c r="E2738" s="1" t="n">
        <v>46265</v>
      </c>
      <c r="F2738" t="inlineStr">
        <is>
          <t>HALLANDS LÄN</t>
        </is>
      </c>
      <c r="G2738" t="inlineStr">
        <is>
          <t>VARBERG</t>
        </is>
      </c>
      <c r="I2738" t="n">
        <v>2.6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3412-2025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45680</v>
      </c>
      <c r="E2739" s="1" t="n">
        <v>46265</v>
      </c>
      <c r="F2739" t="inlineStr">
        <is>
          <t>HALLANDS LÄN</t>
        </is>
      </c>
      <c r="G2739" t="inlineStr">
        <is>
          <t>HALMSTAD</t>
        </is>
      </c>
      <c r="I2739" t="n">
        <v>1.6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16430-2023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45029</v>
      </c>
      <c r="E2740" s="1" t="n">
        <v>46265</v>
      </c>
      <c r="F2740" t="inlineStr">
        <is>
          <t>HALLANDS LÄN</t>
        </is>
      </c>
      <c r="G2740" t="inlineStr">
        <is>
          <t>FALKENBERG</t>
        </is>
      </c>
      <c r="I2740" t="n">
        <v>1.5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22156-2026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46153</v>
      </c>
      <c r="E2741" s="1" t="n">
        <v>46265</v>
      </c>
      <c r="F2741" t="inlineStr">
        <is>
          <t>HALLANDS LÄN</t>
        </is>
      </c>
      <c r="G2741" t="inlineStr">
        <is>
          <t>HYLTE</t>
        </is>
      </c>
      <c r="I2741" t="n">
        <v>1.1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22181-2026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46153</v>
      </c>
      <c r="E2742" s="1" t="n">
        <v>46265</v>
      </c>
      <c r="F2742" t="inlineStr">
        <is>
          <t>HALLANDS LÄN</t>
        </is>
      </c>
      <c r="G2742" t="inlineStr">
        <is>
          <t>HALMSTAD</t>
        </is>
      </c>
      <c r="I2742" t="n">
        <v>0.9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11097-2023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44992</v>
      </c>
      <c r="E2743" s="1" t="n">
        <v>46265</v>
      </c>
      <c r="F2743" t="inlineStr">
        <is>
          <t>HALLANDS LÄN</t>
        </is>
      </c>
      <c r="G2743" t="inlineStr">
        <is>
          <t>KUNGSBACKA</t>
        </is>
      </c>
      <c r="I2743" t="n">
        <v>2.2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811-2024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45300</v>
      </c>
      <c r="E2744" s="1" t="n">
        <v>46265</v>
      </c>
      <c r="F2744" t="inlineStr">
        <is>
          <t>HALLANDS LÄN</t>
        </is>
      </c>
      <c r="G2744" t="inlineStr">
        <is>
          <t>VARBERG</t>
        </is>
      </c>
      <c r="I2744" t="n">
        <v>1.2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10244-2023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44986</v>
      </c>
      <c r="E2745" s="1" t="n">
        <v>46265</v>
      </c>
      <c r="F2745" t="inlineStr">
        <is>
          <t>HALLANDS LÄN</t>
        </is>
      </c>
      <c r="G2745" t="inlineStr">
        <is>
          <t>FALKENBERG</t>
        </is>
      </c>
      <c r="I2745" t="n">
        <v>2.8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8388-2025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45709</v>
      </c>
      <c r="E2746" s="1" t="n">
        <v>46265</v>
      </c>
      <c r="F2746" t="inlineStr">
        <is>
          <t>HALLANDS LÄN</t>
        </is>
      </c>
      <c r="G2746" t="inlineStr">
        <is>
          <t>HYLTE</t>
        </is>
      </c>
      <c r="I2746" t="n">
        <v>2.4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10700-2025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45722</v>
      </c>
      <c r="E2747" s="1" t="n">
        <v>46265</v>
      </c>
      <c r="F2747" t="inlineStr">
        <is>
          <t>HALLANDS LÄN</t>
        </is>
      </c>
      <c r="G2747" t="inlineStr">
        <is>
          <t>VARBERG</t>
        </is>
      </c>
      <c r="I2747" t="n">
        <v>4.1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12939-2023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45001</v>
      </c>
      <c r="E2748" s="1" t="n">
        <v>46265</v>
      </c>
      <c r="F2748" t="inlineStr">
        <is>
          <t>HALLANDS LÄN</t>
        </is>
      </c>
      <c r="G2748" t="inlineStr">
        <is>
          <t>FALKENBERG</t>
        </is>
      </c>
      <c r="I2748" t="n">
        <v>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41503-2024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45560</v>
      </c>
      <c r="E2749" s="1" t="n">
        <v>46265</v>
      </c>
      <c r="F2749" t="inlineStr">
        <is>
          <t>HALLANDS LÄN</t>
        </is>
      </c>
      <c r="G2749" t="inlineStr">
        <is>
          <t>HYLTE</t>
        </is>
      </c>
      <c r="I2749" t="n">
        <v>1.3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22158-2026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46153</v>
      </c>
      <c r="E2750" s="1" t="n">
        <v>46265</v>
      </c>
      <c r="F2750" t="inlineStr">
        <is>
          <t>HALLANDS LÄN</t>
        </is>
      </c>
      <c r="G2750" t="inlineStr">
        <is>
          <t>HYLTE</t>
        </is>
      </c>
      <c r="I2750" t="n">
        <v>0.7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14303-2025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45740</v>
      </c>
      <c r="E2751" s="1" t="n">
        <v>46265</v>
      </c>
      <c r="F2751" t="inlineStr">
        <is>
          <t>HALLANDS LÄN</t>
        </is>
      </c>
      <c r="G2751" t="inlineStr">
        <is>
          <t>VARBERG</t>
        </is>
      </c>
      <c r="I2751" t="n">
        <v>1.1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16045-2025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45749</v>
      </c>
      <c r="E2752" s="1" t="n">
        <v>46265</v>
      </c>
      <c r="F2752" t="inlineStr">
        <is>
          <t>HALLANDS LÄN</t>
        </is>
      </c>
      <c r="G2752" t="inlineStr">
        <is>
          <t>KUNGSBACKA</t>
        </is>
      </c>
      <c r="I2752" t="n">
        <v>0.7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358-2023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44929</v>
      </c>
      <c r="E2753" s="1" t="n">
        <v>46265</v>
      </c>
      <c r="F2753" t="inlineStr">
        <is>
          <t>HALLANDS LÄN</t>
        </is>
      </c>
      <c r="G2753" t="inlineStr">
        <is>
          <t>LAHOLM</t>
        </is>
      </c>
      <c r="I2753" t="n">
        <v>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22157-2026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46153</v>
      </c>
      <c r="E2754" s="1" t="n">
        <v>46265</v>
      </c>
      <c r="F2754" t="inlineStr">
        <is>
          <t>HALLANDS LÄN</t>
        </is>
      </c>
      <c r="G2754" t="inlineStr">
        <is>
          <t>HYLTE</t>
        </is>
      </c>
      <c r="I2754" t="n">
        <v>0.8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22164-2026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46153</v>
      </c>
      <c r="E2755" s="1" t="n">
        <v>46265</v>
      </c>
      <c r="F2755" t="inlineStr">
        <is>
          <t>HALLANDS LÄN</t>
        </is>
      </c>
      <c r="G2755" t="inlineStr">
        <is>
          <t>HYLTE</t>
        </is>
      </c>
      <c r="I2755" t="n">
        <v>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23151-2023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45075</v>
      </c>
      <c r="E2756" s="1" t="n">
        <v>46265</v>
      </c>
      <c r="F2756" t="inlineStr">
        <is>
          <t>HALLANDS LÄN</t>
        </is>
      </c>
      <c r="G2756" t="inlineStr">
        <is>
          <t>LAHOLM</t>
        </is>
      </c>
      <c r="H2756" t="inlineStr">
        <is>
          <t>Övriga Aktiebolag</t>
        </is>
      </c>
      <c r="I2756" t="n">
        <v>5.9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25537-2023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45089</v>
      </c>
      <c r="E2757" s="1" t="n">
        <v>46265</v>
      </c>
      <c r="F2757" t="inlineStr">
        <is>
          <t>HALLANDS LÄN</t>
        </is>
      </c>
      <c r="G2757" t="inlineStr">
        <is>
          <t>HYLTE</t>
        </is>
      </c>
      <c r="I2757" t="n">
        <v>5.7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920-2026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46030</v>
      </c>
      <c r="E2758" s="1" t="n">
        <v>46265</v>
      </c>
      <c r="F2758" t="inlineStr">
        <is>
          <t>HALLANDS LÄN</t>
        </is>
      </c>
      <c r="G2758" t="inlineStr">
        <is>
          <t>LAHOLM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61975-2024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45653</v>
      </c>
      <c r="E2759" s="1" t="n">
        <v>46265</v>
      </c>
      <c r="F2759" t="inlineStr">
        <is>
          <t>HALLANDS LÄN</t>
        </is>
      </c>
      <c r="G2759" t="inlineStr">
        <is>
          <t>KUNGSBACKA</t>
        </is>
      </c>
      <c r="I2759" t="n">
        <v>0.3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15198-2026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46105</v>
      </c>
      <c r="E2760" s="1" t="n">
        <v>46265</v>
      </c>
      <c r="F2760" t="inlineStr">
        <is>
          <t>HALLANDS LÄN</t>
        </is>
      </c>
      <c r="G2760" t="inlineStr">
        <is>
          <t>HALMSTAD</t>
        </is>
      </c>
      <c r="I2760" t="n">
        <v>6.3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61977-2024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45653</v>
      </c>
      <c r="E2761" s="1" t="n">
        <v>46265</v>
      </c>
      <c r="F2761" t="inlineStr">
        <is>
          <t>HALLANDS LÄN</t>
        </is>
      </c>
      <c r="G2761" t="inlineStr">
        <is>
          <t>KUNGSBACKA</t>
        </is>
      </c>
      <c r="I2761" t="n">
        <v>0.1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54125-2024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45616</v>
      </c>
      <c r="E2762" s="1" t="n">
        <v>46265</v>
      </c>
      <c r="F2762" t="inlineStr">
        <is>
          <t>HALLANDS LÄN</t>
        </is>
      </c>
      <c r="G2762" t="inlineStr">
        <is>
          <t>FALKENBERG</t>
        </is>
      </c>
      <c r="I2762" t="n">
        <v>6.3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1214-2025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45667</v>
      </c>
      <c r="E2763" s="1" t="n">
        <v>46265</v>
      </c>
      <c r="F2763" t="inlineStr">
        <is>
          <t>HALLANDS LÄN</t>
        </is>
      </c>
      <c r="G2763" t="inlineStr">
        <is>
          <t>FALKENBERG</t>
        </is>
      </c>
      <c r="I2763" t="n">
        <v>0.5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22470-2026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46155</v>
      </c>
      <c r="E2764" s="1" t="n">
        <v>46265</v>
      </c>
      <c r="F2764" t="inlineStr">
        <is>
          <t>HALLANDS LÄN</t>
        </is>
      </c>
      <c r="G2764" t="inlineStr">
        <is>
          <t>HYLTE</t>
        </is>
      </c>
      <c r="I2764" t="n">
        <v>2.4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12831-2025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45733</v>
      </c>
      <c r="E2765" s="1" t="n">
        <v>46265</v>
      </c>
      <c r="F2765" t="inlineStr">
        <is>
          <t>HALLANDS LÄN</t>
        </is>
      </c>
      <c r="G2765" t="inlineStr">
        <is>
          <t>KUNGSBACKA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4869-2024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45329</v>
      </c>
      <c r="E2766" s="1" t="n">
        <v>46265</v>
      </c>
      <c r="F2766" t="inlineStr">
        <is>
          <t>HALLANDS LÄN</t>
        </is>
      </c>
      <c r="G2766" t="inlineStr">
        <is>
          <t>HALMSTAD</t>
        </is>
      </c>
      <c r="I2766" t="n">
        <v>3.2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682-2024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45300</v>
      </c>
      <c r="E2767" s="1" t="n">
        <v>46265</v>
      </c>
      <c r="F2767" t="inlineStr">
        <is>
          <t>HALLANDS LÄN</t>
        </is>
      </c>
      <c r="G2767" t="inlineStr">
        <is>
          <t>HYLTE</t>
        </is>
      </c>
      <c r="I2767" t="n">
        <v>1.7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61903-2023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45264</v>
      </c>
      <c r="E2768" s="1" t="n">
        <v>46265</v>
      </c>
      <c r="F2768" t="inlineStr">
        <is>
          <t>HALLANDS LÄN</t>
        </is>
      </c>
      <c r="G2768" t="inlineStr">
        <is>
          <t>LAHOLM</t>
        </is>
      </c>
      <c r="I2768" t="n">
        <v>1.7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33247-2023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45127</v>
      </c>
      <c r="E2769" s="1" t="n">
        <v>46265</v>
      </c>
      <c r="F2769" t="inlineStr">
        <is>
          <t>HALLANDS LÄN</t>
        </is>
      </c>
      <c r="G2769" t="inlineStr">
        <is>
          <t>FALKENBERG</t>
        </is>
      </c>
      <c r="H2769" t="inlineStr">
        <is>
          <t>Kommuner</t>
        </is>
      </c>
      <c r="I2769" t="n">
        <v>3.2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37875-2025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45881</v>
      </c>
      <c r="E2770" s="1" t="n">
        <v>46265</v>
      </c>
      <c r="F2770" t="inlineStr">
        <is>
          <t>HALLANDS LÄN</t>
        </is>
      </c>
      <c r="G2770" t="inlineStr">
        <is>
          <t>VARBERG</t>
        </is>
      </c>
      <c r="I2770" t="n">
        <v>5.7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12960-2025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45734</v>
      </c>
      <c r="E2771" s="1" t="n">
        <v>46265</v>
      </c>
      <c r="F2771" t="inlineStr">
        <is>
          <t>HALLANDS LÄN</t>
        </is>
      </c>
      <c r="G2771" t="inlineStr">
        <is>
          <t>HALMSTAD</t>
        </is>
      </c>
      <c r="I2771" t="n">
        <v>2.3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58533-2024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45635</v>
      </c>
      <c r="E2772" s="1" t="n">
        <v>46265</v>
      </c>
      <c r="F2772" t="inlineStr">
        <is>
          <t>HALLANDS LÄN</t>
        </is>
      </c>
      <c r="G2772" t="inlineStr">
        <is>
          <t>FALKENBERG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13717-2025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45737</v>
      </c>
      <c r="E2773" s="1" t="n">
        <v>46265</v>
      </c>
      <c r="F2773" t="inlineStr">
        <is>
          <t>HALLANDS LÄN</t>
        </is>
      </c>
      <c r="G2773" t="inlineStr">
        <is>
          <t>VARBERG</t>
        </is>
      </c>
      <c r="I2773" t="n">
        <v>4.2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48200-2025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45933</v>
      </c>
      <c r="E2774" s="1" t="n">
        <v>46265</v>
      </c>
      <c r="F2774" t="inlineStr">
        <is>
          <t>HALLANDS LÄN</t>
        </is>
      </c>
      <c r="G2774" t="inlineStr">
        <is>
          <t>FALKENBERG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53478-2025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45959</v>
      </c>
      <c r="E2775" s="1" t="n">
        <v>46265</v>
      </c>
      <c r="F2775" t="inlineStr">
        <is>
          <t>HALLANDS LÄN</t>
        </is>
      </c>
      <c r="G2775" t="inlineStr">
        <is>
          <t>FALKENBERG</t>
        </is>
      </c>
      <c r="I2775" t="n">
        <v>1.2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53411-2025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45959</v>
      </c>
      <c r="E2776" s="1" t="n">
        <v>46265</v>
      </c>
      <c r="F2776" t="inlineStr">
        <is>
          <t>HALLANDS LÄN</t>
        </is>
      </c>
      <c r="G2776" t="inlineStr">
        <is>
          <t>FALKENBERG</t>
        </is>
      </c>
      <c r="I2776" t="n">
        <v>0.9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50130-2022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44865</v>
      </c>
      <c r="E2777" s="1" t="n">
        <v>46265</v>
      </c>
      <c r="F2777" t="inlineStr">
        <is>
          <t>HALLANDS LÄN</t>
        </is>
      </c>
      <c r="G2777" t="inlineStr">
        <is>
          <t>LAHOLM</t>
        </is>
      </c>
      <c r="H2777" t="inlineStr">
        <is>
          <t>Sveaskog</t>
        </is>
      </c>
      <c r="I2777" t="n">
        <v>0.9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9149-2024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45358</v>
      </c>
      <c r="E2778" s="1" t="n">
        <v>46265</v>
      </c>
      <c r="F2778" t="inlineStr">
        <is>
          <t>HALLANDS LÄN</t>
        </is>
      </c>
      <c r="G2778" t="inlineStr">
        <is>
          <t>HALMSTAD</t>
        </is>
      </c>
      <c r="I2778" t="n">
        <v>2.3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8298-2024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45352</v>
      </c>
      <c r="E2779" s="1" t="n">
        <v>46265</v>
      </c>
      <c r="F2779" t="inlineStr">
        <is>
          <t>HALLANDS LÄN</t>
        </is>
      </c>
      <c r="G2779" t="inlineStr">
        <is>
          <t>HYLTE</t>
        </is>
      </c>
      <c r="I2779" t="n">
        <v>4.6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28608-2023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45103</v>
      </c>
      <c r="E2780" s="1" t="n">
        <v>46265</v>
      </c>
      <c r="F2780" t="inlineStr">
        <is>
          <t>HALLANDS LÄN</t>
        </is>
      </c>
      <c r="G2780" t="inlineStr">
        <is>
          <t>KUNGSBACKA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54319-2024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45617</v>
      </c>
      <c r="E2781" s="1" t="n">
        <v>46265</v>
      </c>
      <c r="F2781" t="inlineStr">
        <is>
          <t>HALLANDS LÄN</t>
        </is>
      </c>
      <c r="G2781" t="inlineStr">
        <is>
          <t>KUNGSBACKA</t>
        </is>
      </c>
      <c r="I2781" t="n">
        <v>2.6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59348-2023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45253</v>
      </c>
      <c r="E2782" s="1" t="n">
        <v>46265</v>
      </c>
      <c r="F2782" t="inlineStr">
        <is>
          <t>HALLANDS LÄN</t>
        </is>
      </c>
      <c r="G2782" t="inlineStr">
        <is>
          <t>KUNGSBACKA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48446-2023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45206</v>
      </c>
      <c r="E2783" s="1" t="n">
        <v>46265</v>
      </c>
      <c r="F2783" t="inlineStr">
        <is>
          <t>HALLANDS LÄN</t>
        </is>
      </c>
      <c r="G2783" t="inlineStr">
        <is>
          <t>LAHOLM</t>
        </is>
      </c>
      <c r="I2783" t="n">
        <v>6.5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6647-2024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45341</v>
      </c>
      <c r="E2784" s="1" t="n">
        <v>46265</v>
      </c>
      <c r="F2784" t="inlineStr">
        <is>
          <t>HALLANDS LÄN</t>
        </is>
      </c>
      <c r="G2784" t="inlineStr">
        <is>
          <t>VARBERG</t>
        </is>
      </c>
      <c r="I2784" t="n">
        <v>3.6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15914-2025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45749</v>
      </c>
      <c r="E2785" s="1" t="n">
        <v>46265</v>
      </c>
      <c r="F2785" t="inlineStr">
        <is>
          <t>HALLANDS LÄN</t>
        </is>
      </c>
      <c r="G2785" t="inlineStr">
        <is>
          <t>VARBERG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9741-2025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45716</v>
      </c>
      <c r="E2786" s="1" t="n">
        <v>46265</v>
      </c>
      <c r="F2786" t="inlineStr">
        <is>
          <t>HALLANDS LÄN</t>
        </is>
      </c>
      <c r="G2786" t="inlineStr">
        <is>
          <t>VARBERG</t>
        </is>
      </c>
      <c r="I2786" t="n">
        <v>0.7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52852-2023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45226</v>
      </c>
      <c r="E2787" s="1" t="n">
        <v>46265</v>
      </c>
      <c r="F2787" t="inlineStr">
        <is>
          <t>HALLANDS LÄN</t>
        </is>
      </c>
      <c r="G2787" t="inlineStr">
        <is>
          <t>FALKENBERG</t>
        </is>
      </c>
      <c r="I2787" t="n">
        <v>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17476-2024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45415</v>
      </c>
      <c r="E2788" s="1" t="n">
        <v>46265</v>
      </c>
      <c r="F2788" t="inlineStr">
        <is>
          <t>HALLANDS LÄN</t>
        </is>
      </c>
      <c r="G2788" t="inlineStr">
        <is>
          <t>HALMSTAD</t>
        </is>
      </c>
      <c r="I2788" t="n">
        <v>1.9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12139-2024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45377</v>
      </c>
      <c r="E2789" s="1" t="n">
        <v>46265</v>
      </c>
      <c r="F2789" t="inlineStr">
        <is>
          <t>HALLANDS LÄN</t>
        </is>
      </c>
      <c r="G2789" t="inlineStr">
        <is>
          <t>HYLTE</t>
        </is>
      </c>
      <c r="H2789" t="inlineStr">
        <is>
          <t>Kyrkan</t>
        </is>
      </c>
      <c r="I2789" t="n">
        <v>1.3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61446-2024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45646</v>
      </c>
      <c r="E2790" s="1" t="n">
        <v>46265</v>
      </c>
      <c r="F2790" t="inlineStr">
        <is>
          <t>HALLANDS LÄN</t>
        </is>
      </c>
      <c r="G2790" t="inlineStr">
        <is>
          <t>KUNGSBACKA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3743-2025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45681</v>
      </c>
      <c r="E2791" s="1" t="n">
        <v>46265</v>
      </c>
      <c r="F2791" t="inlineStr">
        <is>
          <t>HALLANDS LÄN</t>
        </is>
      </c>
      <c r="G2791" t="inlineStr">
        <is>
          <t>FALKENBERG</t>
        </is>
      </c>
      <c r="I2791" t="n">
        <v>1.6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4145-2024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45323</v>
      </c>
      <c r="E2792" s="1" t="n">
        <v>46265</v>
      </c>
      <c r="F2792" t="inlineStr">
        <is>
          <t>HALLANDS LÄN</t>
        </is>
      </c>
      <c r="G2792" t="inlineStr">
        <is>
          <t>KUNGSBACKA</t>
        </is>
      </c>
      <c r="I2792" t="n">
        <v>2.2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16739-2025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45754</v>
      </c>
      <c r="E2793" s="1" t="n">
        <v>46265</v>
      </c>
      <c r="F2793" t="inlineStr">
        <is>
          <t>HALLANDS LÄN</t>
        </is>
      </c>
      <c r="G2793" t="inlineStr">
        <is>
          <t>VARBERG</t>
        </is>
      </c>
      <c r="I2793" t="n">
        <v>1.7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51901-2024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45607</v>
      </c>
      <c r="E2794" s="1" t="n">
        <v>46265</v>
      </c>
      <c r="F2794" t="inlineStr">
        <is>
          <t>HALLANDS LÄN</t>
        </is>
      </c>
      <c r="G2794" t="inlineStr">
        <is>
          <t>HALMSTAD</t>
        </is>
      </c>
      <c r="I2794" t="n">
        <v>2.6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44740-2023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45184</v>
      </c>
      <c r="E2795" s="1" t="n">
        <v>46265</v>
      </c>
      <c r="F2795" t="inlineStr">
        <is>
          <t>HALLANDS LÄN</t>
        </is>
      </c>
      <c r="G2795" t="inlineStr">
        <is>
          <t>VARBERG</t>
        </is>
      </c>
      <c r="I2795" t="n">
        <v>6.7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761-2024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45300</v>
      </c>
      <c r="E2796" s="1" t="n">
        <v>46265</v>
      </c>
      <c r="F2796" t="inlineStr">
        <is>
          <t>HALLANDS LÄN</t>
        </is>
      </c>
      <c r="G2796" t="inlineStr">
        <is>
          <t>FALKENBERG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7780-2024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45349</v>
      </c>
      <c r="E2797" s="1" t="n">
        <v>46265</v>
      </c>
      <c r="F2797" t="inlineStr">
        <is>
          <t>HALLANDS LÄN</t>
        </is>
      </c>
      <c r="G2797" t="inlineStr">
        <is>
          <t>LAHOLM</t>
        </is>
      </c>
      <c r="I2797" t="n">
        <v>2.5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2407-2024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45310</v>
      </c>
      <c r="E2798" s="1" t="n">
        <v>46265</v>
      </c>
      <c r="F2798" t="inlineStr">
        <is>
          <t>HALLANDS LÄN</t>
        </is>
      </c>
      <c r="G2798" t="inlineStr">
        <is>
          <t>VARBERG</t>
        </is>
      </c>
      <c r="I2798" t="n">
        <v>8.5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42657-2023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45176</v>
      </c>
      <c r="E2799" s="1" t="n">
        <v>46265</v>
      </c>
      <c r="F2799" t="inlineStr">
        <is>
          <t>HALLANDS LÄN</t>
        </is>
      </c>
      <c r="G2799" t="inlineStr">
        <is>
          <t>HYLTE</t>
        </is>
      </c>
      <c r="H2799" t="inlineStr">
        <is>
          <t>Kyrkan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10268-2022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44622</v>
      </c>
      <c r="E2800" s="1" t="n">
        <v>46265</v>
      </c>
      <c r="F2800" t="inlineStr">
        <is>
          <t>HALLANDS LÄN</t>
        </is>
      </c>
      <c r="G2800" t="inlineStr">
        <is>
          <t>FALKENBERG</t>
        </is>
      </c>
      <c r="I2800" t="n">
        <v>1.7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1294-2025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45667</v>
      </c>
      <c r="E2801" s="1" t="n">
        <v>46265</v>
      </c>
      <c r="F2801" t="inlineStr">
        <is>
          <t>HALLANDS LÄN</t>
        </is>
      </c>
      <c r="G2801" t="inlineStr">
        <is>
          <t>FALKENBERG</t>
        </is>
      </c>
      <c r="I2801" t="n">
        <v>4.3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15844-2024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45404</v>
      </c>
      <c r="E2802" s="1" t="n">
        <v>46265</v>
      </c>
      <c r="F2802" t="inlineStr">
        <is>
          <t>HALLANDS LÄN</t>
        </is>
      </c>
      <c r="G2802" t="inlineStr">
        <is>
          <t>VARBERG</t>
        </is>
      </c>
      <c r="I2802" t="n">
        <v>1.5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20781-2025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45776</v>
      </c>
      <c r="E2803" s="1" t="n">
        <v>46265</v>
      </c>
      <c r="F2803" t="inlineStr">
        <is>
          <t>HALLANDS LÄN</t>
        </is>
      </c>
      <c r="G2803" t="inlineStr">
        <is>
          <t>KUNGSBACKA</t>
        </is>
      </c>
      <c r="I2803" t="n">
        <v>5.7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59595-2024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45638</v>
      </c>
      <c r="E2804" s="1" t="n">
        <v>46265</v>
      </c>
      <c r="F2804" t="inlineStr">
        <is>
          <t>HALLANDS LÄN</t>
        </is>
      </c>
      <c r="G2804" t="inlineStr">
        <is>
          <t>HYLTE</t>
        </is>
      </c>
      <c r="I2804" t="n">
        <v>2.3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20907-2025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45777</v>
      </c>
      <c r="E2805" s="1" t="n">
        <v>46265</v>
      </c>
      <c r="F2805" t="inlineStr">
        <is>
          <t>HALLANDS LÄN</t>
        </is>
      </c>
      <c r="G2805" t="inlineStr">
        <is>
          <t>FALKENBERG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20881-2025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45777</v>
      </c>
      <c r="E2806" s="1" t="n">
        <v>46265</v>
      </c>
      <c r="F2806" t="inlineStr">
        <is>
          <t>HALLANDS LÄN</t>
        </is>
      </c>
      <c r="G2806" t="inlineStr">
        <is>
          <t>KUNGSBACKA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20883-2025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45777</v>
      </c>
      <c r="E2807" s="1" t="n">
        <v>46265</v>
      </c>
      <c r="F2807" t="inlineStr">
        <is>
          <t>HALLANDS LÄN</t>
        </is>
      </c>
      <c r="G2807" t="inlineStr">
        <is>
          <t>KUNGSBACKA</t>
        </is>
      </c>
      <c r="I2807" t="n">
        <v>1.9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44674-2025</t>
        </is>
      </c>
      <c r="B2808" t="inlineStr">
        <is>
          <t>avverkningsanmälan</t>
        </is>
      </c>
      <c r="C2808" t="inlineStr">
        <is>
          <t>Avverkning för att bevara och utveckla /försöksver</t>
        </is>
      </c>
      <c r="D2808" s="1" t="n">
        <v>45917</v>
      </c>
      <c r="E2808" s="1" t="n">
        <v>46265</v>
      </c>
      <c r="F2808" t="inlineStr">
        <is>
          <t>HALLANDS LÄN</t>
        </is>
      </c>
      <c r="G2808" t="inlineStr">
        <is>
          <t>KUNGSBACKA</t>
        </is>
      </c>
      <c r="I2808" t="n">
        <v>1.3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14487-2025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45741</v>
      </c>
      <c r="E2809" s="1" t="n">
        <v>46265</v>
      </c>
      <c r="F2809" t="inlineStr">
        <is>
          <t>HALLANDS LÄN</t>
        </is>
      </c>
      <c r="G2809" t="inlineStr">
        <is>
          <t>KUNGSBACKA</t>
        </is>
      </c>
      <c r="I2809" t="n">
        <v>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10693-2025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45722</v>
      </c>
      <c r="E2810" s="1" t="n">
        <v>46265</v>
      </c>
      <c r="F2810" t="inlineStr">
        <is>
          <t>HALLANDS LÄN</t>
        </is>
      </c>
      <c r="G2810" t="inlineStr">
        <is>
          <t>VARBERG</t>
        </is>
      </c>
      <c r="I2810" t="n">
        <v>2.8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23101-2026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46161</v>
      </c>
      <c r="E2811" s="1" t="n">
        <v>46265</v>
      </c>
      <c r="F2811" t="inlineStr">
        <is>
          <t>HALLANDS LÄN</t>
        </is>
      </c>
      <c r="G2811" t="inlineStr">
        <is>
          <t>HYLTE</t>
        </is>
      </c>
      <c r="H2811" t="inlineStr">
        <is>
          <t>Bergvik skog väst AB</t>
        </is>
      </c>
      <c r="I2811" t="n">
        <v>6.5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23111-2026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46161</v>
      </c>
      <c r="E2812" s="1" t="n">
        <v>46265</v>
      </c>
      <c r="F2812" t="inlineStr">
        <is>
          <t>HALLANDS LÄN</t>
        </is>
      </c>
      <c r="G2812" t="inlineStr">
        <is>
          <t>HYLTE</t>
        </is>
      </c>
      <c r="I2812" t="n">
        <v>0.4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23394-2026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46162</v>
      </c>
      <c r="E2813" s="1" t="n">
        <v>46265</v>
      </c>
      <c r="F2813" t="inlineStr">
        <is>
          <t>HALLANDS LÄN</t>
        </is>
      </c>
      <c r="G2813" t="inlineStr">
        <is>
          <t>FALKENBERG</t>
        </is>
      </c>
      <c r="I2813" t="n">
        <v>4.9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53532-2024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45614</v>
      </c>
      <c r="E2814" s="1" t="n">
        <v>46265</v>
      </c>
      <c r="F2814" t="inlineStr">
        <is>
          <t>HALLANDS LÄN</t>
        </is>
      </c>
      <c r="G2814" t="inlineStr">
        <is>
          <t>LAHOLM</t>
        </is>
      </c>
      <c r="I2814" t="n">
        <v>1.7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23299-2026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46162</v>
      </c>
      <c r="E2815" s="1" t="n">
        <v>46265</v>
      </c>
      <c r="F2815" t="inlineStr">
        <is>
          <t>HALLANDS LÄN</t>
        </is>
      </c>
      <c r="G2815" t="inlineStr">
        <is>
          <t>HALMSTAD</t>
        </is>
      </c>
      <c r="I2815" t="n">
        <v>1.1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48006-2025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45932</v>
      </c>
      <c r="E2816" s="1" t="n">
        <v>46265</v>
      </c>
      <c r="F2816" t="inlineStr">
        <is>
          <t>HALLANDS LÄN</t>
        </is>
      </c>
      <c r="G2816" t="inlineStr">
        <is>
          <t>VARBERG</t>
        </is>
      </c>
      <c r="I2816" t="n">
        <v>2.1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23167-2026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46161</v>
      </c>
      <c r="E2817" s="1" t="n">
        <v>46265</v>
      </c>
      <c r="F2817" t="inlineStr">
        <is>
          <t>HALLANDS LÄN</t>
        </is>
      </c>
      <c r="G2817" t="inlineStr">
        <is>
          <t>VARBERG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29142-2024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45482</v>
      </c>
      <c r="E2818" s="1" t="n">
        <v>46265</v>
      </c>
      <c r="F2818" t="inlineStr">
        <is>
          <t>HALLANDS LÄN</t>
        </is>
      </c>
      <c r="G2818" t="inlineStr">
        <is>
          <t>FALKENBERG</t>
        </is>
      </c>
      <c r="I2818" t="n">
        <v>3.9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23308-2026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46162</v>
      </c>
      <c r="E2819" s="1" t="n">
        <v>46265</v>
      </c>
      <c r="F2819" t="inlineStr">
        <is>
          <t>HALLANDS LÄN</t>
        </is>
      </c>
      <c r="G2819" t="inlineStr">
        <is>
          <t>HALMSTAD</t>
        </is>
      </c>
      <c r="I2819" t="n">
        <v>1.4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23031-2026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46161</v>
      </c>
      <c r="E2820" s="1" t="n">
        <v>46265</v>
      </c>
      <c r="F2820" t="inlineStr">
        <is>
          <t>HALLANDS LÄN</t>
        </is>
      </c>
      <c r="G2820" t="inlineStr">
        <is>
          <t>HYLTE</t>
        </is>
      </c>
      <c r="H2820" t="inlineStr">
        <is>
          <t>Bergvik skog väst AB</t>
        </is>
      </c>
      <c r="I2820" t="n">
        <v>4.5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23099-2026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46161</v>
      </c>
      <c r="E2821" s="1" t="n">
        <v>46265</v>
      </c>
      <c r="F2821" t="inlineStr">
        <is>
          <t>HALLANDS LÄN</t>
        </is>
      </c>
      <c r="G2821" t="inlineStr">
        <is>
          <t>HYLTE</t>
        </is>
      </c>
      <c r="H2821" t="inlineStr">
        <is>
          <t>Bergvik skog väst AB</t>
        </is>
      </c>
      <c r="I2821" t="n">
        <v>1.6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40974-2025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45897</v>
      </c>
      <c r="E2822" s="1" t="n">
        <v>46265</v>
      </c>
      <c r="F2822" t="inlineStr">
        <is>
          <t>HALLANDS LÄN</t>
        </is>
      </c>
      <c r="G2822" t="inlineStr">
        <is>
          <t>HALMSTAD</t>
        </is>
      </c>
      <c r="I2822" t="n">
        <v>2.1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4226-2025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45685</v>
      </c>
      <c r="E2823" s="1" t="n">
        <v>46265</v>
      </c>
      <c r="F2823" t="inlineStr">
        <is>
          <t>HALLANDS LÄN</t>
        </is>
      </c>
      <c r="G2823" t="inlineStr">
        <is>
          <t>LAHOLM</t>
        </is>
      </c>
      <c r="I2823" t="n">
        <v>4.5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23192-2026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46161</v>
      </c>
      <c r="E2824" s="1" t="n">
        <v>46265</v>
      </c>
      <c r="F2824" t="inlineStr">
        <is>
          <t>HALLANDS LÄN</t>
        </is>
      </c>
      <c r="G2824" t="inlineStr">
        <is>
          <t>VARBERG</t>
        </is>
      </c>
      <c r="I2824" t="n">
        <v>3.7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23315-2026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46162</v>
      </c>
      <c r="E2825" s="1" t="n">
        <v>46265</v>
      </c>
      <c r="F2825" t="inlineStr">
        <is>
          <t>HALLANDS LÄN</t>
        </is>
      </c>
      <c r="G2825" t="inlineStr">
        <is>
          <t>HALMSTAD</t>
        </is>
      </c>
      <c r="I2825" t="n">
        <v>2.2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23104-2026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46161</v>
      </c>
      <c r="E2826" s="1" t="n">
        <v>46265</v>
      </c>
      <c r="F2826" t="inlineStr">
        <is>
          <t>HALLANDS LÄN</t>
        </is>
      </c>
      <c r="G2826" t="inlineStr">
        <is>
          <t>HYLTE</t>
        </is>
      </c>
      <c r="I2826" t="n">
        <v>5.2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23105-2026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46161</v>
      </c>
      <c r="E2827" s="1" t="n">
        <v>46265</v>
      </c>
      <c r="F2827" t="inlineStr">
        <is>
          <t>HALLANDS LÄN</t>
        </is>
      </c>
      <c r="G2827" t="inlineStr">
        <is>
          <t>HYLTE</t>
        </is>
      </c>
      <c r="H2827" t="inlineStr">
        <is>
          <t>Bergvik skog väst AB</t>
        </is>
      </c>
      <c r="I2827" t="n">
        <v>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23165-2026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46161</v>
      </c>
      <c r="E2828" s="1" t="n">
        <v>46265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23666-2026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46164</v>
      </c>
      <c r="E2829" s="1" t="n">
        <v>46265</v>
      </c>
      <c r="F2829" t="inlineStr">
        <is>
          <t>HALLANDS LÄN</t>
        </is>
      </c>
      <c r="G2829" t="inlineStr">
        <is>
          <t>FALKENBERG</t>
        </is>
      </c>
      <c r="I2829" t="n">
        <v>5.9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23675-2026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46164</v>
      </c>
      <c r="E2830" s="1" t="n">
        <v>46265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23395-2026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46162</v>
      </c>
      <c r="E2831" s="1" t="n">
        <v>46265</v>
      </c>
      <c r="F2831" t="inlineStr">
        <is>
          <t>HALLANDS LÄN</t>
        </is>
      </c>
      <c r="G2831" t="inlineStr">
        <is>
          <t>FALKENBERG</t>
        </is>
      </c>
      <c r="I2831" t="n">
        <v>2.9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23312-2026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46162</v>
      </c>
      <c r="E2832" s="1" t="n">
        <v>46265</v>
      </c>
      <c r="F2832" t="inlineStr">
        <is>
          <t>HALLANDS LÄN</t>
        </is>
      </c>
      <c r="G2832" t="inlineStr">
        <is>
          <t>HALMSTAD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23695-2026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46164</v>
      </c>
      <c r="E2833" s="1" t="n">
        <v>46265</v>
      </c>
      <c r="F2833" t="inlineStr">
        <is>
          <t>HALLANDS LÄN</t>
        </is>
      </c>
      <c r="G2833" t="inlineStr">
        <is>
          <t>FALKENBERG</t>
        </is>
      </c>
      <c r="I2833" t="n">
        <v>8.199999999999999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23641-2026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46164</v>
      </c>
      <c r="E2834" s="1" t="n">
        <v>46265</v>
      </c>
      <c r="F2834" t="inlineStr">
        <is>
          <t>HALLANDS LÄN</t>
        </is>
      </c>
      <c r="G2834" t="inlineStr">
        <is>
          <t>VARBERG</t>
        </is>
      </c>
      <c r="I2834" t="n">
        <v>0.5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23705-2026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46164</v>
      </c>
      <c r="E2835" s="1" t="n">
        <v>46265</v>
      </c>
      <c r="F2835" t="inlineStr">
        <is>
          <t>HALLANDS LÄN</t>
        </is>
      </c>
      <c r="G2835" t="inlineStr">
        <is>
          <t>FALKENBERG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23640-2026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46164</v>
      </c>
      <c r="E2836" s="1" t="n">
        <v>46265</v>
      </c>
      <c r="F2836" t="inlineStr">
        <is>
          <t>HALLANDS LÄN</t>
        </is>
      </c>
      <c r="G2836" t="inlineStr">
        <is>
          <t>VARBERG</t>
        </is>
      </c>
      <c r="I2836" t="n">
        <v>1.2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23708-2026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46164</v>
      </c>
      <c r="E2837" s="1" t="n">
        <v>46265</v>
      </c>
      <c r="F2837" t="inlineStr">
        <is>
          <t>HALLANDS LÄN</t>
        </is>
      </c>
      <c r="G2837" t="inlineStr">
        <is>
          <t>FALKENBERG</t>
        </is>
      </c>
      <c r="I2837" t="n">
        <v>0.5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24168-2026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46168</v>
      </c>
      <c r="E2838" s="1" t="n">
        <v>46265</v>
      </c>
      <c r="F2838" t="inlineStr">
        <is>
          <t>HALLANDS LÄN</t>
        </is>
      </c>
      <c r="G2838" t="inlineStr">
        <is>
          <t>HALMSTAD</t>
        </is>
      </c>
      <c r="I2838" t="n">
        <v>1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37995-2025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45881</v>
      </c>
      <c r="E2839" s="1" t="n">
        <v>46265</v>
      </c>
      <c r="F2839" t="inlineStr">
        <is>
          <t>HALLANDS LÄN</t>
        </is>
      </c>
      <c r="G2839" t="inlineStr">
        <is>
          <t>KUNGSBACKA</t>
        </is>
      </c>
      <c r="I2839" t="n">
        <v>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23892-2026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46167</v>
      </c>
      <c r="E2840" s="1" t="n">
        <v>46265</v>
      </c>
      <c r="F2840" t="inlineStr">
        <is>
          <t>HALLANDS LÄN</t>
        </is>
      </c>
      <c r="G2840" t="inlineStr">
        <is>
          <t>HALMSTAD</t>
        </is>
      </c>
      <c r="I2840" t="n">
        <v>1.2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45700-2025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45923</v>
      </c>
      <c r="E2841" s="1" t="n">
        <v>46265</v>
      </c>
      <c r="F2841" t="inlineStr">
        <is>
          <t>HALLANDS LÄN</t>
        </is>
      </c>
      <c r="G2841" t="inlineStr">
        <is>
          <t>FALKENBERG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48453-2024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45590</v>
      </c>
      <c r="E2842" s="1" t="n">
        <v>46265</v>
      </c>
      <c r="F2842" t="inlineStr">
        <is>
          <t>HALLANDS LÄN</t>
        </is>
      </c>
      <c r="G2842" t="inlineStr">
        <is>
          <t>VARBERG</t>
        </is>
      </c>
      <c r="I2842" t="n">
        <v>1.1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45987-2024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45580</v>
      </c>
      <c r="E2843" s="1" t="n">
        <v>46265</v>
      </c>
      <c r="F2843" t="inlineStr">
        <is>
          <t>HALLANDS LÄN</t>
        </is>
      </c>
      <c r="G2843" t="inlineStr">
        <is>
          <t>VARBERG</t>
        </is>
      </c>
      <c r="I2843" t="n">
        <v>4.1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6774-2025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45700</v>
      </c>
      <c r="E2844" s="1" t="n">
        <v>46265</v>
      </c>
      <c r="F2844" t="inlineStr">
        <is>
          <t>HALLANDS LÄN</t>
        </is>
      </c>
      <c r="G2844" t="inlineStr">
        <is>
          <t>KUNGSBACKA</t>
        </is>
      </c>
      <c r="I2844" t="n">
        <v>3.5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23829-2026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46166</v>
      </c>
      <c r="E2845" s="1" t="n">
        <v>46265</v>
      </c>
      <c r="F2845" t="inlineStr">
        <is>
          <t>HALLANDS LÄN</t>
        </is>
      </c>
      <c r="G2845" t="inlineStr">
        <is>
          <t>FALKENBERG</t>
        </is>
      </c>
      <c r="I2845" t="n">
        <v>2.1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23878-2026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46167</v>
      </c>
      <c r="E2846" s="1" t="n">
        <v>46265</v>
      </c>
      <c r="F2846" t="inlineStr">
        <is>
          <t>HALLANDS LÄN</t>
        </is>
      </c>
      <c r="G2846" t="inlineStr">
        <is>
          <t>HALMSTAD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23883-2026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46167</v>
      </c>
      <c r="E2847" s="1" t="n">
        <v>46265</v>
      </c>
      <c r="F2847" t="inlineStr">
        <is>
          <t>HALLANDS LÄN</t>
        </is>
      </c>
      <c r="G2847" t="inlineStr">
        <is>
          <t>HALMSTAD</t>
        </is>
      </c>
      <c r="I2847" t="n">
        <v>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21944-2026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46150</v>
      </c>
      <c r="E2848" s="1" t="n">
        <v>46265</v>
      </c>
      <c r="F2848" t="inlineStr">
        <is>
          <t>HALLANDS LÄN</t>
        </is>
      </c>
      <c r="G2848" t="inlineStr">
        <is>
          <t>KUNGSBACKA</t>
        </is>
      </c>
      <c r="I2848" t="n">
        <v>3.9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23888-2026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46167</v>
      </c>
      <c r="E2849" s="1" t="n">
        <v>46265</v>
      </c>
      <c r="F2849" t="inlineStr">
        <is>
          <t>HALLANDS LÄN</t>
        </is>
      </c>
      <c r="G2849" t="inlineStr">
        <is>
          <t>HALMSTAD</t>
        </is>
      </c>
      <c r="I2849" t="n">
        <v>0.6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24041-2026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46168</v>
      </c>
      <c r="E2850" s="1" t="n">
        <v>46265</v>
      </c>
      <c r="F2850" t="inlineStr">
        <is>
          <t>HALLANDS LÄN</t>
        </is>
      </c>
      <c r="G2850" t="inlineStr">
        <is>
          <t>VARBERG</t>
        </is>
      </c>
      <c r="I2850" t="n">
        <v>1.9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1781-2022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44574</v>
      </c>
      <c r="E2851" s="1" t="n">
        <v>46265</v>
      </c>
      <c r="F2851" t="inlineStr">
        <is>
          <t>HALLANDS LÄN</t>
        </is>
      </c>
      <c r="G2851" t="inlineStr">
        <is>
          <t>FALKENBERG</t>
        </is>
      </c>
      <c r="I2851" t="n">
        <v>0.9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24390-2026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46169</v>
      </c>
      <c r="E2852" s="1" t="n">
        <v>46265</v>
      </c>
      <c r="F2852" t="inlineStr">
        <is>
          <t>HALLANDS LÄN</t>
        </is>
      </c>
      <c r="G2852" t="inlineStr">
        <is>
          <t>HYLTE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24133-2026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46168</v>
      </c>
      <c r="E2853" s="1" t="n">
        <v>46265</v>
      </c>
      <c r="F2853" t="inlineStr">
        <is>
          <t>HALLANDS LÄN</t>
        </is>
      </c>
      <c r="G2853" t="inlineStr">
        <is>
          <t>FALKENBERG</t>
        </is>
      </c>
      <c r="I2853" t="n">
        <v>2.5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24383-2026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46169</v>
      </c>
      <c r="E2854" s="1" t="n">
        <v>46265</v>
      </c>
      <c r="F2854" t="inlineStr">
        <is>
          <t>HALLANDS LÄN</t>
        </is>
      </c>
      <c r="G2854" t="inlineStr">
        <is>
          <t>HYLTE</t>
        </is>
      </c>
      <c r="I2854" t="n">
        <v>1.6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24394-2026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46169</v>
      </c>
      <c r="E2855" s="1" t="n">
        <v>46265</v>
      </c>
      <c r="F2855" t="inlineStr">
        <is>
          <t>HALLANDS LÄN</t>
        </is>
      </c>
      <c r="G2855" t="inlineStr">
        <is>
          <t>HYLTE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1778-2026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46034</v>
      </c>
      <c r="E2856" s="1" t="n">
        <v>46265</v>
      </c>
      <c r="F2856" t="inlineStr">
        <is>
          <t>HALLANDS LÄN</t>
        </is>
      </c>
      <c r="G2856" t="inlineStr">
        <is>
          <t>HALMSTAD</t>
        </is>
      </c>
      <c r="I2856" t="n">
        <v>2.7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45988-2025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45924</v>
      </c>
      <c r="E2857" s="1" t="n">
        <v>46265</v>
      </c>
      <c r="F2857" t="inlineStr">
        <is>
          <t>HALLANDS LÄN</t>
        </is>
      </c>
      <c r="G2857" t="inlineStr">
        <is>
          <t>HALMSTAD</t>
        </is>
      </c>
      <c r="I2857" t="n">
        <v>3.1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24804-2026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46172</v>
      </c>
      <c r="E2858" s="1" t="n">
        <v>46265</v>
      </c>
      <c r="F2858" t="inlineStr">
        <is>
          <t>HALLANDS LÄN</t>
        </is>
      </c>
      <c r="G2858" t="inlineStr">
        <is>
          <t>FALKENBERG</t>
        </is>
      </c>
      <c r="I2858" t="n">
        <v>0.6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34866-2025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45849</v>
      </c>
      <c r="E2859" s="1" t="n">
        <v>46265</v>
      </c>
      <c r="F2859" t="inlineStr">
        <is>
          <t>HALLANDS LÄN</t>
        </is>
      </c>
      <c r="G2859" t="inlineStr">
        <is>
          <t>LAHOLM</t>
        </is>
      </c>
      <c r="I2859" t="n">
        <v>2.9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24783-2026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46171</v>
      </c>
      <c r="E2860" s="1" t="n">
        <v>46265</v>
      </c>
      <c r="F2860" t="inlineStr">
        <is>
          <t>HALLANDS LÄN</t>
        </is>
      </c>
      <c r="G2860" t="inlineStr">
        <is>
          <t>HYLTE</t>
        </is>
      </c>
      <c r="I2860" t="n">
        <v>5.4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24534-2026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46170</v>
      </c>
      <c r="E2861" s="1" t="n">
        <v>46265</v>
      </c>
      <c r="F2861" t="inlineStr">
        <is>
          <t>HALLANDS LÄN</t>
        </is>
      </c>
      <c r="G2861" t="inlineStr">
        <is>
          <t>HYLTE</t>
        </is>
      </c>
      <c r="I2861" t="n">
        <v>2.1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24480-2026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46170</v>
      </c>
      <c r="E2862" s="1" t="n">
        <v>46265</v>
      </c>
      <c r="F2862" t="inlineStr">
        <is>
          <t>HALLANDS LÄN</t>
        </is>
      </c>
      <c r="G2862" t="inlineStr">
        <is>
          <t>FALKENBERG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25253-2026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46175</v>
      </c>
      <c r="E2863" s="1" t="n">
        <v>46265</v>
      </c>
      <c r="F2863" t="inlineStr">
        <is>
          <t>HALLANDS LÄN</t>
        </is>
      </c>
      <c r="G2863" t="inlineStr">
        <is>
          <t>VARBERG</t>
        </is>
      </c>
      <c r="I2863" t="n">
        <v>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25255-2026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46175</v>
      </c>
      <c r="E2864" s="1" t="n">
        <v>46265</v>
      </c>
      <c r="F2864" t="inlineStr">
        <is>
          <t>HALLANDS LÄN</t>
        </is>
      </c>
      <c r="G2864" t="inlineStr">
        <is>
          <t>VARBERG</t>
        </is>
      </c>
      <c r="I2864" t="n">
        <v>3.2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25028-2026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46174</v>
      </c>
      <c r="E2865" s="1" t="n">
        <v>46265</v>
      </c>
      <c r="F2865" t="inlineStr">
        <is>
          <t>HALLANDS LÄN</t>
        </is>
      </c>
      <c r="G2865" t="inlineStr">
        <is>
          <t>LAHOLM</t>
        </is>
      </c>
      <c r="I2865" t="n">
        <v>4.8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24956-2026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46174</v>
      </c>
      <c r="E2866" s="1" t="n">
        <v>46265</v>
      </c>
      <c r="F2866" t="inlineStr">
        <is>
          <t>HALLANDS LÄN</t>
        </is>
      </c>
      <c r="G2866" t="inlineStr">
        <is>
          <t>HYLTE</t>
        </is>
      </c>
      <c r="I2866" t="n">
        <v>3.9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25025-2026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46174</v>
      </c>
      <c r="E2867" s="1" t="n">
        <v>46265</v>
      </c>
      <c r="F2867" t="inlineStr">
        <is>
          <t>HALLANDS LÄN</t>
        </is>
      </c>
      <c r="G2867" t="inlineStr">
        <is>
          <t>VARBERG</t>
        </is>
      </c>
      <c r="I2867" t="n">
        <v>4.6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24817-2026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46173</v>
      </c>
      <c r="E2868" s="1" t="n">
        <v>46265</v>
      </c>
      <c r="F2868" t="inlineStr">
        <is>
          <t>HALLANDS LÄN</t>
        </is>
      </c>
      <c r="G2868" t="inlineStr">
        <is>
          <t>HALMSTAD</t>
        </is>
      </c>
      <c r="I2868" t="n">
        <v>0.8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25026-2026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46174</v>
      </c>
      <c r="E2869" s="1" t="n">
        <v>46265</v>
      </c>
      <c r="F2869" t="inlineStr">
        <is>
          <t>HALLANDS LÄN</t>
        </is>
      </c>
      <c r="G2869" t="inlineStr">
        <is>
          <t>LAHOLM</t>
        </is>
      </c>
      <c r="I2869" t="n">
        <v>1.5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25151-2026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46175</v>
      </c>
      <c r="E2870" s="1" t="n">
        <v>46265</v>
      </c>
      <c r="F2870" t="inlineStr">
        <is>
          <t>HALLANDS LÄN</t>
        </is>
      </c>
      <c r="G2870" t="inlineStr">
        <is>
          <t>HYLTE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24818-2026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46173</v>
      </c>
      <c r="E2871" s="1" t="n">
        <v>46265</v>
      </c>
      <c r="F2871" t="inlineStr">
        <is>
          <t>HALLANDS LÄN</t>
        </is>
      </c>
      <c r="G2871" t="inlineStr">
        <is>
          <t>HALMSTAD</t>
        </is>
      </c>
      <c r="I2871" t="n">
        <v>1.4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25024-2026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46174</v>
      </c>
      <c r="E2872" s="1" t="n">
        <v>46265</v>
      </c>
      <c r="F2872" t="inlineStr">
        <is>
          <t>HALLANDS LÄN</t>
        </is>
      </c>
      <c r="G2872" t="inlineStr">
        <is>
          <t>LAHOLM</t>
        </is>
      </c>
      <c r="I2872" t="n">
        <v>4.2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25027-2026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46174</v>
      </c>
      <c r="E2873" s="1" t="n">
        <v>46265</v>
      </c>
      <c r="F2873" t="inlineStr">
        <is>
          <t>HALLANDS LÄN</t>
        </is>
      </c>
      <c r="G2873" t="inlineStr">
        <is>
          <t>LAHOLM</t>
        </is>
      </c>
      <c r="I2873" t="n">
        <v>1.8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25029-2026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46174</v>
      </c>
      <c r="E2874" s="1" t="n">
        <v>46265</v>
      </c>
      <c r="F2874" t="inlineStr">
        <is>
          <t>HALLANDS LÄN</t>
        </is>
      </c>
      <c r="G2874" t="inlineStr">
        <is>
          <t>LAHOLM</t>
        </is>
      </c>
      <c r="I2874" t="n">
        <v>2.9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25233-2026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46175</v>
      </c>
      <c r="E2875" s="1" t="n">
        <v>46265</v>
      </c>
      <c r="F2875" t="inlineStr">
        <is>
          <t>HALLANDS LÄN</t>
        </is>
      </c>
      <c r="G2875" t="inlineStr">
        <is>
          <t>HYLTE</t>
        </is>
      </c>
      <c r="I2875" t="n">
        <v>1.5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24996-2026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46174</v>
      </c>
      <c r="E2876" s="1" t="n">
        <v>46265</v>
      </c>
      <c r="F2876" t="inlineStr">
        <is>
          <t>HALLANDS LÄN</t>
        </is>
      </c>
      <c r="G2876" t="inlineStr">
        <is>
          <t>VARBERG</t>
        </is>
      </c>
      <c r="I2876" t="n">
        <v>4.3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25383-2026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46176</v>
      </c>
      <c r="E2877" s="1" t="n">
        <v>46265</v>
      </c>
      <c r="F2877" t="inlineStr">
        <is>
          <t>HALLANDS LÄN</t>
        </is>
      </c>
      <c r="G2877" t="inlineStr">
        <is>
          <t>HALMSTAD</t>
        </is>
      </c>
      <c r="I2877" t="n">
        <v>17.8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25021-2026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46174</v>
      </c>
      <c r="E2878" s="1" t="n">
        <v>46265</v>
      </c>
      <c r="F2878" t="inlineStr">
        <is>
          <t>HALLANDS LÄN</t>
        </is>
      </c>
      <c r="G2878" t="inlineStr">
        <is>
          <t>HYLTE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25011-2026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46174</v>
      </c>
      <c r="E2879" s="1" t="n">
        <v>46265</v>
      </c>
      <c r="F2879" t="inlineStr">
        <is>
          <t>HALLANDS LÄN</t>
        </is>
      </c>
      <c r="G2879" t="inlineStr">
        <is>
          <t>HYLTE</t>
        </is>
      </c>
      <c r="I2879" t="n">
        <v>4.9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62534-2025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46007</v>
      </c>
      <c r="E2880" s="1" t="n">
        <v>46265</v>
      </c>
      <c r="F2880" t="inlineStr">
        <is>
          <t>HALLANDS LÄN</t>
        </is>
      </c>
      <c r="G2880" t="inlineStr">
        <is>
          <t>FALKENBERG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25346-2026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46176</v>
      </c>
      <c r="E2881" s="1" t="n">
        <v>46265</v>
      </c>
      <c r="F2881" t="inlineStr">
        <is>
          <t>HALLANDS LÄN</t>
        </is>
      </c>
      <c r="G2881" t="inlineStr">
        <is>
          <t>KUNGSBACKA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25347-2026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46176</v>
      </c>
      <c r="E2882" s="1" t="n">
        <v>46265</v>
      </c>
      <c r="F2882" t="inlineStr">
        <is>
          <t>HALLANDS LÄN</t>
        </is>
      </c>
      <c r="G2882" t="inlineStr">
        <is>
          <t>KUNGSBACKA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25886-2026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46178</v>
      </c>
      <c r="E2883" s="1" t="n">
        <v>46265</v>
      </c>
      <c r="F2883" t="inlineStr">
        <is>
          <t>HALLANDS LÄN</t>
        </is>
      </c>
      <c r="G2883" t="inlineStr">
        <is>
          <t>HALMSTAD</t>
        </is>
      </c>
      <c r="I2883" t="n">
        <v>12.6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25896-2026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46178</v>
      </c>
      <c r="E2884" s="1" t="n">
        <v>46265</v>
      </c>
      <c r="F2884" t="inlineStr">
        <is>
          <t>HALLANDS LÄN</t>
        </is>
      </c>
      <c r="G2884" t="inlineStr">
        <is>
          <t>HALMSTAD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26071-2026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46178</v>
      </c>
      <c r="E2885" s="1" t="n">
        <v>46265</v>
      </c>
      <c r="F2885" t="inlineStr">
        <is>
          <t>HALLANDS LÄN</t>
        </is>
      </c>
      <c r="G2885" t="inlineStr">
        <is>
          <t>HYLTE</t>
        </is>
      </c>
      <c r="I2885" t="n">
        <v>17.9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26102-2026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46178</v>
      </c>
      <c r="E2886" s="1" t="n">
        <v>46265</v>
      </c>
      <c r="F2886" t="inlineStr">
        <is>
          <t>HALLANDS LÄN</t>
        </is>
      </c>
      <c r="G2886" t="inlineStr">
        <is>
          <t>HYLTE</t>
        </is>
      </c>
      <c r="I2886" t="n">
        <v>5.7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25351-2026</t>
        </is>
      </c>
      <c r="B2887" t="inlineStr">
        <is>
          <t>avverkningsanmälan</t>
        </is>
      </c>
      <c r="C2887" t="inlineStr">
        <is>
          <t>Avverkning för att bevara och utveckla /försöksver</t>
        </is>
      </c>
      <c r="D2887" s="1" t="n">
        <v>46176</v>
      </c>
      <c r="E2887" s="1" t="n">
        <v>46265</v>
      </c>
      <c r="F2887" t="inlineStr">
        <is>
          <t>HALLANDS LÄN</t>
        </is>
      </c>
      <c r="G2887" t="inlineStr">
        <is>
          <t>KUNGSBACKA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25337-2026</t>
        </is>
      </c>
      <c r="B2888" t="inlineStr">
        <is>
          <t>avverkningsanmälan</t>
        </is>
      </c>
      <c r="C2888" t="inlineStr">
        <is>
          <t>Avverkning för att bevara och utveckla /försöksver</t>
        </is>
      </c>
      <c r="D2888" s="1" t="n">
        <v>46176</v>
      </c>
      <c r="E2888" s="1" t="n">
        <v>46265</v>
      </c>
      <c r="F2888" t="inlineStr">
        <is>
          <t>HALLANDS LÄN</t>
        </is>
      </c>
      <c r="G2888" t="inlineStr">
        <is>
          <t>KUNGSBACKA</t>
        </is>
      </c>
      <c r="I2888" t="n">
        <v>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25349-2026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46176</v>
      </c>
      <c r="E2889" s="1" t="n">
        <v>46265</v>
      </c>
      <c r="F2889" t="inlineStr">
        <is>
          <t>HALLANDS LÄN</t>
        </is>
      </c>
      <c r="G2889" t="inlineStr">
        <is>
          <t>KUNGSBACKA</t>
        </is>
      </c>
      <c r="I2889" t="n">
        <v>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25286-2026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46176</v>
      </c>
      <c r="E2890" s="1" t="n">
        <v>46265</v>
      </c>
      <c r="F2890" t="inlineStr">
        <is>
          <t>HALLANDS LÄN</t>
        </is>
      </c>
      <c r="G2890" t="inlineStr">
        <is>
          <t>HALMSTAD</t>
        </is>
      </c>
      <c r="I2890" t="n">
        <v>1.4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25018-2026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46174</v>
      </c>
      <c r="E2891" s="1" t="n">
        <v>46265</v>
      </c>
      <c r="F2891" t="inlineStr">
        <is>
          <t>HALLANDS LÄN</t>
        </is>
      </c>
      <c r="G2891" t="inlineStr">
        <is>
          <t>HYLTE</t>
        </is>
      </c>
      <c r="I2891" t="n">
        <v>1.3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45639-2025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45922</v>
      </c>
      <c r="E2892" s="1" t="n">
        <v>46265</v>
      </c>
      <c r="F2892" t="inlineStr">
        <is>
          <t>HALLANDS LÄN</t>
        </is>
      </c>
      <c r="G2892" t="inlineStr">
        <is>
          <t>KUNGSBACKA</t>
        </is>
      </c>
      <c r="I2892" t="n">
        <v>2.3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31471-2026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46222</v>
      </c>
      <c r="E2893" s="1" t="n">
        <v>46265</v>
      </c>
      <c r="F2893" t="inlineStr">
        <is>
          <t>HALLANDS LÄN</t>
        </is>
      </c>
      <c r="G2893" t="inlineStr">
        <is>
          <t>LAHOLM</t>
        </is>
      </c>
      <c r="I2893" t="n">
        <v>0.7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25859-2026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46178</v>
      </c>
      <c r="E2894" s="1" t="n">
        <v>46265</v>
      </c>
      <c r="F2894" t="inlineStr">
        <is>
          <t>HALLANDS LÄN</t>
        </is>
      </c>
      <c r="G2894" t="inlineStr">
        <is>
          <t>FALKENBERG</t>
        </is>
      </c>
      <c r="I2894" t="n">
        <v>1.1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26335-2026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46182</v>
      </c>
      <c r="E2895" s="1" t="n">
        <v>46265</v>
      </c>
      <c r="F2895" t="inlineStr">
        <is>
          <t>HALLANDS LÄN</t>
        </is>
      </c>
      <c r="G2895" t="inlineStr">
        <is>
          <t>HALMSTAD</t>
        </is>
      </c>
      <c r="I2895" t="n">
        <v>5.7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25986-2026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46181</v>
      </c>
      <c r="E2896" s="1" t="n">
        <v>46265</v>
      </c>
      <c r="F2896" t="inlineStr">
        <is>
          <t>HALLANDS LÄN</t>
        </is>
      </c>
      <c r="G2896" t="inlineStr">
        <is>
          <t>HALMSTAD</t>
        </is>
      </c>
      <c r="I2896" t="n">
        <v>1.9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26262-2026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46182</v>
      </c>
      <c r="E2897" s="1" t="n">
        <v>46265</v>
      </c>
      <c r="F2897" t="inlineStr">
        <is>
          <t>HALLANDS LÄN</t>
        </is>
      </c>
      <c r="G2897" t="inlineStr">
        <is>
          <t>FALKENBERG</t>
        </is>
      </c>
      <c r="I2897" t="n">
        <v>1.2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31623-2026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46224</v>
      </c>
      <c r="E2898" s="1" t="n">
        <v>46265</v>
      </c>
      <c r="F2898" t="inlineStr">
        <is>
          <t>HALLANDS LÄN</t>
        </is>
      </c>
      <c r="G2898" t="inlineStr">
        <is>
          <t>HYLTE</t>
        </is>
      </c>
      <c r="H2898" t="inlineStr">
        <is>
          <t>Kyrkan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26368-2026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46182</v>
      </c>
      <c r="E2899" s="1" t="n">
        <v>46265</v>
      </c>
      <c r="F2899" t="inlineStr">
        <is>
          <t>HALLANDS LÄN</t>
        </is>
      </c>
      <c r="G2899" t="inlineStr">
        <is>
          <t>FALKENBERG</t>
        </is>
      </c>
      <c r="I2899" t="n">
        <v>0.5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26202-2026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46182</v>
      </c>
      <c r="E2900" s="1" t="n">
        <v>46265</v>
      </c>
      <c r="F2900" t="inlineStr">
        <is>
          <t>HALLANDS LÄN</t>
        </is>
      </c>
      <c r="G2900" t="inlineStr">
        <is>
          <t>VARBERG</t>
        </is>
      </c>
      <c r="I2900" t="n">
        <v>0.9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27223-2026</t>
        </is>
      </c>
      <c r="B2901" t="inlineStr">
        <is>
          <t>avverkningsanmälan</t>
        </is>
      </c>
      <c r="C2901" t="inlineStr">
        <is>
          <t>Avverkning för annat ändamål</t>
        </is>
      </c>
      <c r="D2901" s="1" t="n">
        <v>46184</v>
      </c>
      <c r="E2901" s="1" t="n">
        <v>46265</v>
      </c>
      <c r="F2901" t="inlineStr">
        <is>
          <t>HALLANDS LÄN</t>
        </is>
      </c>
      <c r="G2901" t="inlineStr">
        <is>
          <t>LAHOLM</t>
        </is>
      </c>
      <c r="I2901" t="n">
        <v>0.5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31654-2026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46225</v>
      </c>
      <c r="E2902" s="1" t="n">
        <v>46265</v>
      </c>
      <c r="F2902" t="inlineStr">
        <is>
          <t>HALLANDS LÄN</t>
        </is>
      </c>
      <c r="G2902" t="inlineStr">
        <is>
          <t>FALKENBERG</t>
        </is>
      </c>
      <c r="I2902" t="n">
        <v>4.1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26373-2026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46183</v>
      </c>
      <c r="E2903" s="1" t="n">
        <v>46265</v>
      </c>
      <c r="F2903" t="inlineStr">
        <is>
          <t>HALLANDS LÄN</t>
        </is>
      </c>
      <c r="G2903" t="inlineStr">
        <is>
          <t>HYLTE</t>
        </is>
      </c>
      <c r="I2903" t="n">
        <v>2.3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26677-2026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46184</v>
      </c>
      <c r="E2904" s="1" t="n">
        <v>46265</v>
      </c>
      <c r="F2904" t="inlineStr">
        <is>
          <t>HALLANDS LÄN</t>
        </is>
      </c>
      <c r="G2904" t="inlineStr">
        <is>
          <t>KUNGSBACKA</t>
        </is>
      </c>
      <c r="I2904" t="n">
        <v>0.7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26697-2026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46184</v>
      </c>
      <c r="E2905" s="1" t="n">
        <v>46265</v>
      </c>
      <c r="F2905" t="inlineStr">
        <is>
          <t>HALLANDS LÄN</t>
        </is>
      </c>
      <c r="G2905" t="inlineStr">
        <is>
          <t>FALKENBERG</t>
        </is>
      </c>
      <c r="I2905" t="n">
        <v>1.3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26675-2026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46184</v>
      </c>
      <c r="E2906" s="1" t="n">
        <v>46265</v>
      </c>
      <c r="F2906" t="inlineStr">
        <is>
          <t>HALLANDS LÄN</t>
        </is>
      </c>
      <c r="G2906" t="inlineStr">
        <is>
          <t>KUNGSBACKA</t>
        </is>
      </c>
      <c r="I2906" t="n">
        <v>1.1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27009-2026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46185</v>
      </c>
      <c r="E2907" s="1" t="n">
        <v>46265</v>
      </c>
      <c r="F2907" t="inlineStr">
        <is>
          <t>HALLANDS LÄN</t>
        </is>
      </c>
      <c r="G2907" t="inlineStr">
        <is>
          <t>HYLTE</t>
        </is>
      </c>
      <c r="I2907" t="n">
        <v>0.7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26703-2026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46184</v>
      </c>
      <c r="E2908" s="1" t="n">
        <v>46265</v>
      </c>
      <c r="F2908" t="inlineStr">
        <is>
          <t>HALLANDS LÄN</t>
        </is>
      </c>
      <c r="G2908" t="inlineStr">
        <is>
          <t>KUNGSBACKA</t>
        </is>
      </c>
      <c r="I2908" t="n">
        <v>2.6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26726-2026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46184</v>
      </c>
      <c r="E2909" s="1" t="n">
        <v>46265</v>
      </c>
      <c r="F2909" t="inlineStr">
        <is>
          <t>HALLANDS LÄN</t>
        </is>
      </c>
      <c r="G2909" t="inlineStr">
        <is>
          <t>KUNGSBACKA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26735-2026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46184</v>
      </c>
      <c r="E2910" s="1" t="n">
        <v>46265</v>
      </c>
      <c r="F2910" t="inlineStr">
        <is>
          <t>HALLANDS LÄN</t>
        </is>
      </c>
      <c r="G2910" t="inlineStr">
        <is>
          <t>KUNGSBACKA</t>
        </is>
      </c>
      <c r="I2910" t="n">
        <v>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26733-2026</t>
        </is>
      </c>
      <c r="B2911" t="inlineStr">
        <is>
          <t>avverkningsanmälan</t>
        </is>
      </c>
      <c r="C2911" t="inlineStr">
        <is>
          <t>Avverkning för att bevara och utveckla /försöksver</t>
        </is>
      </c>
      <c r="D2911" s="1" t="n">
        <v>46184</v>
      </c>
      <c r="E2911" s="1" t="n">
        <v>46265</v>
      </c>
      <c r="F2911" t="inlineStr">
        <is>
          <t>HALLANDS LÄN</t>
        </is>
      </c>
      <c r="G2911" t="inlineStr">
        <is>
          <t>KUNGSBACKA</t>
        </is>
      </c>
      <c r="I2911" t="n">
        <v>0.8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26770-2026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46184</v>
      </c>
      <c r="E2912" s="1" t="n">
        <v>46265</v>
      </c>
      <c r="F2912" t="inlineStr">
        <is>
          <t>HALLANDS LÄN</t>
        </is>
      </c>
      <c r="G2912" t="inlineStr">
        <is>
          <t>FALKENBERG</t>
        </is>
      </c>
      <c r="I2912" t="n">
        <v>2.5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26699-2026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46184</v>
      </c>
      <c r="E2913" s="1" t="n">
        <v>46265</v>
      </c>
      <c r="F2913" t="inlineStr">
        <is>
          <t>HALLANDS LÄN</t>
        </is>
      </c>
      <c r="G2913" t="inlineStr">
        <is>
          <t>KUNGSBACKA</t>
        </is>
      </c>
      <c r="I2913" t="n">
        <v>5.3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26701-2026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46184</v>
      </c>
      <c r="E2914" s="1" t="n">
        <v>46265</v>
      </c>
      <c r="F2914" t="inlineStr">
        <is>
          <t>HALLANDS LÄN</t>
        </is>
      </c>
      <c r="G2914" t="inlineStr">
        <is>
          <t>KUNGSBACKA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27100-2026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46188</v>
      </c>
      <c r="E2915" s="1" t="n">
        <v>46265</v>
      </c>
      <c r="F2915" t="inlineStr">
        <is>
          <t>HALLANDS LÄN</t>
        </is>
      </c>
      <c r="G2915" t="inlineStr">
        <is>
          <t>VARBERG</t>
        </is>
      </c>
      <c r="I2915" t="n">
        <v>4.3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27275-2026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46188</v>
      </c>
      <c r="E2916" s="1" t="n">
        <v>46265</v>
      </c>
      <c r="F2916" t="inlineStr">
        <is>
          <t>HALLANDS LÄN</t>
        </is>
      </c>
      <c r="G2916" t="inlineStr">
        <is>
          <t>VARBERG</t>
        </is>
      </c>
      <c r="I2916" t="n">
        <v>3.9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27289-2026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46188</v>
      </c>
      <c r="E2917" s="1" t="n">
        <v>46265</v>
      </c>
      <c r="F2917" t="inlineStr">
        <is>
          <t>HALLANDS LÄN</t>
        </is>
      </c>
      <c r="G2917" t="inlineStr">
        <is>
          <t>LAHOLM</t>
        </is>
      </c>
      <c r="I2917" t="n">
        <v>2.6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27197-2026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46188</v>
      </c>
      <c r="E2918" s="1" t="n">
        <v>46265</v>
      </c>
      <c r="F2918" t="inlineStr">
        <is>
          <t>HALLANDS LÄN</t>
        </is>
      </c>
      <c r="G2918" t="inlineStr">
        <is>
          <t>HALMSTAD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27499-2026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46189</v>
      </c>
      <c r="E2919" s="1" t="n">
        <v>46265</v>
      </c>
      <c r="F2919" t="inlineStr">
        <is>
          <t>HALLANDS LÄN</t>
        </is>
      </c>
      <c r="G2919" t="inlineStr">
        <is>
          <t>HALMSTAD</t>
        </is>
      </c>
      <c r="I2919" t="n">
        <v>1.4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27099-2026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46188</v>
      </c>
      <c r="E2920" s="1" t="n">
        <v>46265</v>
      </c>
      <c r="F2920" t="inlineStr">
        <is>
          <t>HALLANDS LÄN</t>
        </is>
      </c>
      <c r="G2920" t="inlineStr">
        <is>
          <t>VARBERG</t>
        </is>
      </c>
      <c r="I2920" t="n">
        <v>4.3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27165-2026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46188</v>
      </c>
      <c r="E2921" s="1" t="n">
        <v>46265</v>
      </c>
      <c r="F2921" t="inlineStr">
        <is>
          <t>HALLANDS LÄN</t>
        </is>
      </c>
      <c r="G2921" t="inlineStr">
        <is>
          <t>HYLTE</t>
        </is>
      </c>
      <c r="I2921" t="n">
        <v>7.4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27202-2026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46188</v>
      </c>
      <c r="E2922" s="1" t="n">
        <v>46265</v>
      </c>
      <c r="F2922" t="inlineStr">
        <is>
          <t>HALLANDS LÄN</t>
        </is>
      </c>
      <c r="G2922" t="inlineStr">
        <is>
          <t>HALMSTAD</t>
        </is>
      </c>
      <c r="I2922" t="n">
        <v>7.2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31994-2026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46232</v>
      </c>
      <c r="E2923" s="1" t="n">
        <v>46265</v>
      </c>
      <c r="F2923" t="inlineStr">
        <is>
          <t>HALLANDS LÄN</t>
        </is>
      </c>
      <c r="G2923" t="inlineStr">
        <is>
          <t>KUNGSBACKA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27189-2026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46188</v>
      </c>
      <c r="E2924" s="1" t="n">
        <v>46265</v>
      </c>
      <c r="F2924" t="inlineStr">
        <is>
          <t>HALLANDS LÄN</t>
        </is>
      </c>
      <c r="G2924" t="inlineStr">
        <is>
          <t>HALMSTAD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27175-2026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46188</v>
      </c>
      <c r="E2925" s="1" t="n">
        <v>46265</v>
      </c>
      <c r="F2925" t="inlineStr">
        <is>
          <t>HALLANDS LÄN</t>
        </is>
      </c>
      <c r="G2925" t="inlineStr">
        <is>
          <t>HALMSTAD</t>
        </is>
      </c>
      <c r="I2925" t="n">
        <v>2.4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27176-2026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46188</v>
      </c>
      <c r="E2926" s="1" t="n">
        <v>46265</v>
      </c>
      <c r="F2926" t="inlineStr">
        <is>
          <t>HALLANDS LÄN</t>
        </is>
      </c>
      <c r="G2926" t="inlineStr">
        <is>
          <t>HALMSTAD</t>
        </is>
      </c>
      <c r="I2926" t="n">
        <v>3.5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27180-2026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46188</v>
      </c>
      <c r="E2927" s="1" t="n">
        <v>46265</v>
      </c>
      <c r="F2927" t="inlineStr">
        <is>
          <t>HALLANDS LÄN</t>
        </is>
      </c>
      <c r="G2927" t="inlineStr">
        <is>
          <t>HALMSTAD</t>
        </is>
      </c>
      <c r="I2927" t="n">
        <v>1.9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27182-2026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46188</v>
      </c>
      <c r="E2928" s="1" t="n">
        <v>46265</v>
      </c>
      <c r="F2928" t="inlineStr">
        <is>
          <t>HALLANDS LÄN</t>
        </is>
      </c>
      <c r="G2928" t="inlineStr">
        <is>
          <t>HALMSTAD</t>
        </is>
      </c>
      <c r="I2928" t="n">
        <v>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27191-2026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46188</v>
      </c>
      <c r="E2929" s="1" t="n">
        <v>46265</v>
      </c>
      <c r="F2929" t="inlineStr">
        <is>
          <t>HALLANDS LÄN</t>
        </is>
      </c>
      <c r="G2929" t="inlineStr">
        <is>
          <t>HALMSTAD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27200-2026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46188</v>
      </c>
      <c r="E2930" s="1" t="n">
        <v>46265</v>
      </c>
      <c r="F2930" t="inlineStr">
        <is>
          <t>HALLANDS LÄN</t>
        </is>
      </c>
      <c r="G2930" t="inlineStr">
        <is>
          <t>HALMSTAD</t>
        </is>
      </c>
      <c r="I2930" t="n">
        <v>0.7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7542-2026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46059</v>
      </c>
      <c r="E2931" s="1" t="n">
        <v>46265</v>
      </c>
      <c r="F2931" t="inlineStr">
        <is>
          <t>HALLANDS LÄN</t>
        </is>
      </c>
      <c r="G2931" t="inlineStr">
        <is>
          <t>HALMSTAD</t>
        </is>
      </c>
      <c r="I2931" t="n">
        <v>1.1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27185-2026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46188</v>
      </c>
      <c r="E2932" s="1" t="n">
        <v>46265</v>
      </c>
      <c r="F2932" t="inlineStr">
        <is>
          <t>HALLANDS LÄN</t>
        </is>
      </c>
      <c r="G2932" t="inlineStr">
        <is>
          <t>HALMSTAD</t>
        </is>
      </c>
      <c r="I2932" t="n">
        <v>2.5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27194-2026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46188</v>
      </c>
      <c r="E2933" s="1" t="n">
        <v>46265</v>
      </c>
      <c r="F2933" t="inlineStr">
        <is>
          <t>HALLANDS LÄN</t>
        </is>
      </c>
      <c r="G2933" t="inlineStr">
        <is>
          <t>HYLTE</t>
        </is>
      </c>
      <c r="I2933" t="n">
        <v>7.8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27205-2026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46188</v>
      </c>
      <c r="E2934" s="1" t="n">
        <v>46265</v>
      </c>
      <c r="F2934" t="inlineStr">
        <is>
          <t>HALLANDS LÄN</t>
        </is>
      </c>
      <c r="G2934" t="inlineStr">
        <is>
          <t>HALMSTAD</t>
        </is>
      </c>
      <c r="I2934" t="n">
        <v>5.8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27615-2026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46190</v>
      </c>
      <c r="E2935" s="1" t="n">
        <v>46265</v>
      </c>
      <c r="F2935" t="inlineStr">
        <is>
          <t>HALLANDS LÄN</t>
        </is>
      </c>
      <c r="G2935" t="inlineStr">
        <is>
          <t>VARBERG</t>
        </is>
      </c>
      <c r="I2935" t="n">
        <v>1.7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27655-2026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46190</v>
      </c>
      <c r="E2936" s="1" t="n">
        <v>46265</v>
      </c>
      <c r="F2936" t="inlineStr">
        <is>
          <t>HALLANDS LÄN</t>
        </is>
      </c>
      <c r="G2936" t="inlineStr">
        <is>
          <t>VARBERG</t>
        </is>
      </c>
      <c r="I2936" t="n">
        <v>1.9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27545-2026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46190</v>
      </c>
      <c r="E2937" s="1" t="n">
        <v>46265</v>
      </c>
      <c r="F2937" t="inlineStr">
        <is>
          <t>HALLANDS LÄN</t>
        </is>
      </c>
      <c r="G2937" t="inlineStr">
        <is>
          <t>FALKENBERG</t>
        </is>
      </c>
      <c r="I2937" t="n">
        <v>5.7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32135-2026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46234</v>
      </c>
      <c r="E2938" s="1" t="n">
        <v>46265</v>
      </c>
      <c r="F2938" t="inlineStr">
        <is>
          <t>HALLANDS LÄN</t>
        </is>
      </c>
      <c r="G2938" t="inlineStr">
        <is>
          <t>VARBERG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27928-2026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46191</v>
      </c>
      <c r="E2939" s="1" t="n">
        <v>46265</v>
      </c>
      <c r="F2939" t="inlineStr">
        <is>
          <t>HALLANDS LÄN</t>
        </is>
      </c>
      <c r="G2939" t="inlineStr">
        <is>
          <t>LAHOLM</t>
        </is>
      </c>
      <c r="I2939" t="n">
        <v>4.4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32216-2026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46237</v>
      </c>
      <c r="E2940" s="1" t="n">
        <v>46265</v>
      </c>
      <c r="F2940" t="inlineStr">
        <is>
          <t>HALLANDS LÄN</t>
        </is>
      </c>
      <c r="G2940" t="inlineStr">
        <is>
          <t>LAHOLM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32234-2026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46237</v>
      </c>
      <c r="E2941" s="1" t="n">
        <v>46265</v>
      </c>
      <c r="F2941" t="inlineStr">
        <is>
          <t>HALLANDS LÄN</t>
        </is>
      </c>
      <c r="G2941" t="inlineStr">
        <is>
          <t>VARBERG</t>
        </is>
      </c>
      <c r="I2941" t="n">
        <v>10.4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32244-2026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46237</v>
      </c>
      <c r="E2942" s="1" t="n">
        <v>46265</v>
      </c>
      <c r="F2942" t="inlineStr">
        <is>
          <t>HALLANDS LÄN</t>
        </is>
      </c>
      <c r="G2942" t="inlineStr">
        <is>
          <t>LAHOLM</t>
        </is>
      </c>
      <c r="I2942" t="n">
        <v>5.9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28249-2026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46196</v>
      </c>
      <c r="E2943" s="1" t="n">
        <v>46265</v>
      </c>
      <c r="F2943" t="inlineStr">
        <is>
          <t>HALLANDS LÄN</t>
        </is>
      </c>
      <c r="G2943" t="inlineStr">
        <is>
          <t>HYLTE</t>
        </is>
      </c>
      <c r="I2943" t="n">
        <v>1.3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28507-2026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46197</v>
      </c>
      <c r="E2944" s="1" t="n">
        <v>46265</v>
      </c>
      <c r="F2944" t="inlineStr">
        <is>
          <t>HALLANDS LÄN</t>
        </is>
      </c>
      <c r="G2944" t="inlineStr">
        <is>
          <t>KUNGSBACKA</t>
        </is>
      </c>
      <c r="I2944" t="n">
        <v>1.2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28272-2026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46196</v>
      </c>
      <c r="E2945" s="1" t="n">
        <v>46265</v>
      </c>
      <c r="F2945" t="inlineStr">
        <is>
          <t>HALLANDS LÄN</t>
        </is>
      </c>
      <c r="G2945" t="inlineStr">
        <is>
          <t>VARBERG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28377-2026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46196</v>
      </c>
      <c r="E2946" s="1" t="n">
        <v>46265</v>
      </c>
      <c r="F2946" t="inlineStr">
        <is>
          <t>HALLANDS LÄN</t>
        </is>
      </c>
      <c r="G2946" t="inlineStr">
        <is>
          <t>LAHOLM</t>
        </is>
      </c>
      <c r="I2946" t="n">
        <v>0.5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28538-2026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46197</v>
      </c>
      <c r="E2947" s="1" t="n">
        <v>46265</v>
      </c>
      <c r="F2947" t="inlineStr">
        <is>
          <t>HALLANDS LÄN</t>
        </is>
      </c>
      <c r="G2947" t="inlineStr">
        <is>
          <t>HALMSTAD</t>
        </is>
      </c>
      <c r="I2947" t="n">
        <v>0.7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28202-2026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46196</v>
      </c>
      <c r="E2948" s="1" t="n">
        <v>46265</v>
      </c>
      <c r="F2948" t="inlineStr">
        <is>
          <t>HALLANDS LÄN</t>
        </is>
      </c>
      <c r="G2948" t="inlineStr">
        <is>
          <t>HALMSTAD</t>
        </is>
      </c>
      <c r="I2948" t="n">
        <v>0.9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28351-2026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46196</v>
      </c>
      <c r="E2949" s="1" t="n">
        <v>46265</v>
      </c>
      <c r="F2949" t="inlineStr">
        <is>
          <t>HALLANDS LÄN</t>
        </is>
      </c>
      <c r="G2949" t="inlineStr">
        <is>
          <t>LAHOLM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28515-2026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46197</v>
      </c>
      <c r="E2950" s="1" t="n">
        <v>46265</v>
      </c>
      <c r="F2950" t="inlineStr">
        <is>
          <t>HALLANDS LÄN</t>
        </is>
      </c>
      <c r="G2950" t="inlineStr">
        <is>
          <t>KUNGSBACKA</t>
        </is>
      </c>
      <c r="I2950" t="n">
        <v>5.3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28263-2026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46196</v>
      </c>
      <c r="E2951" s="1" t="n">
        <v>46265</v>
      </c>
      <c r="F2951" t="inlineStr">
        <is>
          <t>HALLANDS LÄN</t>
        </is>
      </c>
      <c r="G2951" t="inlineStr">
        <is>
          <t>VARBERG</t>
        </is>
      </c>
      <c r="I2951" t="n">
        <v>7.8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28280-2026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46196</v>
      </c>
      <c r="E2952" s="1" t="n">
        <v>46265</v>
      </c>
      <c r="F2952" t="inlineStr">
        <is>
          <t>HALLANDS LÄN</t>
        </is>
      </c>
      <c r="G2952" t="inlineStr">
        <is>
          <t>VARBERG</t>
        </is>
      </c>
      <c r="I2952" t="n">
        <v>1.7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28285-2026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46196</v>
      </c>
      <c r="E2953" s="1" t="n">
        <v>46265</v>
      </c>
      <c r="F2953" t="inlineStr">
        <is>
          <t>HALLANDS LÄN</t>
        </is>
      </c>
      <c r="G2953" t="inlineStr">
        <is>
          <t>FALKENBERG</t>
        </is>
      </c>
      <c r="I2953" t="n">
        <v>1.7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29676-2026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46199</v>
      </c>
      <c r="E2954" s="1" t="n">
        <v>46265</v>
      </c>
      <c r="F2954" t="inlineStr">
        <is>
          <t>HALLANDS LÄN</t>
        </is>
      </c>
      <c r="G2954" t="inlineStr">
        <is>
          <t>HYLTE</t>
        </is>
      </c>
      <c r="I2954" t="n">
        <v>9.1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32883-2026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46244</v>
      </c>
      <c r="E2955" s="1" t="n">
        <v>46265</v>
      </c>
      <c r="F2955" t="inlineStr">
        <is>
          <t>HALLANDS LÄN</t>
        </is>
      </c>
      <c r="G2955" t="inlineStr">
        <is>
          <t>FALKENBERG</t>
        </is>
      </c>
      <c r="I2955" t="n">
        <v>1.5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32909-2026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46244</v>
      </c>
      <c r="E2956" s="1" t="n">
        <v>46265</v>
      </c>
      <c r="F2956" t="inlineStr">
        <is>
          <t>HALLANDS LÄN</t>
        </is>
      </c>
      <c r="G2956" t="inlineStr">
        <is>
          <t>HYLTE</t>
        </is>
      </c>
      <c r="I2956" t="n">
        <v>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29104-2026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46200</v>
      </c>
      <c r="E2957" s="1" t="n">
        <v>46265</v>
      </c>
      <c r="F2957" t="inlineStr">
        <is>
          <t>HALLANDS LÄN</t>
        </is>
      </c>
      <c r="G2957" t="inlineStr">
        <is>
          <t>FALKENBERG</t>
        </is>
      </c>
      <c r="I2957" t="n">
        <v>1.8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28869-2026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46199</v>
      </c>
      <c r="E2958" s="1" t="n">
        <v>46265</v>
      </c>
      <c r="F2958" t="inlineStr">
        <is>
          <t>HALLANDS LÄN</t>
        </is>
      </c>
      <c r="G2958" t="inlineStr">
        <is>
          <t>VARBERG</t>
        </is>
      </c>
      <c r="I2958" t="n">
        <v>2.4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12009-2026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46085</v>
      </c>
      <c r="E2959" s="1" t="n">
        <v>46265</v>
      </c>
      <c r="F2959" t="inlineStr">
        <is>
          <t>HALLANDS LÄN</t>
        </is>
      </c>
      <c r="G2959" t="inlineStr">
        <is>
          <t>HALMSTAD</t>
        </is>
      </c>
      <c r="I2959" t="n">
        <v>8.4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20624-2026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46141</v>
      </c>
      <c r="E2960" s="1" t="n">
        <v>46265</v>
      </c>
      <c r="F2960" t="inlineStr">
        <is>
          <t>HALLANDS LÄN</t>
        </is>
      </c>
      <c r="G2960" t="inlineStr">
        <is>
          <t>VARBERG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31194-2026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46209</v>
      </c>
      <c r="E2961" s="1" t="n">
        <v>46265</v>
      </c>
      <c r="F2961" t="inlineStr">
        <is>
          <t>HALLANDS LÄN</t>
        </is>
      </c>
      <c r="G2961" t="inlineStr">
        <is>
          <t>LAHOLM</t>
        </is>
      </c>
      <c r="H2961" t="inlineStr">
        <is>
          <t>Sveaskog</t>
        </is>
      </c>
      <c r="I2961" t="n">
        <v>0.7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29345-2026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46203</v>
      </c>
      <c r="E2962" s="1" t="n">
        <v>46265</v>
      </c>
      <c r="F2962" t="inlineStr">
        <is>
          <t>HALLANDS LÄN</t>
        </is>
      </c>
      <c r="G2962" t="inlineStr">
        <is>
          <t>FALKENBERG</t>
        </is>
      </c>
      <c r="I2962" t="n">
        <v>0.9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29208-2026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46202</v>
      </c>
      <c r="E2963" s="1" t="n">
        <v>46265</v>
      </c>
      <c r="F2963" t="inlineStr">
        <is>
          <t>HALLANDS LÄN</t>
        </is>
      </c>
      <c r="G2963" t="inlineStr">
        <is>
          <t>VARBERG</t>
        </is>
      </c>
      <c r="I2963" t="n">
        <v>4.3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29220-2026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46202</v>
      </c>
      <c r="E2964" s="1" t="n">
        <v>46265</v>
      </c>
      <c r="F2964" t="inlineStr">
        <is>
          <t>HALLANDS LÄN</t>
        </is>
      </c>
      <c r="G2964" t="inlineStr">
        <is>
          <t>LAHOLM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29209-2026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46202</v>
      </c>
      <c r="E2965" s="1" t="n">
        <v>46265</v>
      </c>
      <c r="F2965" t="inlineStr">
        <is>
          <t>HALLANDS LÄN</t>
        </is>
      </c>
      <c r="G2965" t="inlineStr">
        <is>
          <t>VARBERG</t>
        </is>
      </c>
      <c r="I2965" t="n">
        <v>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29216-2026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46202</v>
      </c>
      <c r="E2966" s="1" t="n">
        <v>46265</v>
      </c>
      <c r="F2966" t="inlineStr">
        <is>
          <t>HALLANDS LÄN</t>
        </is>
      </c>
      <c r="G2966" t="inlineStr">
        <is>
          <t>FALKENBERG</t>
        </is>
      </c>
      <c r="I2966" t="n">
        <v>1.3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28851-2026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46198</v>
      </c>
      <c r="E2967" s="1" t="n">
        <v>46265</v>
      </c>
      <c r="F2967" t="inlineStr">
        <is>
          <t>HALLANDS LÄN</t>
        </is>
      </c>
      <c r="G2967" t="inlineStr">
        <is>
          <t>VARBERG</t>
        </is>
      </c>
      <c r="I2967" t="n">
        <v>4.1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33255-2026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46246</v>
      </c>
      <c r="E2968" s="1" t="n">
        <v>46265</v>
      </c>
      <c r="F2968" t="inlineStr">
        <is>
          <t>HALLANDS LÄN</t>
        </is>
      </c>
      <c r="G2968" t="inlineStr">
        <is>
          <t>LAHOLM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29219-2026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46202</v>
      </c>
      <c r="E2969" s="1" t="n">
        <v>46265</v>
      </c>
      <c r="F2969" t="inlineStr">
        <is>
          <t>HALLANDS LÄN</t>
        </is>
      </c>
      <c r="G2969" t="inlineStr">
        <is>
          <t>LAHOLM</t>
        </is>
      </c>
      <c r="I2969" t="n">
        <v>0.7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29228-2026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46202</v>
      </c>
      <c r="E2970" s="1" t="n">
        <v>46265</v>
      </c>
      <c r="F2970" t="inlineStr">
        <is>
          <t>HALLANDS LÄN</t>
        </is>
      </c>
      <c r="G2970" t="inlineStr">
        <is>
          <t>FALKENBERG</t>
        </is>
      </c>
      <c r="H2970" t="inlineStr">
        <is>
          <t>Bergvik skog väst AB</t>
        </is>
      </c>
      <c r="I2970" t="n">
        <v>7.7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33250-2026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46246</v>
      </c>
      <c r="E2971" s="1" t="n">
        <v>46265</v>
      </c>
      <c r="F2971" t="inlineStr">
        <is>
          <t>HALLANDS LÄN</t>
        </is>
      </c>
      <c r="G2971" t="inlineStr">
        <is>
          <t>LAHOLM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33074-2026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46245</v>
      </c>
      <c r="E2972" s="1" t="n">
        <v>46265</v>
      </c>
      <c r="F2972" t="inlineStr">
        <is>
          <t>HALLANDS LÄN</t>
        </is>
      </c>
      <c r="G2972" t="inlineStr">
        <is>
          <t>HYLTE</t>
        </is>
      </c>
      <c r="I2972" t="n">
        <v>3.2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29229-2026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46202</v>
      </c>
      <c r="E2973" s="1" t="n">
        <v>46265</v>
      </c>
      <c r="F2973" t="inlineStr">
        <is>
          <t>HALLANDS LÄN</t>
        </is>
      </c>
      <c r="G2973" t="inlineStr">
        <is>
          <t>FALKENBERG</t>
        </is>
      </c>
      <c r="H2973" t="inlineStr">
        <is>
          <t>Bergvik skog väst AB</t>
        </is>
      </c>
      <c r="I2973" t="n">
        <v>7.3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29346-2026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46203</v>
      </c>
      <c r="E2974" s="1" t="n">
        <v>46265</v>
      </c>
      <c r="F2974" t="inlineStr">
        <is>
          <t>HALLANDS LÄN</t>
        </is>
      </c>
      <c r="G2974" t="inlineStr">
        <is>
          <t>FALKENBERG</t>
        </is>
      </c>
      <c r="I2974" t="n">
        <v>1.5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33248-2026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46246</v>
      </c>
      <c r="E2975" s="1" t="n">
        <v>46265</v>
      </c>
      <c r="F2975" t="inlineStr">
        <is>
          <t>HALLANDS LÄN</t>
        </is>
      </c>
      <c r="G2975" t="inlineStr">
        <is>
          <t>LAHOLM</t>
        </is>
      </c>
      <c r="I2975" t="n">
        <v>4.4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29866-2026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46205</v>
      </c>
      <c r="E2976" s="1" t="n">
        <v>46265</v>
      </c>
      <c r="F2976" t="inlineStr">
        <is>
          <t>HALLANDS LÄN</t>
        </is>
      </c>
      <c r="G2976" t="inlineStr">
        <is>
          <t>HALMSTAD</t>
        </is>
      </c>
      <c r="I2976" t="n">
        <v>6.9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65199-2023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45288</v>
      </c>
      <c r="E2977" s="1" t="n">
        <v>46265</v>
      </c>
      <c r="F2977" t="inlineStr">
        <is>
          <t>HALLANDS LÄN</t>
        </is>
      </c>
      <c r="G2977" t="inlineStr">
        <is>
          <t>KUNGSBACKA</t>
        </is>
      </c>
      <c r="I2977" t="n">
        <v>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32801-2026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46241</v>
      </c>
      <c r="E2978" s="1" t="n">
        <v>46265</v>
      </c>
      <c r="F2978" t="inlineStr">
        <is>
          <t>HALLANDS LÄN</t>
        </is>
      </c>
      <c r="G2978" t="inlineStr">
        <is>
          <t>HYLTE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29709-2026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46204</v>
      </c>
      <c r="E2979" s="1" t="n">
        <v>46265</v>
      </c>
      <c r="F2979" t="inlineStr">
        <is>
          <t>HALLANDS LÄN</t>
        </is>
      </c>
      <c r="G2979" t="inlineStr">
        <is>
          <t>VARBERG</t>
        </is>
      </c>
      <c r="I2979" t="n">
        <v>1.9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33498-2026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46248</v>
      </c>
      <c r="E2980" s="1" t="n">
        <v>46265</v>
      </c>
      <c r="F2980" t="inlineStr">
        <is>
          <t>HALLANDS LÄN</t>
        </is>
      </c>
      <c r="G2980" t="inlineStr">
        <is>
          <t>HYLTE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33561-2026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46247</v>
      </c>
      <c r="E2981" s="1" t="n">
        <v>46265</v>
      </c>
      <c r="F2981" t="inlineStr">
        <is>
          <t>HALLANDS LÄN</t>
        </is>
      </c>
      <c r="G2981" t="inlineStr">
        <is>
          <t>HYLTE</t>
        </is>
      </c>
      <c r="I2981" t="n">
        <v>1.4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31570-2026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46224</v>
      </c>
      <c r="E2982" s="1" t="n">
        <v>46265</v>
      </c>
      <c r="F2982" t="inlineStr">
        <is>
          <t>HALLANDS LÄN</t>
        </is>
      </c>
      <c r="G2982" t="inlineStr">
        <is>
          <t>HYLTE</t>
        </is>
      </c>
      <c r="I2982" t="n">
        <v>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33576-2026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46248</v>
      </c>
      <c r="E2983" s="1" t="n">
        <v>46265</v>
      </c>
      <c r="F2983" t="inlineStr">
        <is>
          <t>HALLANDS LÄN</t>
        </is>
      </c>
      <c r="G2983" t="inlineStr">
        <is>
          <t>FALKENBERG</t>
        </is>
      </c>
      <c r="I2983" t="n">
        <v>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33526-2026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46248</v>
      </c>
      <c r="E2984" s="1" t="n">
        <v>46265</v>
      </c>
      <c r="F2984" t="inlineStr">
        <is>
          <t>HALLANDS LÄN</t>
        </is>
      </c>
      <c r="G2984" t="inlineStr">
        <is>
          <t>HYLTE</t>
        </is>
      </c>
      <c r="I2984" t="n">
        <v>0.8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29701-2026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46204</v>
      </c>
      <c r="E2985" s="1" t="n">
        <v>46265</v>
      </c>
      <c r="F2985" t="inlineStr">
        <is>
          <t>HALLANDS LÄN</t>
        </is>
      </c>
      <c r="G2985" t="inlineStr">
        <is>
          <t>FALKENBERG</t>
        </is>
      </c>
      <c r="I2985" t="n">
        <v>0.9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30386-2026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46209</v>
      </c>
      <c r="E2986" s="1" t="n">
        <v>46265</v>
      </c>
      <c r="F2986" t="inlineStr">
        <is>
          <t>HALLANDS LÄN</t>
        </is>
      </c>
      <c r="G2986" t="inlineStr">
        <is>
          <t>LAHOLM</t>
        </is>
      </c>
      <c r="H2986" t="inlineStr">
        <is>
          <t>Sveaskog</t>
        </is>
      </c>
      <c r="I2986" t="n">
        <v>0.9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30032-2026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46206</v>
      </c>
      <c r="E2987" s="1" t="n">
        <v>46265</v>
      </c>
      <c r="F2987" t="inlineStr">
        <is>
          <t>HALLANDS LÄN</t>
        </is>
      </c>
      <c r="G2987" t="inlineStr">
        <is>
          <t>LAHOLM</t>
        </is>
      </c>
      <c r="I2987" t="n">
        <v>1.5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30385-2026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46209</v>
      </c>
      <c r="E2988" s="1" t="n">
        <v>46265</v>
      </c>
      <c r="F2988" t="inlineStr">
        <is>
          <t>HALLANDS LÄN</t>
        </is>
      </c>
      <c r="G2988" t="inlineStr">
        <is>
          <t>LAHOLM</t>
        </is>
      </c>
      <c r="H2988" t="inlineStr">
        <is>
          <t>Sveaskog</t>
        </is>
      </c>
      <c r="I2988" t="n">
        <v>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34051-2026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46251</v>
      </c>
      <c r="E2989" s="1" t="n">
        <v>46265</v>
      </c>
      <c r="F2989" t="inlineStr">
        <is>
          <t>HALLANDS LÄN</t>
        </is>
      </c>
      <c r="G2989" t="inlineStr">
        <is>
          <t>VARBERG</t>
        </is>
      </c>
      <c r="H2989" t="inlineStr">
        <is>
          <t>Övriga statliga verk och myndigheter</t>
        </is>
      </c>
      <c r="I2989" t="n">
        <v>1.3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30028-2026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46206</v>
      </c>
      <c r="E2990" s="1" t="n">
        <v>46265</v>
      </c>
      <c r="F2990" t="inlineStr">
        <is>
          <t>HALLANDS LÄN</t>
        </is>
      </c>
      <c r="G2990" t="inlineStr">
        <is>
          <t>HALMSTAD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30030-2026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46206</v>
      </c>
      <c r="E2991" s="1" t="n">
        <v>46265</v>
      </c>
      <c r="F2991" t="inlineStr">
        <is>
          <t>HALLANDS LÄN</t>
        </is>
      </c>
      <c r="G2991" t="inlineStr">
        <is>
          <t>LAHOLM</t>
        </is>
      </c>
      <c r="I2991" t="n">
        <v>0.6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31168-2026</t>
        </is>
      </c>
      <c r="B2992" t="inlineStr">
        <is>
          <t>avverkningsanmälan</t>
        </is>
      </c>
      <c r="C2992" t="inlineStr">
        <is>
          <t>Avverkning för annat ändamål</t>
        </is>
      </c>
      <c r="D2992" s="1" t="n">
        <v>46209</v>
      </c>
      <c r="E2992" s="1" t="n">
        <v>46265</v>
      </c>
      <c r="F2992" t="inlineStr">
        <is>
          <t>HALLANDS LÄN</t>
        </is>
      </c>
      <c r="G2992" t="inlineStr">
        <is>
          <t>HYLTE</t>
        </is>
      </c>
      <c r="I2992" t="n">
        <v>2.1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34026-2026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46251</v>
      </c>
      <c r="E2993" s="1" t="n">
        <v>46265</v>
      </c>
      <c r="F2993" t="inlineStr">
        <is>
          <t>HALLANDS LÄN</t>
        </is>
      </c>
      <c r="G2993" t="inlineStr">
        <is>
          <t>VARBERG</t>
        </is>
      </c>
      <c r="H2993" t="inlineStr">
        <is>
          <t>Övriga statliga verk och myndigheter</t>
        </is>
      </c>
      <c r="I2993" t="n">
        <v>5.1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2082-2026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46036</v>
      </c>
      <c r="E2994" s="1" t="n">
        <v>46265</v>
      </c>
      <c r="F2994" t="inlineStr">
        <is>
          <t>HALLANDS LÄN</t>
        </is>
      </c>
      <c r="G2994" t="inlineStr">
        <is>
          <t>HYLTE</t>
        </is>
      </c>
      <c r="I2994" t="n">
        <v>6.1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33854-2026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46251</v>
      </c>
      <c r="E2995" s="1" t="n">
        <v>46265</v>
      </c>
      <c r="F2995" t="inlineStr">
        <is>
          <t>HALLANDS LÄN</t>
        </is>
      </c>
      <c r="G2995" t="inlineStr">
        <is>
          <t>FALKENBERG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23108-2026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46161</v>
      </c>
      <c r="E2996" s="1" t="n">
        <v>46265</v>
      </c>
      <c r="F2996" t="inlineStr">
        <is>
          <t>HALLANDS LÄN</t>
        </is>
      </c>
      <c r="G2996" t="inlineStr">
        <is>
          <t>HYLTE</t>
        </is>
      </c>
      <c r="I2996" t="n">
        <v>0.8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33787-2026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46251</v>
      </c>
      <c r="E2997" s="1" t="n">
        <v>46265</v>
      </c>
      <c r="F2997" t="inlineStr">
        <is>
          <t>HALLANDS LÄN</t>
        </is>
      </c>
      <c r="G2997" t="inlineStr">
        <is>
          <t>LAHOLM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30151-2026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46206</v>
      </c>
      <c r="E2998" s="1" t="n">
        <v>46265</v>
      </c>
      <c r="F2998" t="inlineStr">
        <is>
          <t>HALLANDS LÄN</t>
        </is>
      </c>
      <c r="G2998" t="inlineStr">
        <is>
          <t>HYLTE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30489-2026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46210</v>
      </c>
      <c r="E2999" s="1" t="n">
        <v>46265</v>
      </c>
      <c r="F2999" t="inlineStr">
        <is>
          <t>HALLANDS LÄN</t>
        </is>
      </c>
      <c r="G2999" t="inlineStr">
        <is>
          <t>HALMSTAD</t>
        </is>
      </c>
      <c r="I2999" t="n">
        <v>1.6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30503-2026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46210</v>
      </c>
      <c r="E3000" s="1" t="n">
        <v>46265</v>
      </c>
      <c r="F3000" t="inlineStr">
        <is>
          <t>HALLANDS LÄN</t>
        </is>
      </c>
      <c r="G3000" t="inlineStr">
        <is>
          <t>HALMSTAD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30729-2026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46211</v>
      </c>
      <c r="E3001" s="1" t="n">
        <v>46265</v>
      </c>
      <c r="F3001" t="inlineStr">
        <is>
          <t>HALLANDS LÄN</t>
        </is>
      </c>
      <c r="G3001" t="inlineStr">
        <is>
          <t>LAHOLM</t>
        </is>
      </c>
      <c r="I3001" t="n">
        <v>1.1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34181-2026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46253</v>
      </c>
      <c r="E3002" s="1" t="n">
        <v>46265</v>
      </c>
      <c r="F3002" t="inlineStr">
        <is>
          <t>HALLANDS LÄN</t>
        </is>
      </c>
      <c r="G3002" t="inlineStr">
        <is>
          <t>FALKENBERG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30715-2026</t>
        </is>
      </c>
      <c r="B3003" t="inlineStr">
        <is>
          <t>avverkningsanmälan</t>
        </is>
      </c>
      <c r="C3003" t="inlineStr">
        <is>
          <t>Avverkning för att bevara och utveckla /försöksver</t>
        </is>
      </c>
      <c r="D3003" s="1" t="n">
        <v>46211</v>
      </c>
      <c r="E3003" s="1" t="n">
        <v>46265</v>
      </c>
      <c r="F3003" t="inlineStr">
        <is>
          <t>HALLANDS LÄN</t>
        </is>
      </c>
      <c r="G3003" t="inlineStr">
        <is>
          <t>FALKENBERG</t>
        </is>
      </c>
      <c r="I3003" t="n">
        <v>1.3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34307-2026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46254</v>
      </c>
      <c r="E3004" s="1" t="n">
        <v>46265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19304-2023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45049</v>
      </c>
      <c r="E3005" s="1" t="n">
        <v>46265</v>
      </c>
      <c r="F3005" t="inlineStr">
        <is>
          <t>HALLANDS LÄN</t>
        </is>
      </c>
      <c r="G3005" t="inlineStr">
        <is>
          <t>HALMSTAD</t>
        </is>
      </c>
      <c r="I3005" t="n">
        <v>2.7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5308-2026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46050</v>
      </c>
      <c r="E3006" s="1" t="n">
        <v>46265</v>
      </c>
      <c r="F3006" t="inlineStr">
        <is>
          <t>HALLANDS LÄN</t>
        </is>
      </c>
      <c r="G3006" t="inlineStr">
        <is>
          <t>LAHOLM</t>
        </is>
      </c>
      <c r="I3006" t="n">
        <v>6.9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30499-2026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46210</v>
      </c>
      <c r="E3007" s="1" t="n">
        <v>46265</v>
      </c>
      <c r="F3007" t="inlineStr">
        <is>
          <t>HALLANDS LÄN</t>
        </is>
      </c>
      <c r="G3007" t="inlineStr">
        <is>
          <t>HALMSTAD</t>
        </is>
      </c>
      <c r="I3007" t="n">
        <v>1.2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30508-2026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46210</v>
      </c>
      <c r="E3008" s="1" t="n">
        <v>46265</v>
      </c>
      <c r="F3008" t="inlineStr">
        <is>
          <t>HALLANDS LÄN</t>
        </is>
      </c>
      <c r="G3008" t="inlineStr">
        <is>
          <t>HALMSTAD</t>
        </is>
      </c>
      <c r="I3008" t="n">
        <v>1.9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30510-2026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46210</v>
      </c>
      <c r="E3009" s="1" t="n">
        <v>46265</v>
      </c>
      <c r="F3009" t="inlineStr">
        <is>
          <t>HALLANDS LÄN</t>
        </is>
      </c>
      <c r="G3009" t="inlineStr">
        <is>
          <t>HALMSTAD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30493-2026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46210</v>
      </c>
      <c r="E3010" s="1" t="n">
        <v>46265</v>
      </c>
      <c r="F3010" t="inlineStr">
        <is>
          <t>HALLANDS LÄN</t>
        </is>
      </c>
      <c r="G3010" t="inlineStr">
        <is>
          <t>HALMSTAD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34185-2026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46253</v>
      </c>
      <c r="E3011" s="1" t="n">
        <v>46265</v>
      </c>
      <c r="F3011" t="inlineStr">
        <is>
          <t>HALLANDS LÄN</t>
        </is>
      </c>
      <c r="G3011" t="inlineStr">
        <is>
          <t>HALMSTAD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34106-2026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46253</v>
      </c>
      <c r="E3012" s="1" t="n">
        <v>46265</v>
      </c>
      <c r="F3012" t="inlineStr">
        <is>
          <t>HALLANDS LÄN</t>
        </is>
      </c>
      <c r="G3012" t="inlineStr">
        <is>
          <t>HALMSTAD</t>
        </is>
      </c>
      <c r="I3012" t="n">
        <v>1.7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34174-2026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46253</v>
      </c>
      <c r="E3013" s="1" t="n">
        <v>46265</v>
      </c>
      <c r="F3013" t="inlineStr">
        <is>
          <t>HALLANDS LÄN</t>
        </is>
      </c>
      <c r="G3013" t="inlineStr">
        <is>
          <t>LAHOLM</t>
        </is>
      </c>
      <c r="I3013" t="n">
        <v>1.7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30496-2026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46210</v>
      </c>
      <c r="E3014" s="1" t="n">
        <v>46265</v>
      </c>
      <c r="F3014" t="inlineStr">
        <is>
          <t>HALLANDS LÄN</t>
        </is>
      </c>
      <c r="G3014" t="inlineStr">
        <is>
          <t>HALMSTAD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30498-2026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46210</v>
      </c>
      <c r="E3015" s="1" t="n">
        <v>46265</v>
      </c>
      <c r="F3015" t="inlineStr">
        <is>
          <t>HALLANDS LÄN</t>
        </is>
      </c>
      <c r="G3015" t="inlineStr">
        <is>
          <t>HALMSTAD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30525-2026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46210</v>
      </c>
      <c r="E3016" s="1" t="n">
        <v>46265</v>
      </c>
      <c r="F3016" t="inlineStr">
        <is>
          <t>HALLANDS LÄN</t>
        </is>
      </c>
      <c r="G3016" t="inlineStr">
        <is>
          <t>VARBERG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30574-2026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46210</v>
      </c>
      <c r="E3017" s="1" t="n">
        <v>46265</v>
      </c>
      <c r="F3017" t="inlineStr">
        <is>
          <t>HALLANDS LÄN</t>
        </is>
      </c>
      <c r="G3017" t="inlineStr">
        <is>
          <t>VARBERG</t>
        </is>
      </c>
      <c r="I3017" t="n">
        <v>2.9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30577-2026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46210</v>
      </c>
      <c r="E3018" s="1" t="n">
        <v>46265</v>
      </c>
      <c r="F3018" t="inlineStr">
        <is>
          <t>HALLANDS LÄN</t>
        </is>
      </c>
      <c r="G3018" t="inlineStr">
        <is>
          <t>VARBERG</t>
        </is>
      </c>
      <c r="I3018" t="n">
        <v>3.3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30566-2026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46210</v>
      </c>
      <c r="E3019" s="1" t="n">
        <v>46265</v>
      </c>
      <c r="F3019" t="inlineStr">
        <is>
          <t>HALLANDS LÄN</t>
        </is>
      </c>
      <c r="G3019" t="inlineStr">
        <is>
          <t>VARBERG</t>
        </is>
      </c>
      <c r="I3019" t="n">
        <v>1.2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34771-2026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46255</v>
      </c>
      <c r="E3020" s="1" t="n">
        <v>46265</v>
      </c>
      <c r="F3020" t="inlineStr">
        <is>
          <t>HALLANDS LÄN</t>
        </is>
      </c>
      <c r="G3020" t="inlineStr">
        <is>
          <t>LAHOLM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34792-2026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46258</v>
      </c>
      <c r="E3021" s="1" t="n">
        <v>46265</v>
      </c>
      <c r="F3021" t="inlineStr">
        <is>
          <t>HALLANDS LÄN</t>
        </is>
      </c>
      <c r="G3021" t="inlineStr">
        <is>
          <t>FALKENBERG</t>
        </is>
      </c>
      <c r="I3021" t="n">
        <v>5.5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34749-2026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46258</v>
      </c>
      <c r="E3022" s="1" t="n">
        <v>46265</v>
      </c>
      <c r="F3022" t="inlineStr">
        <is>
          <t>HALLANDS LÄN</t>
        </is>
      </c>
      <c r="G3022" t="inlineStr">
        <is>
          <t>KUNGSBACKA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44223-2025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45915</v>
      </c>
      <c r="E3023" s="1" t="n">
        <v>46265</v>
      </c>
      <c r="F3023" t="inlineStr">
        <is>
          <t>HALLANDS LÄN</t>
        </is>
      </c>
      <c r="G3023" t="inlineStr">
        <is>
          <t>VARBERG</t>
        </is>
      </c>
      <c r="I3023" t="n">
        <v>0.8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34525-2026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46255</v>
      </c>
      <c r="E3024" s="1" t="n">
        <v>46265</v>
      </c>
      <c r="F3024" t="inlineStr">
        <is>
          <t>HALLANDS LÄN</t>
        </is>
      </c>
      <c r="G3024" t="inlineStr">
        <is>
          <t>VARBERG</t>
        </is>
      </c>
      <c r="I3024" t="n">
        <v>5.5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34757-2026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46258</v>
      </c>
      <c r="E3025" s="1" t="n">
        <v>46265</v>
      </c>
      <c r="F3025" t="inlineStr">
        <is>
          <t>HALLANDS LÄN</t>
        </is>
      </c>
      <c r="G3025" t="inlineStr">
        <is>
          <t>HALMSTAD</t>
        </is>
      </c>
      <c r="I3025" t="n">
        <v>1.1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34802-2026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46258</v>
      </c>
      <c r="E3026" s="1" t="n">
        <v>46265</v>
      </c>
      <c r="F3026" t="inlineStr">
        <is>
          <t>HALLANDS LÄN</t>
        </is>
      </c>
      <c r="G3026" t="inlineStr">
        <is>
          <t>KUNGSBACKA</t>
        </is>
      </c>
      <c r="I3026" t="n">
        <v>1.7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34763-2026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46258</v>
      </c>
      <c r="E3027" s="1" t="n">
        <v>46265</v>
      </c>
      <c r="F3027" t="inlineStr">
        <is>
          <t>HALLANDS LÄN</t>
        </is>
      </c>
      <c r="G3027" t="inlineStr">
        <is>
          <t>HALMSTAD</t>
        </is>
      </c>
      <c r="I3027" t="n">
        <v>1.7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34482-2026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46254</v>
      </c>
      <c r="E3028" s="1" t="n">
        <v>46265</v>
      </c>
      <c r="F3028" t="inlineStr">
        <is>
          <t>HALLANDS LÄN</t>
        </is>
      </c>
      <c r="G3028" t="inlineStr">
        <is>
          <t>HALMSTAD</t>
        </is>
      </c>
      <c r="I3028" t="n">
        <v>0.9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34756-2026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46265</v>
      </c>
      <c r="F3029" t="inlineStr">
        <is>
          <t>HALLANDS LÄN</t>
        </is>
      </c>
      <c r="G3029" t="inlineStr">
        <is>
          <t>HALMSTAD</t>
        </is>
      </c>
      <c r="I3029" t="n">
        <v>2.7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6198-2024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45337</v>
      </c>
      <c r="E3030" s="1" t="n">
        <v>46265</v>
      </c>
      <c r="F3030" t="inlineStr">
        <is>
          <t>HALLANDS LÄN</t>
        </is>
      </c>
      <c r="G3030" t="inlineStr">
        <is>
          <t>LAHOLM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34625-2026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46254</v>
      </c>
      <c r="E3031" s="1" t="n">
        <v>46265</v>
      </c>
      <c r="F3031" t="inlineStr">
        <is>
          <t>HALLANDS LÄN</t>
        </is>
      </c>
      <c r="G3031" t="inlineStr">
        <is>
          <t>HALMSTAD</t>
        </is>
      </c>
      <c r="I3031" t="n">
        <v>4.2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24759-2026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46171</v>
      </c>
      <c r="E3032" s="1" t="n">
        <v>46265</v>
      </c>
      <c r="F3032" t="inlineStr">
        <is>
          <t>HALLANDS LÄN</t>
        </is>
      </c>
      <c r="G3032" t="inlineStr">
        <is>
          <t>LAHOLM</t>
        </is>
      </c>
      <c r="I3032" t="n">
        <v>4.3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19804-2026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46135</v>
      </c>
      <c r="E3033" s="1" t="n">
        <v>46265</v>
      </c>
      <c r="F3033" t="inlineStr">
        <is>
          <t>HALLANDS LÄN</t>
        </is>
      </c>
      <c r="G3033" t="inlineStr">
        <is>
          <t>LAHOLM</t>
        </is>
      </c>
      <c r="I3033" t="n">
        <v>3.2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8825-2026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46066</v>
      </c>
      <c r="E3034" s="1" t="n">
        <v>46265</v>
      </c>
      <c r="F3034" t="inlineStr">
        <is>
          <t>HALLANDS LÄN</t>
        </is>
      </c>
      <c r="G3034" t="inlineStr">
        <is>
          <t>LAHOLM</t>
        </is>
      </c>
      <c r="I3034" t="n">
        <v>3.7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30783-2026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46212</v>
      </c>
      <c r="E3035" s="1" t="n">
        <v>46265</v>
      </c>
      <c r="F3035" t="inlineStr">
        <is>
          <t>HALLANDS LÄN</t>
        </is>
      </c>
      <c r="G3035" t="inlineStr">
        <is>
          <t>FALKENBERG</t>
        </is>
      </c>
      <c r="I3035" t="n">
        <v>0.5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30790-2026</t>
        </is>
      </c>
      <c r="B3036" t="inlineStr">
        <is>
          <t>avverkningsanmälan</t>
        </is>
      </c>
      <c r="C3036" t="inlineStr">
        <is>
          <t>Avverkning för att bevara och utveckla /försöksver</t>
        </is>
      </c>
      <c r="D3036" s="1" t="n">
        <v>46212</v>
      </c>
      <c r="E3036" s="1" t="n">
        <v>46265</v>
      </c>
      <c r="F3036" t="inlineStr">
        <is>
          <t>HALLANDS LÄN</t>
        </is>
      </c>
      <c r="G3036" t="inlineStr">
        <is>
          <t>FALKENBERG</t>
        </is>
      </c>
      <c r="I3036" t="n">
        <v>0.8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34533-2026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46255</v>
      </c>
      <c r="E3037" s="1" t="n">
        <v>46265</v>
      </c>
      <c r="F3037" t="inlineStr">
        <is>
          <t>HALLANDS LÄN</t>
        </is>
      </c>
      <c r="G3037" t="inlineStr">
        <is>
          <t>VARBERG</t>
        </is>
      </c>
      <c r="I3037" t="n">
        <v>2.8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34892-2026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46265</v>
      </c>
      <c r="F3038" t="inlineStr">
        <is>
          <t>HALLANDS LÄN</t>
        </is>
      </c>
      <c r="G3038" t="inlineStr">
        <is>
          <t>FALKENBERG</t>
        </is>
      </c>
      <c r="I3038" t="n">
        <v>0.8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31189-2026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46217</v>
      </c>
      <c r="E3039" s="1" t="n">
        <v>46265</v>
      </c>
      <c r="F3039" t="inlineStr">
        <is>
          <t>HALLANDS LÄN</t>
        </is>
      </c>
      <c r="G3039" t="inlineStr">
        <is>
          <t>FALKENBERG</t>
        </is>
      </c>
      <c r="I3039" t="n">
        <v>6.7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34889-2026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46259</v>
      </c>
      <c r="E3040" s="1" t="n">
        <v>46265</v>
      </c>
      <c r="F3040" t="inlineStr">
        <is>
          <t>HALLANDS LÄN</t>
        </is>
      </c>
      <c r="G3040" t="inlineStr">
        <is>
          <t>HALMSTAD</t>
        </is>
      </c>
      <c r="I3040" t="n">
        <v>3.7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35001-2026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46259</v>
      </c>
      <c r="E3041" s="1" t="n">
        <v>46265</v>
      </c>
      <c r="F3041" t="inlineStr">
        <is>
          <t>HALLANDS LÄN</t>
        </is>
      </c>
      <c r="G3041" t="inlineStr">
        <is>
          <t>LAHOLM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35229-2026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46260</v>
      </c>
      <c r="E3042" s="1" t="n">
        <v>46265</v>
      </c>
      <c r="F3042" t="inlineStr">
        <is>
          <t>HALLANDS LÄN</t>
        </is>
      </c>
      <c r="G3042" t="inlineStr">
        <is>
          <t>FALKENBERG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34953-2026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46259</v>
      </c>
      <c r="E3043" s="1" t="n">
        <v>46265</v>
      </c>
      <c r="F3043" t="inlineStr">
        <is>
          <t>HALLANDS LÄN</t>
        </is>
      </c>
      <c r="G3043" t="inlineStr">
        <is>
          <t>FALKENBERG</t>
        </is>
      </c>
      <c r="I3043" t="n">
        <v>1.5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35140-2026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46260</v>
      </c>
      <c r="E3044" s="1" t="n">
        <v>46265</v>
      </c>
      <c r="F3044" t="inlineStr">
        <is>
          <t>HALLANDS LÄN</t>
        </is>
      </c>
      <c r="G3044" t="inlineStr">
        <is>
          <t>KUNGSBACKA</t>
        </is>
      </c>
      <c r="I3044" t="n">
        <v>1.4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35187-2026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46260</v>
      </c>
      <c r="E3045" s="1" t="n">
        <v>46265</v>
      </c>
      <c r="F3045" t="inlineStr">
        <is>
          <t>HALLANDS LÄN</t>
        </is>
      </c>
      <c r="G3045" t="inlineStr">
        <is>
          <t>KUNGSBACKA</t>
        </is>
      </c>
      <c r="I3045" t="n">
        <v>0.4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35189-2026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46260</v>
      </c>
      <c r="E3046" s="1" t="n">
        <v>46265</v>
      </c>
      <c r="F3046" t="inlineStr">
        <is>
          <t>HALLANDS LÄN</t>
        </is>
      </c>
      <c r="G3046" t="inlineStr">
        <is>
          <t>KUNGSBACKA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35198-2026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46260</v>
      </c>
      <c r="E3047" s="1" t="n">
        <v>46265</v>
      </c>
      <c r="F3047" t="inlineStr">
        <is>
          <t>HALLANDS LÄN</t>
        </is>
      </c>
      <c r="G3047" t="inlineStr">
        <is>
          <t>KUNGSBACKA</t>
        </is>
      </c>
      <c r="I3047" t="n">
        <v>1.7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35194-2026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46260</v>
      </c>
      <c r="E3048" s="1" t="n">
        <v>46265</v>
      </c>
      <c r="F3048" t="inlineStr">
        <is>
          <t>HALLANDS LÄN</t>
        </is>
      </c>
      <c r="G3048" t="inlineStr">
        <is>
          <t>KUNGSBACKA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51932-2024</t>
        </is>
      </c>
      <c r="B3049" t="inlineStr">
        <is>
          <t>avverkningsanmälan</t>
        </is>
      </c>
      <c r="C3049" t="inlineStr">
        <is>
          <t>Avverkning för annat ändamål</t>
        </is>
      </c>
      <c r="D3049" s="1" t="n">
        <v>45607</v>
      </c>
      <c r="E3049" s="1" t="n">
        <v>46265</v>
      </c>
      <c r="F3049" t="inlineStr">
        <is>
          <t>HALLANDS LÄN</t>
        </is>
      </c>
      <c r="G3049" t="inlineStr">
        <is>
          <t>VARBERG</t>
        </is>
      </c>
      <c r="I3049" t="n">
        <v>0.9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12300-2026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46087</v>
      </c>
      <c r="E3050" s="1" t="n">
        <v>46265</v>
      </c>
      <c r="F3050" t="inlineStr">
        <is>
          <t>HALLANDS LÄN</t>
        </is>
      </c>
      <c r="G3050" t="inlineStr">
        <is>
          <t>FALKENBERG</t>
        </is>
      </c>
      <c r="I3050" t="n">
        <v>1.3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35015-2026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46259</v>
      </c>
      <c r="E3051" s="1" t="n">
        <v>46265</v>
      </c>
      <c r="F3051" t="inlineStr">
        <is>
          <t>HALLANDS LÄN</t>
        </is>
      </c>
      <c r="G3051" t="inlineStr">
        <is>
          <t>FALKENBERG</t>
        </is>
      </c>
      <c r="I3051" t="n">
        <v>2.7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35020-2026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46259</v>
      </c>
      <c r="E3052" s="1" t="n">
        <v>46265</v>
      </c>
      <c r="F3052" t="inlineStr">
        <is>
          <t>HALLANDS LÄN</t>
        </is>
      </c>
      <c r="G3052" t="inlineStr">
        <is>
          <t>HALMSTAD</t>
        </is>
      </c>
      <c r="I3052" t="n">
        <v>3.9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9614-2024</t>
        </is>
      </c>
      <c r="B3053" t="inlineStr">
        <is>
          <t>avverkningsanmälan</t>
        </is>
      </c>
      <c r="C3053" t="inlineStr">
        <is>
          <t>Avverkning för annat ändamål</t>
        </is>
      </c>
      <c r="D3053" s="1" t="n">
        <v>45361</v>
      </c>
      <c r="E3053" s="1" t="n">
        <v>46265</v>
      </c>
      <c r="F3053" t="inlineStr">
        <is>
          <t>HALLANDS LÄN</t>
        </is>
      </c>
      <c r="G3053" t="inlineStr">
        <is>
          <t>VARBERG</t>
        </is>
      </c>
      <c r="I3053" t="n">
        <v>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35322-2026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46261</v>
      </c>
      <c r="E3054" s="1" t="n">
        <v>46265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35333-2026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46261</v>
      </c>
      <c r="E3055" s="1" t="n">
        <v>46265</v>
      </c>
      <c r="F3055" t="inlineStr">
        <is>
          <t>HALLANDS LÄN</t>
        </is>
      </c>
      <c r="G3055" t="inlineStr">
        <is>
          <t>HYLTE</t>
        </is>
      </c>
      <c r="I3055" t="n">
        <v>1.2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35185-2026</t>
        </is>
      </c>
      <c r="B3056" t="inlineStr">
        <is>
          <t>avverkningsanmälan</t>
        </is>
      </c>
      <c r="C3056" t="inlineStr">
        <is>
          <t>Avverkning för annat ändamål</t>
        </is>
      </c>
      <c r="D3056" s="1" t="n">
        <v>46260</v>
      </c>
      <c r="E3056" s="1" t="n">
        <v>46265</v>
      </c>
      <c r="F3056" t="inlineStr">
        <is>
          <t>HALLANDS LÄN</t>
        </is>
      </c>
      <c r="G3056" t="inlineStr">
        <is>
          <t>HALMSTAD</t>
        </is>
      </c>
      <c r="I3056" t="n">
        <v>0.3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236-2026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46027</v>
      </c>
      <c r="E3057" s="1" t="n">
        <v>46265</v>
      </c>
      <c r="F3057" t="inlineStr">
        <is>
          <t>HALLANDS LÄN</t>
        </is>
      </c>
      <c r="G3057" t="inlineStr">
        <is>
          <t>HALMSTAD</t>
        </is>
      </c>
      <c r="I3057" t="n">
        <v>1.6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2307-2020</t>
        </is>
      </c>
      <c r="B3058" t="inlineStr">
        <is>
          <t>samrådsanmälan</t>
        </is>
      </c>
      <c r="C3058" t="inlineStr">
        <is>
          <t>Åtgärd i nyckelbiotop</t>
        </is>
      </c>
      <c r="D3058" s="1" t="n">
        <v>44132</v>
      </c>
      <c r="E3058" s="1" t="n">
        <v>46265</v>
      </c>
      <c r="F3058" t="inlineStr">
        <is>
          <t>HALLANDS LÄN</t>
        </is>
      </c>
      <c r="G3058" t="inlineStr">
        <is>
          <t>HALMSTAD</t>
        </is>
      </c>
      <c r="I3058" t="n">
        <v>1.1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203-2022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44574</v>
      </c>
      <c r="E3059" s="1" t="n">
        <v>46265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1404-2022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44631</v>
      </c>
      <c r="E3060" s="1" t="n">
        <v>46265</v>
      </c>
      <c r="F3060" t="inlineStr">
        <is>
          <t>HALLANDS LÄN</t>
        </is>
      </c>
      <c r="G3060" t="inlineStr">
        <is>
          <t>HYLTE</t>
        </is>
      </c>
      <c r="I3060" t="n">
        <v>2.5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572-2022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44592</v>
      </c>
      <c r="E3061" s="1" t="n">
        <v>46265</v>
      </c>
      <c r="F3061" t="inlineStr">
        <is>
          <t>HALLANDS LÄN</t>
        </is>
      </c>
      <c r="G3061" t="inlineStr">
        <is>
          <t>HALMSTAD</t>
        </is>
      </c>
      <c r="H3061" t="inlineStr">
        <is>
          <t>Kyrkan</t>
        </is>
      </c>
      <c r="I3061" t="n">
        <v>1.5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951-2022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44608</v>
      </c>
      <c r="E3062" s="1" t="n">
        <v>46265</v>
      </c>
      <c r="F3062" t="inlineStr">
        <is>
          <t>HALLANDS LÄN</t>
        </is>
      </c>
      <c r="G3062" t="inlineStr">
        <is>
          <t>FALKENBERG</t>
        </is>
      </c>
      <c r="I3062" t="n">
        <v>0.1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46265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1038-2022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44613</v>
      </c>
      <c r="E3064" s="1" t="n">
        <v>46265</v>
      </c>
      <c r="F3064" t="inlineStr">
        <is>
          <t>HALLANDS LÄN</t>
        </is>
      </c>
      <c r="G3064" t="inlineStr">
        <is>
          <t>HYLTE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953-2022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44608</v>
      </c>
      <c r="E3065" s="1" t="n">
        <v>46265</v>
      </c>
      <c r="F3065" t="inlineStr">
        <is>
          <t>HALLANDS LÄN</t>
        </is>
      </c>
      <c r="G3065" t="inlineStr">
        <is>
          <t>HYLTE</t>
        </is>
      </c>
      <c r="I3065" t="n">
        <v>1.2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3049-2024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45516</v>
      </c>
      <c r="E3066" s="1" t="n">
        <v>46265</v>
      </c>
      <c r="F3066" t="inlineStr">
        <is>
          <t>HALLANDS LÄN</t>
        </is>
      </c>
      <c r="G3066" t="inlineStr">
        <is>
          <t>HALMSTAD</t>
        </is>
      </c>
      <c r="I3066" t="n">
        <v>13.9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1388-2022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44631</v>
      </c>
      <c r="E3067" s="1" t="n">
        <v>46265</v>
      </c>
      <c r="F3067" t="inlineStr">
        <is>
          <t>HALLANDS LÄN</t>
        </is>
      </c>
      <c r="G3067" t="inlineStr">
        <is>
          <t>HYLTE</t>
        </is>
      </c>
      <c r="I3067" t="n">
        <v>61.4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1386-2022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44631</v>
      </c>
      <c r="E3068" s="1" t="n">
        <v>46265</v>
      </c>
      <c r="F3068" t="inlineStr">
        <is>
          <t>HALLANDS LÄN</t>
        </is>
      </c>
      <c r="G3068" t="inlineStr">
        <is>
          <t>HYLTE</t>
        </is>
      </c>
      <c r="I3068" t="n">
        <v>26.3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1918-2024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45442</v>
      </c>
      <c r="E3069" s="1" t="n">
        <v>46265</v>
      </c>
      <c r="F3069" t="inlineStr">
        <is>
          <t>HALLANDS LÄN</t>
        </is>
      </c>
      <c r="G3069" t="inlineStr">
        <is>
          <t>LAHOLM</t>
        </is>
      </c>
      <c r="I3069" t="n">
        <v>39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4308-2023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45259</v>
      </c>
      <c r="E3070" s="1" t="n">
        <v>46265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4822-2024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45614</v>
      </c>
      <c r="E3071" s="1" t="n">
        <v>46265</v>
      </c>
      <c r="F3071" t="inlineStr">
        <is>
          <t>HALLANDS LÄN</t>
        </is>
      </c>
      <c r="G3071" t="inlineStr">
        <is>
          <t>HYLTE</t>
        </is>
      </c>
      <c r="H3071" t="inlineStr">
        <is>
          <t>Kyrkan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4158-2022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44767</v>
      </c>
      <c r="E3072" s="1" t="n">
        <v>46265</v>
      </c>
      <c r="F3072" t="inlineStr">
        <is>
          <t>HALLANDS LÄN</t>
        </is>
      </c>
      <c r="G3072" t="inlineStr">
        <is>
          <t>HALMSTAD</t>
        </is>
      </c>
      <c r="H3072" t="inlineStr">
        <is>
          <t>Kommuner</t>
        </is>
      </c>
      <c r="I3072" t="n">
        <v>0.5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6247-2022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44868</v>
      </c>
      <c r="E3073" s="1" t="n">
        <v>46265</v>
      </c>
      <c r="F3073" t="inlineStr">
        <is>
          <t>HALLANDS LÄN</t>
        </is>
      </c>
      <c r="G3073" t="inlineStr">
        <is>
          <t>VARBERG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621-2024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45352</v>
      </c>
      <c r="E3074" s="1" t="n">
        <v>46265</v>
      </c>
      <c r="F3074" t="inlineStr">
        <is>
          <t>HALLANDS LÄN</t>
        </is>
      </c>
      <c r="G3074" t="inlineStr">
        <is>
          <t>FALKENBERG</t>
        </is>
      </c>
      <c r="I3074" t="n">
        <v>47.3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3794-2022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44743</v>
      </c>
      <c r="E3075" s="1" t="n">
        <v>46265</v>
      </c>
      <c r="F3075" t="inlineStr">
        <is>
          <t>HALLANDS LÄN</t>
        </is>
      </c>
      <c r="G3075" t="inlineStr">
        <is>
          <t>HYLTE</t>
        </is>
      </c>
      <c r="I3075" t="n">
        <v>0.2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2905-2023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45171</v>
      </c>
      <c r="E3076" s="1" t="n">
        <v>46265</v>
      </c>
      <c r="F3076" t="inlineStr">
        <is>
          <t>HALLANDS LÄN</t>
        </is>
      </c>
      <c r="G3076" t="inlineStr">
        <is>
          <t>HALMSTAD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4323-2023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45261</v>
      </c>
      <c r="E3077" s="1" t="n">
        <v>46265</v>
      </c>
      <c r="F3077" t="inlineStr">
        <is>
          <t>HALLANDS LÄN</t>
        </is>
      </c>
      <c r="G3077" t="inlineStr">
        <is>
          <t>FALKENBERG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6873-2022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44895</v>
      </c>
      <c r="E3078" s="1" t="n">
        <v>46265</v>
      </c>
      <c r="F3078" t="inlineStr">
        <is>
          <t>HALLANDS LÄN</t>
        </is>
      </c>
      <c r="G3078" t="inlineStr">
        <is>
          <t>VARBERG</t>
        </is>
      </c>
      <c r="I3078" t="n">
        <v>1.7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838-2023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44992</v>
      </c>
      <c r="E3079" s="1" t="n">
        <v>46265</v>
      </c>
      <c r="F3079" t="inlineStr">
        <is>
          <t>HALLANDS LÄN</t>
        </is>
      </c>
      <c r="G3079" t="inlineStr">
        <is>
          <t>LAHOLM</t>
        </is>
      </c>
      <c r="H3079" t="inlineStr">
        <is>
          <t>Kommuner</t>
        </is>
      </c>
      <c r="I3079" t="n">
        <v>6.6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45375</v>
      </c>
      <c r="E3080" s="1" t="n">
        <v>46265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878-2023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44995</v>
      </c>
      <c r="E3081" s="1" t="n">
        <v>46265</v>
      </c>
      <c r="F3081" t="inlineStr">
        <is>
          <t>HALLANDS LÄN</t>
        </is>
      </c>
      <c r="G3081" t="inlineStr">
        <is>
          <t>LAHOLM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9294-2021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44517</v>
      </c>
      <c r="E3082" s="1" t="n">
        <v>46265</v>
      </c>
      <c r="F3082" t="inlineStr">
        <is>
          <t>HALLANDS LÄN</t>
        </is>
      </c>
      <c r="G3082" t="inlineStr">
        <is>
          <t>LAHOLM</t>
        </is>
      </c>
      <c r="I3082" t="n">
        <v>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8049-2021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44488</v>
      </c>
      <c r="E3083" s="1" t="n">
        <v>46265</v>
      </c>
      <c r="F3083" t="inlineStr">
        <is>
          <t>HALLANDS LÄN</t>
        </is>
      </c>
      <c r="G3083" t="inlineStr">
        <is>
          <t>HYLTE</t>
        </is>
      </c>
      <c r="I3083" t="n">
        <v>1.3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7296-2021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44469</v>
      </c>
      <c r="E3084" s="1" t="n">
        <v>46265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792-2024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45370</v>
      </c>
      <c r="E3085" s="1" t="n">
        <v>46265</v>
      </c>
      <c r="F3085" t="inlineStr">
        <is>
          <t>HALLANDS LÄN</t>
        </is>
      </c>
      <c r="G3085" t="inlineStr">
        <is>
          <t>FALKENBERG</t>
        </is>
      </c>
      <c r="I3085" t="n">
        <v>3.4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92-2023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44931</v>
      </c>
      <c r="E3086" s="1" t="n">
        <v>46265</v>
      </c>
      <c r="F3086" t="inlineStr">
        <is>
          <t>HALLANDS LÄN</t>
        </is>
      </c>
      <c r="G3086" t="inlineStr">
        <is>
          <t>LAHOLM</t>
        </is>
      </c>
      <c r="I3086" t="n">
        <v>85.90000000000001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4663-2024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45604</v>
      </c>
      <c r="E3087" s="1" t="n">
        <v>46265</v>
      </c>
      <c r="F3087" t="inlineStr">
        <is>
          <t>HALLANDS LÄN</t>
        </is>
      </c>
      <c r="G3087" t="inlineStr">
        <is>
          <t>HYLTE</t>
        </is>
      </c>
      <c r="I3087" t="n">
        <v>4.1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59-2025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45667</v>
      </c>
      <c r="E3088" s="1" t="n">
        <v>46265</v>
      </c>
      <c r="F3088" t="inlineStr">
        <is>
          <t>HALLANDS LÄN</t>
        </is>
      </c>
      <c r="G3088" t="inlineStr">
        <is>
          <t>KUNGSBACKA</t>
        </is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8080-2021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44489</v>
      </c>
      <c r="E3089" s="1" t="n">
        <v>46265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643-2024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45356</v>
      </c>
      <c r="E3090" s="1" t="n">
        <v>46265</v>
      </c>
      <c r="F3090" t="inlineStr">
        <is>
          <t>HALLANDS LÄN</t>
        </is>
      </c>
      <c r="G3090" t="inlineStr">
        <is>
          <t>HYLTE</t>
        </is>
      </c>
      <c r="I3090" t="n">
        <v>35.7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81-2024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46265</v>
      </c>
      <c r="F3091" t="inlineStr">
        <is>
          <t>HALLANDS LÄN</t>
        </is>
      </c>
      <c r="G3091" t="inlineStr">
        <is>
          <t>VARBERG</t>
        </is>
      </c>
      <c r="I3091" t="n">
        <v>4.8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646-2024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45356</v>
      </c>
      <c r="E3092" s="1" t="n">
        <v>46265</v>
      </c>
      <c r="F3092" t="inlineStr">
        <is>
          <t>HALLANDS LÄN</t>
        </is>
      </c>
      <c r="G3092" t="inlineStr">
        <is>
          <t>FALKENBERG</t>
        </is>
      </c>
      <c r="I3092" t="n">
        <v>20.7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46265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46265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82-2024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46265</v>
      </c>
      <c r="F3095" t="inlineStr">
        <is>
          <t>HALLANDS LÄN</t>
        </is>
      </c>
      <c r="G3095" t="inlineStr">
        <is>
          <t>VARBERG</t>
        </is>
      </c>
      <c r="I3095" t="n">
        <v>9.6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366-2024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45330</v>
      </c>
      <c r="E3096" s="1" t="n">
        <v>46265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7248-2021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44466</v>
      </c>
      <c r="E3097" s="1" t="n">
        <v>46265</v>
      </c>
      <c r="F3097" t="inlineStr">
        <is>
          <t>HALLANDS LÄN</t>
        </is>
      </c>
      <c r="G3097" t="inlineStr">
        <is>
          <t>FALKENBERG</t>
        </is>
      </c>
      <c r="I3097" t="n">
        <v>3.6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557-2024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45349</v>
      </c>
      <c r="E3098" s="1" t="n">
        <v>46265</v>
      </c>
      <c r="F3098" t="inlineStr">
        <is>
          <t>HALLANDS LÄN</t>
        </is>
      </c>
      <c r="G3098" t="inlineStr">
        <is>
          <t>FALKENBERG</t>
        </is>
      </c>
      <c r="I3098" t="n">
        <v>20.6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108-2025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45672</v>
      </c>
      <c r="E3099" s="1" t="n">
        <v>46265</v>
      </c>
      <c r="F3099" t="inlineStr">
        <is>
          <t>HALLANDS LÄN</t>
        </is>
      </c>
      <c r="G3099" t="inlineStr">
        <is>
          <t>HALMSTAD</t>
        </is>
      </c>
      <c r="I3099" t="n">
        <v>0.4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46265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46265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46265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46265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46265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7247-2021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44466</v>
      </c>
      <c r="E3105" s="1" t="n">
        <v>46265</v>
      </c>
      <c r="F3105" t="inlineStr">
        <is>
          <t>HALLANDS LÄN</t>
        </is>
      </c>
      <c r="G3105" t="inlineStr">
        <is>
          <t>FALKENBERG</t>
        </is>
      </c>
      <c r="I3105" t="n">
        <v>1.9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6863-2022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44895</v>
      </c>
      <c r="E3106" s="1" t="n">
        <v>46265</v>
      </c>
      <c r="F3106" t="inlineStr">
        <is>
          <t>HALLANDS LÄN</t>
        </is>
      </c>
      <c r="G3106" t="inlineStr">
        <is>
          <t>VARBERG</t>
        </is>
      </c>
      <c r="I3106" t="n">
        <v>1.7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4192-2024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45580</v>
      </c>
      <c r="E3107" s="1" t="n">
        <v>46265</v>
      </c>
      <c r="F3107" t="inlineStr">
        <is>
          <t>HALLANDS LÄN</t>
        </is>
      </c>
      <c r="G3107" t="inlineStr">
        <is>
          <t>FALKENBERG</t>
        </is>
      </c>
      <c r="I3107" t="n">
        <v>0.5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5031-2024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45635</v>
      </c>
      <c r="E3108" s="1" t="n">
        <v>46265</v>
      </c>
      <c r="F3108" t="inlineStr">
        <is>
          <t>HALLANDS LÄN</t>
        </is>
      </c>
      <c r="G3108" t="inlineStr">
        <is>
          <t>LAHOLM</t>
        </is>
      </c>
      <c r="I3108" t="n">
        <v>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3713-2024</t>
        </is>
      </c>
      <c r="B3109" t="inlineStr">
        <is>
          <t>samrådsanmälan</t>
        </is>
      </c>
      <c r="C3109" t="inlineStr">
        <is>
          <t>Dikesrensning</t>
        </is>
      </c>
      <c r="D3109" s="1" t="n">
        <v>45554</v>
      </c>
      <c r="E3109" s="1" t="n">
        <v>46265</v>
      </c>
      <c r="F3109" t="inlineStr">
        <is>
          <t>HALLANDS LÄN</t>
        </is>
      </c>
      <c r="G3109" t="inlineStr">
        <is>
          <t>VARBERG</t>
        </is>
      </c>
      <c r="I3109" t="n">
        <v>1.8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793-2024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45370</v>
      </c>
      <c r="E3110" s="1" t="n">
        <v>46265</v>
      </c>
      <c r="F3110" t="inlineStr">
        <is>
          <t>HALLANDS LÄN</t>
        </is>
      </c>
      <c r="G3110" t="inlineStr">
        <is>
          <t>FALKENBERG</t>
        </is>
      </c>
      <c r="I3110" t="n">
        <v>3.9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403-2024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45335</v>
      </c>
      <c r="E3111" s="1" t="n">
        <v>46265</v>
      </c>
      <c r="F3111" t="inlineStr">
        <is>
          <t>HALLANDS LÄN</t>
        </is>
      </c>
      <c r="G3111" t="inlineStr">
        <is>
          <t>FALKENBERG</t>
        </is>
      </c>
      <c r="I3111" t="n">
        <v>19.3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3407-2024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45534</v>
      </c>
      <c r="E3112" s="1" t="n">
        <v>46265</v>
      </c>
      <c r="F3112" t="inlineStr">
        <is>
          <t>HALLANDS LÄN</t>
        </is>
      </c>
      <c r="G3112" t="inlineStr">
        <is>
          <t>FALKENBERG</t>
        </is>
      </c>
      <c r="I3112" t="n">
        <v>2.4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630-2024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45355</v>
      </c>
      <c r="E3113" s="1" t="n">
        <v>46265</v>
      </c>
      <c r="F3113" t="inlineStr">
        <is>
          <t>HALLANDS LÄN</t>
        </is>
      </c>
      <c r="G3113" t="inlineStr">
        <is>
          <t>VARBERG</t>
        </is>
      </c>
      <c r="I3113" t="n">
        <v>20.4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470-2023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44967</v>
      </c>
      <c r="E3114" s="1" t="n">
        <v>46265</v>
      </c>
      <c r="F3114" t="inlineStr">
        <is>
          <t>HALLANDS LÄN</t>
        </is>
      </c>
      <c r="G3114" t="inlineStr">
        <is>
          <t>FALKENBERG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46265</v>
      </c>
      <c r="F3115" t="inlineStr">
        <is>
          <t>HALLANDS LÄN</t>
        </is>
      </c>
      <c r="G3115" t="inlineStr">
        <is>
          <t>VARBERG</t>
        </is>
      </c>
      <c r="I3115" t="n">
        <v>28.2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616-2024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45352</v>
      </c>
      <c r="E3116" s="1" t="n">
        <v>46265</v>
      </c>
      <c r="F3116" t="inlineStr">
        <is>
          <t>HALLANDS LÄN</t>
        </is>
      </c>
      <c r="G3116" t="inlineStr">
        <is>
          <t>FALKENBERG</t>
        </is>
      </c>
      <c r="I3116" t="n">
        <v>70.59999999999999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7377-2021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44470</v>
      </c>
      <c r="E3117" s="1" t="n">
        <v>46265</v>
      </c>
      <c r="F3117" t="inlineStr">
        <is>
          <t>HALLANDS LÄN</t>
        </is>
      </c>
      <c r="G3117" t="inlineStr">
        <is>
          <t>VARBERG</t>
        </is>
      </c>
      <c r="I3117" t="n">
        <v>45.3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8081-2021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44489</v>
      </c>
      <c r="E3118" s="1" t="n">
        <v>46265</v>
      </c>
      <c r="F3118" t="inlineStr">
        <is>
          <t>HALLANDS LÄN</t>
        </is>
      </c>
      <c r="G3118" t="inlineStr">
        <is>
          <t>FALKENBERG</t>
        </is>
      </c>
      <c r="H3118" t="inlineStr">
        <is>
          <t>Bergvik skog väst AB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1009-2025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46265</v>
      </c>
      <c r="F3119" t="inlineStr">
        <is>
          <t>HALLANDS LÄN</t>
        </is>
      </c>
      <c r="G3119" t="inlineStr">
        <is>
          <t>FALKENBERG</t>
        </is>
      </c>
      <c r="I3119" t="n">
        <v>19.3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1008-2025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46265</v>
      </c>
      <c r="F3120" t="inlineStr">
        <is>
          <t>HALLANDS LÄN</t>
        </is>
      </c>
      <c r="G3120" t="inlineStr">
        <is>
          <t>FALKENBERG</t>
        </is>
      </c>
      <c r="I3120" t="n">
        <v>13.8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1010-2025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46265</v>
      </c>
      <c r="F3121" t="inlineStr">
        <is>
          <t>HALLANDS LÄN</t>
        </is>
      </c>
      <c r="G3121" t="inlineStr">
        <is>
          <t>HYLTE</t>
        </is>
      </c>
      <c r="I3121" t="n">
        <v>11.2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46265</v>
      </c>
      <c r="F3122" t="inlineStr">
        <is>
          <t>HALLANDS LÄN</t>
        </is>
      </c>
      <c r="G3122" t="inlineStr">
        <is>
          <t>FALKENBERG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1074-2025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45750</v>
      </c>
      <c r="E3123" s="1" t="n">
        <v>46265</v>
      </c>
      <c r="F3123" t="inlineStr">
        <is>
          <t>HALLANDS LÄN</t>
        </is>
      </c>
      <c r="G3123" t="inlineStr">
        <is>
          <t>HALMSTAD</t>
        </is>
      </c>
      <c r="I3123" t="n">
        <v>9.5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1154-2025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45756</v>
      </c>
      <c r="E3124" s="1" t="n">
        <v>46265</v>
      </c>
      <c r="F3124" t="inlineStr">
        <is>
          <t>HALLANDS LÄN</t>
        </is>
      </c>
      <c r="G3124" t="inlineStr">
        <is>
          <t>FALKENBERG</t>
        </is>
      </c>
      <c r="I3124" t="n">
        <v>17.8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624-2025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45714</v>
      </c>
      <c r="E3125" s="1" t="n">
        <v>46265</v>
      </c>
      <c r="F3125" t="inlineStr">
        <is>
          <t>HALLANDS LÄN</t>
        </is>
      </c>
      <c r="G3125" t="inlineStr">
        <is>
          <t>HYLTE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5037-2024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45636</v>
      </c>
      <c r="E3126" s="1" t="n">
        <v>46265</v>
      </c>
      <c r="F3126" t="inlineStr">
        <is>
          <t>HALLANDS LÄN</t>
        </is>
      </c>
      <c r="G3126" t="inlineStr">
        <is>
          <t>HALMSTAD</t>
        </is>
      </c>
      <c r="I3126" t="n">
        <v>4.1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646-2025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46265</v>
      </c>
      <c r="F3127" t="inlineStr">
        <is>
          <t>HALLANDS LÄN</t>
        </is>
      </c>
      <c r="G3127" t="inlineStr">
        <is>
          <t>HYLTE</t>
        </is>
      </c>
      <c r="I3127" t="n">
        <v>11.2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640-2025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45715</v>
      </c>
      <c r="E3128" s="1" t="n">
        <v>46265</v>
      </c>
      <c r="F3128" t="inlineStr">
        <is>
          <t>HALLANDS LÄN</t>
        </is>
      </c>
      <c r="G3128" t="inlineStr">
        <is>
          <t>FALKENBERG</t>
        </is>
      </c>
      <c r="I3128" t="n">
        <v>40.4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556-2025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45709</v>
      </c>
      <c r="E3129" s="1" t="n">
        <v>46265</v>
      </c>
      <c r="F3129" t="inlineStr">
        <is>
          <t>HALLANDS LÄN</t>
        </is>
      </c>
      <c r="G3129" t="inlineStr">
        <is>
          <t>HYLTE</t>
        </is>
      </c>
      <c r="I3129" t="n">
        <v>1.3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865-2025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45734</v>
      </c>
      <c r="E3130" s="1" t="n">
        <v>46265</v>
      </c>
      <c r="F3130" t="inlineStr">
        <is>
          <t>HALLANDS LÄN</t>
        </is>
      </c>
      <c r="G3130" t="inlineStr">
        <is>
          <t>HALMSTAD</t>
        </is>
      </c>
      <c r="I3130" t="n">
        <v>2.2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623-2025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45714</v>
      </c>
      <c r="E3131" s="1" t="n">
        <v>46265</v>
      </c>
      <c r="F3131" t="inlineStr">
        <is>
          <t>HALLANDS LÄN</t>
        </is>
      </c>
      <c r="G3131" t="inlineStr">
        <is>
          <t>HYLTE</t>
        </is>
      </c>
      <c r="I3131" t="n">
        <v>25.9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801-2025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45729</v>
      </c>
      <c r="E3132" s="1" t="n">
        <v>46265</v>
      </c>
      <c r="F3132" t="inlineStr">
        <is>
          <t>HALLANDS LÄN</t>
        </is>
      </c>
      <c r="G3132" t="inlineStr">
        <is>
          <t>HALMSTAD</t>
        </is>
      </c>
      <c r="I3132" t="n">
        <v>10.5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678-2025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45716</v>
      </c>
      <c r="E3133" s="1" t="n">
        <v>46265</v>
      </c>
      <c r="F3133" t="inlineStr">
        <is>
          <t>HALLANDS LÄN</t>
        </is>
      </c>
      <c r="G3133" t="inlineStr">
        <is>
          <t>HALMSTAD</t>
        </is>
      </c>
      <c r="I3133" t="n">
        <v>14.5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1608-2025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45799</v>
      </c>
      <c r="E3134" s="1" t="n">
        <v>46265</v>
      </c>
      <c r="F3134" t="inlineStr">
        <is>
          <t>HALLANDS LÄN</t>
        </is>
      </c>
      <c r="G3134" t="inlineStr">
        <is>
          <t>LAHOLM</t>
        </is>
      </c>
      <c r="I3134" t="n">
        <v>24.4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1772-2025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45813</v>
      </c>
      <c r="E3135" s="1" t="n">
        <v>46265</v>
      </c>
      <c r="F3135" t="inlineStr">
        <is>
          <t>HALLANDS LÄN</t>
        </is>
      </c>
      <c r="G3135" t="inlineStr">
        <is>
          <t>HYLTE</t>
        </is>
      </c>
      <c r="I3135" t="n">
        <v>4.2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1782-2025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46265</v>
      </c>
      <c r="F3136" t="inlineStr">
        <is>
          <t>HALLANDS LÄN</t>
        </is>
      </c>
      <c r="G3136" t="inlineStr">
        <is>
          <t>HYLTE</t>
        </is>
      </c>
      <c r="I3136" t="n">
        <v>12.2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1783-2025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45813</v>
      </c>
      <c r="E3137" s="1" t="n">
        <v>46265</v>
      </c>
      <c r="F3137" t="inlineStr">
        <is>
          <t>HALLANDS LÄN</t>
        </is>
      </c>
      <c r="G3137" t="inlineStr">
        <is>
          <t>HYLTE</t>
        </is>
      </c>
      <c r="I3137" t="n">
        <v>10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1844-2025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45820</v>
      </c>
      <c r="E3138" s="1" t="n">
        <v>46265</v>
      </c>
      <c r="F3138" t="inlineStr">
        <is>
          <t>HALLANDS LÄN</t>
        </is>
      </c>
      <c r="G3138" t="inlineStr">
        <is>
          <t>HYLTE</t>
        </is>
      </c>
      <c r="I3138" t="n">
        <v>8.6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1925-2025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45827</v>
      </c>
      <c r="E3139" s="1" t="n">
        <v>46265</v>
      </c>
      <c r="F3139" t="inlineStr">
        <is>
          <t>HALLANDS LÄN</t>
        </is>
      </c>
      <c r="G3139" t="inlineStr">
        <is>
          <t>HYLTE</t>
        </is>
      </c>
      <c r="I3139" t="n">
        <v>2.5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2101-2025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45845</v>
      </c>
      <c r="E3140" s="1" t="n">
        <v>46265</v>
      </c>
      <c r="F3140" t="inlineStr">
        <is>
          <t>HALLANDS LÄN</t>
        </is>
      </c>
      <c r="G3140" t="inlineStr">
        <is>
          <t>HYLTE</t>
        </is>
      </c>
      <c r="I3140" t="n">
        <v>10.5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2133-2025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45847</v>
      </c>
      <c r="E3141" s="1" t="n">
        <v>46265</v>
      </c>
      <c r="F3141" t="inlineStr">
        <is>
          <t>HALLANDS LÄN</t>
        </is>
      </c>
      <c r="G3141" t="inlineStr">
        <is>
          <t>VARBERG</t>
        </is>
      </c>
      <c r="I3141" t="n">
        <v>3.2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2300-2025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45880</v>
      </c>
      <c r="E3142" s="1" t="n">
        <v>46265</v>
      </c>
      <c r="F3142" t="inlineStr">
        <is>
          <t>HALLANDS LÄN</t>
        </is>
      </c>
      <c r="G3142" t="inlineStr">
        <is>
          <t>LAHOLM</t>
        </is>
      </c>
      <c r="I3142" t="n">
        <v>55.6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2312-2025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45883</v>
      </c>
      <c r="E3143" s="1" t="n">
        <v>46265</v>
      </c>
      <c r="F3143" t="inlineStr">
        <is>
          <t>HALLANDS LÄN</t>
        </is>
      </c>
      <c r="G3143" t="inlineStr">
        <is>
          <t>HYLTE</t>
        </is>
      </c>
      <c r="I3143" t="n">
        <v>55.7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2536-2025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45910</v>
      </c>
      <c r="E3144" s="1" t="n">
        <v>46265</v>
      </c>
      <c r="F3144" t="inlineStr">
        <is>
          <t>HALLANDS LÄN</t>
        </is>
      </c>
      <c r="G3144" t="inlineStr">
        <is>
          <t>FALKENBERG</t>
        </is>
      </c>
      <c r="I3144" t="n">
        <v>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2584-2025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45915</v>
      </c>
      <c r="E3145" s="1" t="n">
        <v>46265</v>
      </c>
      <c r="F3145" t="inlineStr">
        <is>
          <t>HALLANDS LÄN</t>
        </is>
      </c>
      <c r="G3145" t="inlineStr">
        <is>
          <t>HYLTE</t>
        </is>
      </c>
      <c r="I3145" t="n">
        <v>27.4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2920-2025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45950</v>
      </c>
      <c r="E3146" s="1" t="n">
        <v>46265</v>
      </c>
      <c r="F3146" t="inlineStr">
        <is>
          <t>HALLANDS LÄN</t>
        </is>
      </c>
      <c r="G3146" t="inlineStr">
        <is>
          <t>LAHOLM</t>
        </is>
      </c>
      <c r="I3146" t="n">
        <v>30.1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46020</v>
      </c>
      <c r="E3147" s="1" t="n">
        <v>46265</v>
      </c>
      <c r="F3147" t="inlineStr">
        <is>
          <t>HALLANDS LÄN</t>
        </is>
      </c>
      <c r="G3147" t="inlineStr">
        <is>
          <t>FALKENBERG</t>
        </is>
      </c>
      <c r="I3147" t="n">
        <v>0.8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46035</v>
      </c>
      <c r="E3148" s="1" t="n">
        <v>46265</v>
      </c>
      <c r="F3148" t="inlineStr">
        <is>
          <t>HALLANDS LÄN</t>
        </is>
      </c>
      <c r="G3148" t="inlineStr">
        <is>
          <t>LAHOLM</t>
        </is>
      </c>
      <c r="I3148" t="n">
        <v>0.2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46265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46265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46041</v>
      </c>
      <c r="E3151" s="1" t="n">
        <v>46265</v>
      </c>
      <c r="F3151" t="inlineStr">
        <is>
          <t>HALLANDS LÄN</t>
        </is>
      </c>
      <c r="G3151" t="inlineStr">
        <is>
          <t>HYLTE</t>
        </is>
      </c>
      <c r="I3151" t="n">
        <v>29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46265</v>
      </c>
      <c r="F3152" t="inlineStr">
        <is>
          <t>HALLANDS LÄN</t>
        </is>
      </c>
      <c r="G3152" t="inlineStr">
        <is>
          <t>FALKENBERG</t>
        </is>
      </c>
      <c r="I3152" t="n">
        <v>31.6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46265</v>
      </c>
      <c r="F3153" t="inlineStr">
        <is>
          <t>HALLANDS LÄN</t>
        </is>
      </c>
      <c r="G3153" t="inlineStr">
        <is>
          <t>VARBERG</t>
        </is>
      </c>
      <c r="I3153" t="n">
        <v>6.5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313-2026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46058</v>
      </c>
      <c r="E3154" s="1" t="n">
        <v>46265</v>
      </c>
      <c r="F3154" t="inlineStr">
        <is>
          <t>HALLANDS LÄN</t>
        </is>
      </c>
      <c r="G3154" t="inlineStr">
        <is>
          <t>FALKENBERG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46072</v>
      </c>
      <c r="E3155" s="1" t="n">
        <v>46265</v>
      </c>
      <c r="F3155" t="inlineStr">
        <is>
          <t>HALLANDS LÄN</t>
        </is>
      </c>
      <c r="G3155" t="inlineStr">
        <is>
          <t>LAHOLM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46265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1.4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46265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674-2026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46265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721-2026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46094</v>
      </c>
      <c r="E3159" s="1" t="n">
        <v>46265</v>
      </c>
      <c r="F3159" t="inlineStr">
        <is>
          <t>HALLANDS LÄN</t>
        </is>
      </c>
      <c r="G3159" t="inlineStr">
        <is>
          <t>LAHOLM</t>
        </is>
      </c>
      <c r="I3159" t="n">
        <v>27.6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765-2026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46098</v>
      </c>
      <c r="E3160" s="1" t="n">
        <v>46265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1015-2026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46122</v>
      </c>
      <c r="E3161" s="1" t="n">
        <v>46265</v>
      </c>
      <c r="F3161" t="inlineStr">
        <is>
          <t>HALLANDS LÄN</t>
        </is>
      </c>
      <c r="G3161" t="inlineStr">
        <is>
          <t>FALKENBERG</t>
        </is>
      </c>
      <c r="I3161" t="n">
        <v>24.7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1110-2026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46133</v>
      </c>
      <c r="E3162" s="1" t="n">
        <v>46265</v>
      </c>
      <c r="F3162" t="inlineStr">
        <is>
          <t>HALLANDS LÄN</t>
        </is>
      </c>
      <c r="G3162" t="inlineStr">
        <is>
          <t>HYLTE</t>
        </is>
      </c>
      <c r="I3162" t="n">
        <v>2.3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46147</v>
      </c>
      <c r="E3163" s="1" t="n">
        <v>46265</v>
      </c>
      <c r="F3163" t="inlineStr">
        <is>
          <t>HALLANDS LÄN</t>
        </is>
      </c>
      <c r="G3163" t="inlineStr">
        <is>
          <t>HYLTE</t>
        </is>
      </c>
      <c r="I3163" t="n">
        <v>1.2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46265</v>
      </c>
      <c r="F3164" t="inlineStr">
        <is>
          <t>HALLANDS LÄN</t>
        </is>
      </c>
      <c r="G3164" t="inlineStr">
        <is>
          <t>VARBERG</t>
        </is>
      </c>
      <c r="I3164" t="n">
        <v>15.4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46265</v>
      </c>
      <c r="F3165" t="inlineStr">
        <is>
          <t>HALLANDS LÄN</t>
        </is>
      </c>
      <c r="G3165" t="inlineStr">
        <is>
          <t>FALKENBERG</t>
        </is>
      </c>
      <c r="I3165" t="n">
        <v>3.3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46265</v>
      </c>
      <c r="F3166" t="inlineStr">
        <is>
          <t>HALLANDS LÄN</t>
        </is>
      </c>
      <c r="G3166" t="inlineStr">
        <is>
          <t>VARBERG</t>
        </is>
      </c>
      <c r="I3166" t="n">
        <v>8.800000000000001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46265</v>
      </c>
      <c r="F3167" t="inlineStr">
        <is>
          <t>HALLANDS LÄN</t>
        </is>
      </c>
      <c r="G3167" t="inlineStr">
        <is>
          <t>FALKENBERG</t>
        </is>
      </c>
      <c r="I3167" t="n">
        <v>1.7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46265</v>
      </c>
      <c r="F3168" t="inlineStr">
        <is>
          <t>HALLANDS LÄN</t>
        </is>
      </c>
      <c r="G3168" t="inlineStr">
        <is>
          <t>FALKENBERG</t>
        </is>
      </c>
      <c r="I3168" t="n">
        <v>4.6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1397-2026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46265</v>
      </c>
      <c r="F3169" t="inlineStr">
        <is>
          <t>HALLANDS LÄN</t>
        </is>
      </c>
      <c r="G3169" t="inlineStr">
        <is>
          <t>FALKENBERG</t>
        </is>
      </c>
      <c r="I3169" t="n">
        <v>2.5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46160</v>
      </c>
      <c r="E3170" s="1" t="n">
        <v>46265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1503-2026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46163</v>
      </c>
      <c r="E3171" s="1" t="n">
        <v>46265</v>
      </c>
      <c r="F3171" t="inlineStr">
        <is>
          <t>HALLANDS LÄN</t>
        </is>
      </c>
      <c r="G3171" t="inlineStr">
        <is>
          <t>HALMSTAD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2118-2026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46244</v>
      </c>
      <c r="E3172" s="1" t="n">
        <v>46265</v>
      </c>
      <c r="F3172" t="inlineStr">
        <is>
          <t>HALLANDS LÄN</t>
        </is>
      </c>
      <c r="G3172" t="inlineStr">
        <is>
          <t>HALMSTAD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2002-2026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46206</v>
      </c>
      <c r="E3173" s="1" t="n">
        <v>46265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2016-2026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46212</v>
      </c>
      <c r="E3174" s="1" t="n">
        <v>46265</v>
      </c>
      <c r="F3174" t="inlineStr">
        <is>
          <t>HALLANDS LÄN</t>
        </is>
      </c>
      <c r="G3174" t="inlineStr">
        <is>
          <t>HALMSTAD</t>
        </is>
      </c>
      <c r="I3174" t="n">
        <v>18.8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2182-2026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46253</v>
      </c>
      <c r="E3175" s="1" t="n">
        <v>46265</v>
      </c>
      <c r="F3175" t="inlineStr">
        <is>
          <t>HALLANDS LÄN</t>
        </is>
      </c>
      <c r="G3175" t="inlineStr">
        <is>
          <t>HYLTE</t>
        </is>
      </c>
      <c r="I3175" t="n">
        <v>43.1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46265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>
      <c r="A3177" t="inlineStr">
        <is>
          <t>S 2183-2026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46265</v>
      </c>
      <c r="F3177" t="inlineStr">
        <is>
          <t>HALLANDS LÄN</t>
        </is>
      </c>
      <c r="G3177" t="inlineStr">
        <is>
          <t>FALKENBERG</t>
        </is>
      </c>
      <c r="H3177" t="inlineStr">
        <is>
          <t>Bergvik skog väst AB</t>
        </is>
      </c>
      <c r="I3177" t="n">
        <v>14.4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2026-08-31T09:58:46Z</dcterms:created>
  <dcterms:modified xmlns:dcterms="http://purl.org/dc/terms/" xmlns:xsi="http://www.w3.org/2001/XMLSchema-instance" xsi:type="dcterms:W3CDTF">2026-08-31T09:58:50Z</dcterms:modified>
</cp:coreProperties>
</file>