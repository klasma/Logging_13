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826-2025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45730</v>
      </c>
      <c r="E2" s="1" t="n">
        <v>46315</v>
      </c>
      <c r="F2" t="inlineStr">
        <is>
          <t>HALLANDS LÄN</t>
        </is>
      </c>
      <c r="G2" t="inlineStr">
        <is>
          <t>HALMSTAD</t>
        </is>
      </c>
      <c r="I2" t="n">
        <v>31.8</v>
      </c>
      <c r="J2" t="n">
        <v>17</v>
      </c>
      <c r="K2" t="n">
        <v>0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10</v>
      </c>
      <c r="R2" t="n">
        <v>1</v>
      </c>
      <c r="S2" t="n">
        <v>18</v>
      </c>
      <c r="T2" t="n">
        <v>51</v>
      </c>
      <c r="U2" t="n">
        <v>12</v>
      </c>
      <c r="V2" s="2" t="inlineStr">
        <is>
          <t>Stjärtand
Björktrast
Duvhök
Entita
Gulsparv
Järnsparv
Kricka
Ladusvala
Mindre tåtelsmygare
Talltita
Spillkråka
Gröngöling
Grönsiska
Kråka
Kungsfågel
Röd glada
Sångsvan
Kopparödla</t>
        </is>
      </c>
      <c r="W2">
        <f>HYPERLINK("https://klasma.github.io/Logging_1380/artfynd/S 826-2025 artfynd.xlsx", "S 826-2025")</f>
        <v/>
      </c>
      <c r="X2">
        <f>HYPERLINK("https://klasma.github.io/Logging_1380/kartor/S 826-2025 karta.png", "S 826-2025")</f>
        <v/>
      </c>
      <c r="Y2">
        <f>HYPERLINK("https://klasma.github.io/Logging_1380/kartor_geotiff/S 826-2025 georefererad karta.tif", "S 826-2025")</f>
        <v/>
      </c>
      <c r="AA2">
        <f>HYPERLINK("https://klasma.github.io/Logging_1380/klagomål/S 826-2025 FSC-klagomål.docx", "S 826-2025")</f>
        <v/>
      </c>
      <c r="AB2">
        <f>HYPERLINK("https://klasma.github.io/Logging_1380/klagomålsmail/S 826-2025 FSC-klagomål mail.docx", "S 826-2025")</f>
        <v/>
      </c>
      <c r="AC2">
        <f>HYPERLINK("https://klasma.github.io/Logging_1380/tillsyn/S 826-2025 tillsynsbegäran.docx", "S 826-2025")</f>
        <v/>
      </c>
      <c r="AD2">
        <f>HYPERLINK("https://klasma.github.io/Logging_1380/tillsynsmail/S 826-2025 tillsynsbegäran mail.docx", "S 826-2025")</f>
        <v/>
      </c>
      <c r="AE2">
        <f>HYPERLINK("https://klasma.github.io/Logging_1380/fåglar/S 826-2025 prioriterade fågelarter.docx", "S 826-2025")</f>
        <v/>
      </c>
    </row>
    <row r="3" ht="15" customHeight="1">
      <c r="A3" t="inlineStr">
        <is>
          <t>S 1435-2022</t>
        </is>
      </c>
      <c r="B3" t="inlineStr">
        <is>
          <t>samrådsanmälan</t>
        </is>
      </c>
      <c r="C3" t="inlineStr">
        <is>
          <t>Askåterföring</t>
        </is>
      </c>
      <c r="D3" s="1" t="n">
        <v>44634</v>
      </c>
      <c r="E3" s="1" t="n">
        <v>46315</v>
      </c>
      <c r="F3" t="inlineStr">
        <is>
          <t>HALLANDS LÄN</t>
        </is>
      </c>
      <c r="G3" t="inlineStr">
        <is>
          <t>LAHOLM</t>
        </is>
      </c>
      <c r="I3" t="n">
        <v>77</v>
      </c>
      <c r="J3" t="n">
        <v>14</v>
      </c>
      <c r="K3" t="n">
        <v>0</v>
      </c>
      <c r="L3" t="n">
        <v>6</v>
      </c>
      <c r="M3" t="n">
        <v>3</v>
      </c>
      <c r="N3" t="n">
        <v>0</v>
      </c>
      <c r="O3" t="n">
        <v>0</v>
      </c>
      <c r="P3" t="n">
        <v>0</v>
      </c>
      <c r="Q3" t="n">
        <v>9</v>
      </c>
      <c r="R3" t="n">
        <v>3</v>
      </c>
      <c r="S3" t="n">
        <v>16</v>
      </c>
      <c r="T3" t="n">
        <v>19</v>
      </c>
      <c r="U3" t="n">
        <v>1</v>
      </c>
      <c r="V3" s="2" t="inlineStr">
        <is>
          <t>Grönfink
Hussvala
Stare
Björktrast
Gulsparv
Korallticka
Ladusvala
Skogshare
Sädesärla
Gröngöling
Grönsiska
Kråka
Kungsfågel
Svartvit flugsnappare
Trana
Ärtsångare</t>
        </is>
      </c>
      <c r="W3">
        <f>HYPERLINK("https://klasma.github.io/Logging_1381/artfynd/S 1435-2022 artfynd.xlsx", "S 1435-2022")</f>
        <v/>
      </c>
      <c r="X3">
        <f>HYPERLINK("https://klasma.github.io/Logging_1381/kartor/S 1435-2022 karta.png", "S 1435-2022")</f>
        <v/>
      </c>
      <c r="Y3">
        <f>HYPERLINK("https://klasma.github.io/Logging_1381/kartor_geotiff/S 1435-2022 georefererad karta.tif", "S 1435-2022")</f>
        <v/>
      </c>
      <c r="AA3">
        <f>HYPERLINK("https://klasma.github.io/Logging_1381/klagomål/S 1435-2022 FSC-klagomål.docx", "S 1435-2022")</f>
        <v/>
      </c>
      <c r="AB3">
        <f>HYPERLINK("https://klasma.github.io/Logging_1381/klagomålsmail/S 1435-2022 FSC-klagomål mail.docx", "S 1435-2022")</f>
        <v/>
      </c>
      <c r="AC3">
        <f>HYPERLINK("https://klasma.github.io/Logging_1381/tillsyn/S 1435-2022 tillsynsbegäran.docx", "S 1435-2022")</f>
        <v/>
      </c>
      <c r="AD3">
        <f>HYPERLINK("https://klasma.github.io/Logging_1381/tillsynsmail/S 1435-2022 tillsynsbegäran mail.docx", "S 1435-2022")</f>
        <v/>
      </c>
      <c r="AE3">
        <f>HYPERLINK("https://klasma.github.io/Logging_1381/fåglar/S 1435-2022 prioriterade fågelarter.docx", "S 1435-2022")</f>
        <v/>
      </c>
    </row>
    <row r="4" ht="15" customHeight="1">
      <c r="A4" t="inlineStr">
        <is>
          <t>A 33477-2026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46247</v>
      </c>
      <c r="E4" s="1" t="n">
        <v>46315</v>
      </c>
      <c r="F4" t="inlineStr">
        <is>
          <t>HALLANDS LÄN</t>
        </is>
      </c>
      <c r="G4" t="inlineStr">
        <is>
          <t>FALKENBERG</t>
        </is>
      </c>
      <c r="I4" t="n">
        <v>1.4</v>
      </c>
      <c r="J4" t="n">
        <v>3</v>
      </c>
      <c r="K4" t="n">
        <v>8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4</v>
      </c>
      <c r="R4" t="n">
        <v>2</v>
      </c>
      <c r="S4" t="n">
        <v>14</v>
      </c>
      <c r="T4" t="n">
        <v>19</v>
      </c>
      <c r="U4" t="n">
        <v>19</v>
      </c>
      <c r="V4" s="2" t="inlineStr">
        <is>
          <t>Röd pysslinglav
Ädelkronlav
Bokvårtlav
Entita
Barkkornlav
Bokfjädermossa
Fällmossa
Guldlockmossa
Havstulpanlav
Klippfrullania
Mussellav
Platt fjädermossa
Tofsmes
Äkta lopplummer</t>
        </is>
      </c>
      <c r="W4">
        <f>HYPERLINK("https://klasma.github.io/Logging_1382/artfynd/A 33477-2026 artfynd.xlsx", "A 33477-2026")</f>
        <v/>
      </c>
      <c r="X4">
        <f>HYPERLINK("https://klasma.github.io/Logging_1382/kartor/A 33477-2026 karta.png", "A 33477-2026")</f>
        <v/>
      </c>
      <c r="Y4">
        <f>HYPERLINK("https://klasma.github.io/Logging_1382/kartor_geotiff/A 33477-2026 georefererad karta.tif", "A 33477-2026")</f>
        <v/>
      </c>
      <c r="AA4">
        <f>HYPERLINK("https://klasma.github.io/Logging_1382/klagomål/A 33477-2026 FSC-klagomål.docx", "A 33477-2026")</f>
        <v/>
      </c>
      <c r="AB4">
        <f>HYPERLINK("https://klasma.github.io/Logging_1382/klagomålsmail/A 33477-2026 FSC-klagomål mail.docx", "A 33477-2026")</f>
        <v/>
      </c>
      <c r="AC4">
        <f>HYPERLINK("https://klasma.github.io/Logging_1382/tillsyn/A 33477-2026 tillsynsbegäran.docx", "A 33477-2026")</f>
        <v/>
      </c>
      <c r="AD4">
        <f>HYPERLINK("https://klasma.github.io/Logging_1382/tillsynsmail/A 33477-2026 tillsynsbegäran mail.docx", "A 33477-2026")</f>
        <v/>
      </c>
      <c r="AE4">
        <f>HYPERLINK("https://klasma.github.io/Logging_1382/fåglar/A 33477-2026 prioriterade fågelarter.docx", "A 33477-2026")</f>
        <v/>
      </c>
    </row>
    <row r="5" ht="15" customHeight="1">
      <c r="A5" t="inlineStr">
        <is>
          <t>S 1587-2026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46171</v>
      </c>
      <c r="E5" s="1" t="n">
        <v>46315</v>
      </c>
      <c r="F5" t="inlineStr">
        <is>
          <t>HALLANDS LÄN</t>
        </is>
      </c>
      <c r="G5" t="inlineStr">
        <is>
          <t>LAHOLM</t>
        </is>
      </c>
      <c r="I5" t="n">
        <v>9.300000000000001</v>
      </c>
      <c r="J5" t="n">
        <v>0</v>
      </c>
      <c r="K5" t="n">
        <v>10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14</v>
      </c>
      <c r="T5" t="n">
        <v>14</v>
      </c>
      <c r="U5" t="n">
        <v>0</v>
      </c>
      <c r="V5" s="2" t="inlineStr">
        <is>
          <t>Bokkantlav
Bokvårtlav
Liten lundlav
Violettgrå porlav
Blåsfliksmossa
Bokfjädermossa
Fällmossa
Havstulpanlav
Platt fjädermossa
Rikfruktig blemlav
Scytinium lichenoides s.lat.
Stor knopplav
Trädporella
Västlig husmossa</t>
        </is>
      </c>
      <c r="W5">
        <f>HYPERLINK("https://klasma.github.io/Logging_1381/artfynd/S 1587-2026 artfynd.xlsx", "S 1587-2026")</f>
        <v/>
      </c>
      <c r="X5">
        <f>HYPERLINK("https://klasma.github.io/Logging_1381/kartor/S 1587-2026 karta.png", "S 1587-2026")</f>
        <v/>
      </c>
      <c r="Y5">
        <f>HYPERLINK("https://klasma.github.io/Logging_1381/kartor_geotiff/S 1587-2026 georefererad karta.tif", "S 1587-2026")</f>
        <v/>
      </c>
      <c r="AA5">
        <f>HYPERLINK("https://klasma.github.io/Logging_1381/klagomål/S 1587-2026 FSC-klagomål.docx", "S 1587-2026")</f>
        <v/>
      </c>
      <c r="AB5">
        <f>HYPERLINK("https://klasma.github.io/Logging_1381/klagomålsmail/S 1587-2026 FSC-klagomål mail.docx", "S 1587-2026")</f>
        <v/>
      </c>
      <c r="AC5">
        <f>HYPERLINK("https://klasma.github.io/Logging_1381/tillsyn/S 1587-2026 tillsynsbegäran.docx", "S 1587-2026")</f>
        <v/>
      </c>
      <c r="AD5">
        <f>HYPERLINK("https://klasma.github.io/Logging_1381/tillsynsmail/S 1587-2026 tillsynsbegäran mail.docx", "S 1587-2026")</f>
        <v/>
      </c>
    </row>
    <row r="6" ht="15" customHeight="1">
      <c r="A6" t="inlineStr">
        <is>
          <t>S 651-2026</t>
        </is>
      </c>
      <c r="B6" t="inlineStr">
        <is>
          <t>samrådsanmälan</t>
        </is>
      </c>
      <c r="C6" t="inlineStr">
        <is>
          <t>Askåterföring</t>
        </is>
      </c>
      <c r="D6" s="1" t="n">
        <v>46090</v>
      </c>
      <c r="E6" s="1" t="n">
        <v>46315</v>
      </c>
      <c r="F6" t="inlineStr">
        <is>
          <t>HALLANDS LÄN</t>
        </is>
      </c>
      <c r="G6" t="inlineStr">
        <is>
          <t>HYLTE</t>
        </is>
      </c>
      <c r="I6" t="n">
        <v>47.1</v>
      </c>
      <c r="J6" t="n">
        <v>0</v>
      </c>
      <c r="K6" t="n">
        <v>11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13</v>
      </c>
      <c r="T6" t="n">
        <v>138</v>
      </c>
      <c r="U6" t="n">
        <v>0</v>
      </c>
      <c r="V6" s="2" t="inlineStr">
        <is>
          <t>Grynig filtlav
Lunglav
Barkkornlav
Bokfjädermossa
Bårdlav
Fällmossa
Grov fjädermossa
Guldlockmossa
Havstulpanlav
Platt fjädermossa
Scytinium lichenoides s.lat.
Stor knopplav
Traslav</t>
        </is>
      </c>
      <c r="W6">
        <f>HYPERLINK("https://klasma.github.io/Logging_1315/artfynd/S 651-2026 artfynd.xlsx", "S 651-2026")</f>
        <v/>
      </c>
      <c r="X6">
        <f>HYPERLINK("https://klasma.github.io/Logging_1315/kartor/S 651-2026 karta.png", "S 651-2026")</f>
        <v/>
      </c>
      <c r="Y6">
        <f>HYPERLINK("https://klasma.github.io/Logging_1315/kartor_geotiff/S 651-2026 georefererad karta.tif", "S 651-2026")</f>
        <v/>
      </c>
      <c r="AA6">
        <f>HYPERLINK("https://klasma.github.io/Logging_1315/klagomål/S 651-2026 FSC-klagomål.docx", "S 651-2026")</f>
        <v/>
      </c>
      <c r="AB6">
        <f>HYPERLINK("https://klasma.github.io/Logging_1315/klagomålsmail/S 651-2026 FSC-klagomål mail.docx", "S 651-2026")</f>
        <v/>
      </c>
      <c r="AC6">
        <f>HYPERLINK("https://klasma.github.io/Logging_1315/tillsyn/S 651-2026 tillsynsbegäran.docx", "S 651-2026")</f>
        <v/>
      </c>
      <c r="AD6">
        <f>HYPERLINK("https://klasma.github.io/Logging_1315/tillsynsmail/S 651-2026 tillsynsbegäran mail.docx", "S 651-2026")</f>
        <v/>
      </c>
    </row>
    <row r="7" ht="15" customHeight="1">
      <c r="A7" t="inlineStr">
        <is>
          <t>A 49151-2024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45594</v>
      </c>
      <c r="E7" s="1" t="n">
        <v>46315</v>
      </c>
      <c r="F7" t="inlineStr">
        <is>
          <t>HALLANDS LÄN</t>
        </is>
      </c>
      <c r="G7" t="inlineStr">
        <is>
          <t>HALMSTAD</t>
        </is>
      </c>
      <c r="I7" t="n">
        <v>0.5</v>
      </c>
      <c r="J7" t="n">
        <v>5</v>
      </c>
      <c r="K7" t="n">
        <v>6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n">
        <v>12</v>
      </c>
      <c r="T7" t="n">
        <v>15</v>
      </c>
      <c r="U7" t="n">
        <v>1</v>
      </c>
      <c r="V7" s="2" t="inlineStr">
        <is>
          <t>Pulverädellav
Nordfladdermus
Guldlockmossa
Gulnål
Jättesvampmal
Klippfrullania
Skuggmossa
Trädporella
Spillkråka
Dvärgpipistrell
Större brunfladdermus
Vattenfladdermus</t>
        </is>
      </c>
      <c r="W7">
        <f>HYPERLINK("https://klasma.github.io/Logging_1380/artfynd/A 49151-2024 artfynd.xlsx", "A 49151-2024")</f>
        <v/>
      </c>
      <c r="X7">
        <f>HYPERLINK("https://klasma.github.io/Logging_1380/kartor/A 49151-2024 karta.png", "A 49151-2024")</f>
        <v/>
      </c>
      <c r="Y7">
        <f>HYPERLINK("https://klasma.github.io/Logging_1380/kartor_geotiff/A 49151-2024 georefererad karta.tif", "A 49151-2024")</f>
        <v/>
      </c>
      <c r="AA7">
        <f>HYPERLINK("https://klasma.github.io/Logging_1380/klagomål/A 49151-2024 FSC-klagomål.docx", "A 49151-2024")</f>
        <v/>
      </c>
      <c r="AB7">
        <f>HYPERLINK("https://klasma.github.io/Logging_1380/klagomålsmail/A 49151-2024 FSC-klagomål mail.docx", "A 49151-2024")</f>
        <v/>
      </c>
      <c r="AC7">
        <f>HYPERLINK("https://klasma.github.io/Logging_1380/tillsyn/A 49151-2024 tillsynsbegäran.docx", "A 49151-2024")</f>
        <v/>
      </c>
      <c r="AD7">
        <f>HYPERLINK("https://klasma.github.io/Logging_1380/tillsynsmail/A 49151-2024 tillsynsbegäran mail.docx", "A 49151-2024")</f>
        <v/>
      </c>
      <c r="AE7">
        <f>HYPERLINK("https://klasma.github.io/Logging_1380/fåglar/A 49151-2024 prioriterade fågelarter.docx", "A 49151-2024")</f>
        <v/>
      </c>
    </row>
    <row r="8" ht="15" customHeight="1">
      <c r="A8" t="inlineStr">
        <is>
          <t>S 1180-2026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46136</v>
      </c>
      <c r="E8" s="1" t="n">
        <v>46315</v>
      </c>
      <c r="F8" t="inlineStr">
        <is>
          <t>HALLANDS LÄN</t>
        </is>
      </c>
      <c r="G8" t="inlineStr">
        <is>
          <t>LAHOLM</t>
        </is>
      </c>
      <c r="I8" t="n">
        <v>7.8</v>
      </c>
      <c r="J8" t="n">
        <v>0</v>
      </c>
      <c r="K8" t="n">
        <v>11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12</v>
      </c>
      <c r="T8" t="n">
        <v>291</v>
      </c>
      <c r="U8" t="n">
        <v>0</v>
      </c>
      <c r="V8" s="2" t="inlineStr">
        <is>
          <t>Bokkantlav
Barkkornlav
Bokfjädermossa
Fällmossa
Guldlockmossa
Gulnål
Havstulpanlav
Mussellav
Mörk husmossa
Platt fjädermossa
Stor knopplav
Trädporella</t>
        </is>
      </c>
      <c r="W8">
        <f>HYPERLINK("https://klasma.github.io/Logging_1381/artfynd/S 1180-2026 artfynd.xlsx", "S 1180-2026")</f>
        <v/>
      </c>
      <c r="X8">
        <f>HYPERLINK("https://klasma.github.io/Logging_1381/kartor/S 1180-2026 karta.png", "S 1180-2026")</f>
        <v/>
      </c>
      <c r="Y8">
        <f>HYPERLINK("https://klasma.github.io/Logging_1381/kartor_geotiff/S 1180-2026 georefererad karta.tif", "S 1180-2026")</f>
        <v/>
      </c>
      <c r="AA8">
        <f>HYPERLINK("https://klasma.github.io/Logging_1381/klagomål/S 1180-2026 FSC-klagomål.docx", "S 1180-2026")</f>
        <v/>
      </c>
      <c r="AB8">
        <f>HYPERLINK("https://klasma.github.io/Logging_1381/klagomålsmail/S 1180-2026 FSC-klagomål mail.docx", "S 1180-2026")</f>
        <v/>
      </c>
      <c r="AC8">
        <f>HYPERLINK("https://klasma.github.io/Logging_1381/tillsyn/S 1180-2026 tillsynsbegäran.docx", "S 1180-2026")</f>
        <v/>
      </c>
      <c r="AD8">
        <f>HYPERLINK("https://klasma.github.io/Logging_1381/tillsynsmail/S 1180-2026 tillsynsbegäran mail.docx", "S 1180-2026")</f>
        <v/>
      </c>
    </row>
    <row r="9" ht="15" customHeight="1">
      <c r="A9" t="inlineStr">
        <is>
          <t>A 34225-2026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46253</v>
      </c>
      <c r="E9" s="1" t="n">
        <v>46315</v>
      </c>
      <c r="F9" t="inlineStr">
        <is>
          <t>HALLANDS LÄN</t>
        </is>
      </c>
      <c r="G9" t="inlineStr">
        <is>
          <t>FALKENBERG</t>
        </is>
      </c>
      <c r="I9" t="n">
        <v>0.8</v>
      </c>
      <c r="J9" t="n">
        <v>2</v>
      </c>
      <c r="K9" t="n">
        <v>6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3</v>
      </c>
      <c r="R9" t="n">
        <v>2</v>
      </c>
      <c r="S9" t="n">
        <v>10</v>
      </c>
      <c r="T9" t="n">
        <v>11</v>
      </c>
      <c r="U9" t="n">
        <v>11</v>
      </c>
      <c r="V9" s="2" t="inlineStr">
        <is>
          <t>Röd pysslinglav
Ädelkronlav
Entita
Bokfjädermossa
Fällmossa
Guldlockmossa
Havstulpanlav
Mussellav
Platt fjädermossa
Tofsmes</t>
        </is>
      </c>
      <c r="W9">
        <f>HYPERLINK("https://klasma.github.io/Logging_1382/artfynd/A 34225-2026 artfynd.xlsx", "A 34225-2026")</f>
        <v/>
      </c>
      <c r="X9">
        <f>HYPERLINK("https://klasma.github.io/Logging_1382/kartor/A 34225-2026 karta.png", "A 34225-2026")</f>
        <v/>
      </c>
      <c r="Y9">
        <f>HYPERLINK("https://klasma.github.io/Logging_1382/kartor_geotiff/A 34225-2026 georefererad karta.tif", "A 34225-2026")</f>
        <v/>
      </c>
      <c r="AA9">
        <f>HYPERLINK("https://klasma.github.io/Logging_1382/klagomål/A 34225-2026 FSC-klagomål.docx", "A 34225-2026")</f>
        <v/>
      </c>
      <c r="AB9">
        <f>HYPERLINK("https://klasma.github.io/Logging_1382/klagomålsmail/A 34225-2026 FSC-klagomål mail.docx", "A 34225-2026")</f>
        <v/>
      </c>
      <c r="AC9">
        <f>HYPERLINK("https://klasma.github.io/Logging_1382/tillsyn/A 34225-2026 tillsynsbegäran.docx", "A 34225-2026")</f>
        <v/>
      </c>
      <c r="AD9">
        <f>HYPERLINK("https://klasma.github.io/Logging_1382/tillsynsmail/A 34225-2026 tillsynsbegäran mail.docx", "A 34225-2026")</f>
        <v/>
      </c>
      <c r="AE9">
        <f>HYPERLINK("https://klasma.github.io/Logging_1382/fåglar/A 34225-2026 prioriterade fågelarter.docx", "A 34225-2026")</f>
        <v/>
      </c>
    </row>
    <row r="10" ht="15" customHeight="1">
      <c r="A10" t="inlineStr">
        <is>
          <t>S 2202-2026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46255</v>
      </c>
      <c r="E10" s="1" t="n">
        <v>46315</v>
      </c>
      <c r="F10" t="inlineStr">
        <is>
          <t>HALLANDS LÄN</t>
        </is>
      </c>
      <c r="G10" t="inlineStr">
        <is>
          <t>FALKENBERG</t>
        </is>
      </c>
      <c r="I10" t="n">
        <v>1.4</v>
      </c>
      <c r="J10" t="n">
        <v>1</v>
      </c>
      <c r="K10" t="n">
        <v>7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10</v>
      </c>
      <c r="T10" t="n">
        <v>13</v>
      </c>
      <c r="U10" t="n">
        <v>12</v>
      </c>
      <c r="V10" s="2" t="inlineStr">
        <is>
          <t>Bokvårtlav
Koralltaggsvamp
Barkkornlav
Bokfjädermossa
Fällmossa
Guldlockmossa
Gulnål
Havstulpanlav
Platt fjädermossa
Äkta lopplummer</t>
        </is>
      </c>
      <c r="W10">
        <f>HYPERLINK("https://klasma.github.io/Logging_1382/artfynd/S 2202-2026 artfynd.xlsx", "S 2202-2026")</f>
        <v/>
      </c>
      <c r="X10">
        <f>HYPERLINK("https://klasma.github.io/Logging_1382/kartor/S 2202-2026 karta.png", "S 2202-2026")</f>
        <v/>
      </c>
      <c r="Y10">
        <f>HYPERLINK("https://klasma.github.io/Logging_1382/kartor_geotiff/S 2202-2026 georefererad karta.tif", "S 2202-2026")</f>
        <v/>
      </c>
      <c r="AA10">
        <f>HYPERLINK("https://klasma.github.io/Logging_1382/klagomål/S 2202-2026 FSC-klagomål.docx", "S 2202-2026")</f>
        <v/>
      </c>
      <c r="AB10">
        <f>HYPERLINK("https://klasma.github.io/Logging_1382/klagomålsmail/S 2202-2026 FSC-klagomål mail.docx", "S 2202-2026")</f>
        <v/>
      </c>
      <c r="AC10">
        <f>HYPERLINK("https://klasma.github.io/Logging_1382/tillsyn/S 2202-2026 tillsynsbegäran.docx", "S 2202-2026")</f>
        <v/>
      </c>
      <c r="AD10">
        <f>HYPERLINK("https://klasma.github.io/Logging_1382/tillsynsmail/S 2202-2026 tillsynsbegäran mail.docx", "S 2202-2026")</f>
        <v/>
      </c>
    </row>
    <row r="11" ht="15" customHeight="1">
      <c r="A11" t="inlineStr">
        <is>
          <t>A 5005-2022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44593</v>
      </c>
      <c r="E11" s="1" t="n">
        <v>46315</v>
      </c>
      <c r="F11" t="inlineStr">
        <is>
          <t>HALLANDS LÄN</t>
        </is>
      </c>
      <c r="G11" t="inlineStr">
        <is>
          <t>FALKENBERG</t>
        </is>
      </c>
      <c r="H11" t="inlineStr">
        <is>
          <t>Kyrkan</t>
        </is>
      </c>
      <c r="I11" t="n">
        <v>4.1</v>
      </c>
      <c r="J11" t="n">
        <v>2</v>
      </c>
      <c r="K11" t="n">
        <v>5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9</v>
      </c>
      <c r="T11" t="n">
        <v>18</v>
      </c>
      <c r="U11" t="n">
        <v>18</v>
      </c>
      <c r="V11" s="2" t="inlineStr">
        <is>
          <t>Vedlavklubba
Grynig filtlav
Blåsfliksmossa
Fällmossa
Jättesvampmal
Klippfrullania
Stubbspretmossa
Spillkråka
Gröngöling</t>
        </is>
      </c>
      <c r="W11">
        <f>HYPERLINK("https://klasma.github.io/Logging_1382/artfynd/A 5005-2022 artfynd.xlsx", "A 5005-2022")</f>
        <v/>
      </c>
      <c r="X11">
        <f>HYPERLINK("https://klasma.github.io/Logging_1382/kartor/A 5005-2022 karta.png", "A 5005-2022")</f>
        <v/>
      </c>
      <c r="Y11">
        <f>HYPERLINK("https://klasma.github.io/Logging_1382/kartor_geotiff/A 5005-2022 georefererad karta.tif", "A 5005-2022")</f>
        <v/>
      </c>
      <c r="AA11">
        <f>HYPERLINK("https://klasma.github.io/Logging_1382/klagomål/A 5005-2022 FSC-klagomål.docx", "A 5005-2022")</f>
        <v/>
      </c>
      <c r="AB11">
        <f>HYPERLINK("https://klasma.github.io/Logging_1382/klagomålsmail/A 5005-2022 FSC-klagomål mail.docx", "A 5005-2022")</f>
        <v/>
      </c>
      <c r="AC11">
        <f>HYPERLINK("https://klasma.github.io/Logging_1382/tillsyn/A 5005-2022 tillsynsbegäran.docx", "A 5005-2022")</f>
        <v/>
      </c>
      <c r="AD11">
        <f>HYPERLINK("https://klasma.github.io/Logging_1382/tillsynsmail/A 5005-2022 tillsynsbegäran mail.docx", "A 5005-2022")</f>
        <v/>
      </c>
      <c r="AE11">
        <f>HYPERLINK("https://klasma.github.io/Logging_1382/fåglar/A 5005-2022 prioriterade fågelarter.docx", "A 5005-2022")</f>
        <v/>
      </c>
    </row>
    <row r="12" ht="15" customHeight="1">
      <c r="A12" t="inlineStr">
        <is>
          <t>A 4776-2025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45688</v>
      </c>
      <c r="E12" s="1" t="n">
        <v>46315</v>
      </c>
      <c r="F12" t="inlineStr">
        <is>
          <t>HALLANDS LÄN</t>
        </is>
      </c>
      <c r="G12" t="inlineStr">
        <is>
          <t>VARBERG</t>
        </is>
      </c>
      <c r="I12" t="n">
        <v>18</v>
      </c>
      <c r="J12" t="n">
        <v>2</v>
      </c>
      <c r="K12" t="n">
        <v>0</v>
      </c>
      <c r="L12" t="n">
        <v>4</v>
      </c>
      <c r="M12" t="n">
        <v>1</v>
      </c>
      <c r="N12" t="n">
        <v>2</v>
      </c>
      <c r="O12" t="n">
        <v>0</v>
      </c>
      <c r="P12" t="n">
        <v>0</v>
      </c>
      <c r="Q12" t="n">
        <v>7</v>
      </c>
      <c r="R12" t="n">
        <v>3</v>
      </c>
      <c r="S12" t="n">
        <v>9</v>
      </c>
      <c r="T12" t="n">
        <v>21</v>
      </c>
      <c r="U12" t="n">
        <v>1</v>
      </c>
      <c r="V12" s="2" t="inlineStr">
        <is>
          <t>Ask
Skogsalm
Dvärglin
Kavelhirs
Mjukdån
Vitfläckig guldvinge
Åkerkulla
Spillkråka
Hasselmus</t>
        </is>
      </c>
      <c r="W12">
        <f>HYPERLINK("https://klasma.github.io/Logging_1383/artfynd/A 4776-2025 artfynd.xlsx", "A 4776-2025")</f>
        <v/>
      </c>
      <c r="X12">
        <f>HYPERLINK("https://klasma.github.io/Logging_1383/kartor/A 4776-2025 karta.png", "A 4776-2025")</f>
        <v/>
      </c>
      <c r="Y12">
        <f>HYPERLINK("https://klasma.github.io/Logging_1383/kartor_geotiff/A 4776-2025 georefererad karta.tif", "A 4776-2025")</f>
        <v/>
      </c>
      <c r="AA12">
        <f>HYPERLINK("https://klasma.github.io/Logging_1383/klagomål/A 4776-2025 FSC-klagomål.docx", "A 4776-2025")</f>
        <v/>
      </c>
      <c r="AB12">
        <f>HYPERLINK("https://klasma.github.io/Logging_1383/klagomålsmail/A 4776-2025 FSC-klagomål mail.docx", "A 4776-2025")</f>
        <v/>
      </c>
      <c r="AC12">
        <f>HYPERLINK("https://klasma.github.io/Logging_1383/tillsyn/A 4776-2025 tillsynsbegäran.docx", "A 4776-2025")</f>
        <v/>
      </c>
      <c r="AD12">
        <f>HYPERLINK("https://klasma.github.io/Logging_1383/tillsynsmail/A 4776-2025 tillsynsbegäran mail.docx", "A 4776-2025")</f>
        <v/>
      </c>
      <c r="AE12">
        <f>HYPERLINK("https://klasma.github.io/Logging_1383/fåglar/A 4776-2025 prioriterade fågelarter.docx", "A 4776-2025")</f>
        <v/>
      </c>
    </row>
    <row r="13" ht="15" customHeight="1">
      <c r="A13" t="inlineStr">
        <is>
          <t>A 30046-2023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45099</v>
      </c>
      <c r="E13" s="1" t="n">
        <v>46315</v>
      </c>
      <c r="F13" t="inlineStr">
        <is>
          <t>HALLANDS LÄN</t>
        </is>
      </c>
      <c r="G13" t="inlineStr">
        <is>
          <t>HALMSTAD</t>
        </is>
      </c>
      <c r="I13" t="n">
        <v>5</v>
      </c>
      <c r="J13" t="n">
        <v>8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9</v>
      </c>
      <c r="T13" t="n">
        <v>12</v>
      </c>
      <c r="U13" t="n">
        <v>4</v>
      </c>
      <c r="V13" s="2" t="inlineStr">
        <is>
          <t>Entita
Gulsparv
Mindre tåtelsmygare
Talltita
Spillkråka
Gröngöling
Kråka
Kungsfågel
Trädlärka</t>
        </is>
      </c>
      <c r="W13">
        <f>HYPERLINK("https://klasma.github.io/Logging_1380/artfynd/A 30046-2023 artfynd.xlsx", "A 30046-2023")</f>
        <v/>
      </c>
      <c r="X13">
        <f>HYPERLINK("https://klasma.github.io/Logging_1380/kartor/A 30046-2023 karta.png", "A 30046-2023")</f>
        <v/>
      </c>
      <c r="Y13">
        <f>HYPERLINK("https://klasma.github.io/Logging_1380/kartor_geotiff/A 30046-2023 georefererad karta.tif", "A 30046-2023")</f>
        <v/>
      </c>
      <c r="AA13">
        <f>HYPERLINK("https://klasma.github.io/Logging_1380/klagomål/A 30046-2023 FSC-klagomål.docx", "A 30046-2023")</f>
        <v/>
      </c>
      <c r="AB13">
        <f>HYPERLINK("https://klasma.github.io/Logging_1380/klagomålsmail/A 30046-2023 FSC-klagomål mail.docx", "A 30046-2023")</f>
        <v/>
      </c>
      <c r="AC13">
        <f>HYPERLINK("https://klasma.github.io/Logging_1380/tillsyn/A 30046-2023 tillsynsbegäran.docx", "A 30046-2023")</f>
        <v/>
      </c>
      <c r="AD13">
        <f>HYPERLINK("https://klasma.github.io/Logging_1380/tillsynsmail/A 30046-2023 tillsynsbegäran mail.docx", "A 30046-2023")</f>
        <v/>
      </c>
      <c r="AE13">
        <f>HYPERLINK("https://klasma.github.io/Logging_1380/fåglar/A 30046-2023 prioriterade fågelarter.docx", "A 30046-2023")</f>
        <v/>
      </c>
    </row>
    <row r="14" ht="15" customHeight="1">
      <c r="A14" t="inlineStr">
        <is>
          <t>A 43379-2022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44834</v>
      </c>
      <c r="E14" s="1" t="n">
        <v>46315</v>
      </c>
      <c r="F14" t="inlineStr">
        <is>
          <t>HALLANDS LÄN</t>
        </is>
      </c>
      <c r="G14" t="inlineStr">
        <is>
          <t>VARBERG</t>
        </is>
      </c>
      <c r="I14" t="n">
        <v>0.9</v>
      </c>
      <c r="J14" t="n">
        <v>7</v>
      </c>
      <c r="K14" t="n">
        <v>0</v>
      </c>
      <c r="L14" t="n">
        <v>2</v>
      </c>
      <c r="M14" t="n">
        <v>3</v>
      </c>
      <c r="N14" t="n">
        <v>1</v>
      </c>
      <c r="O14" t="n">
        <v>0</v>
      </c>
      <c r="P14" t="n">
        <v>0</v>
      </c>
      <c r="Q14" t="n">
        <v>6</v>
      </c>
      <c r="R14" t="n">
        <v>4</v>
      </c>
      <c r="S14" t="n">
        <v>9</v>
      </c>
      <c r="T14" t="n">
        <v>14</v>
      </c>
      <c r="U14" t="n">
        <v>14</v>
      </c>
      <c r="V14" s="2" t="inlineStr">
        <is>
          <t>Ask
Grönfink
Igelkott
Stare
Duvhök
Gulsparv
Gröngöling
Kopparödla
Vanlig snok</t>
        </is>
      </c>
      <c r="W14">
        <f>HYPERLINK("https://klasma.github.io/Logging_1383/artfynd/A 43379-2022 artfynd.xlsx", "A 43379-2022")</f>
        <v/>
      </c>
      <c r="X14">
        <f>HYPERLINK("https://klasma.github.io/Logging_1383/kartor/A 43379-2022 karta.png", "A 43379-2022")</f>
        <v/>
      </c>
      <c r="Y14">
        <f>HYPERLINK("https://klasma.github.io/Logging_1383/kartor_geotiff/A 43379-2022 georefererad karta.tif", "A 43379-2022")</f>
        <v/>
      </c>
      <c r="AA14">
        <f>HYPERLINK("https://klasma.github.io/Logging_1383/klagomål/A 43379-2022 FSC-klagomål.docx", "A 43379-2022")</f>
        <v/>
      </c>
      <c r="AB14">
        <f>HYPERLINK("https://klasma.github.io/Logging_1383/klagomålsmail/A 43379-2022 FSC-klagomål mail.docx", "A 43379-2022")</f>
        <v/>
      </c>
      <c r="AC14">
        <f>HYPERLINK("https://klasma.github.io/Logging_1383/tillsyn/A 43379-2022 tillsynsbegäran.docx", "A 43379-2022")</f>
        <v/>
      </c>
      <c r="AD14">
        <f>HYPERLINK("https://klasma.github.io/Logging_1383/tillsynsmail/A 43379-2022 tillsynsbegäran mail.docx", "A 43379-2022")</f>
        <v/>
      </c>
      <c r="AE14">
        <f>HYPERLINK("https://klasma.github.io/Logging_1383/fåglar/A 43379-2022 prioriterade fågelarter.docx", "A 43379-2022")</f>
        <v/>
      </c>
    </row>
    <row r="15" ht="15" customHeight="1">
      <c r="A15" t="inlineStr">
        <is>
          <t>S 2014-2024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45447</v>
      </c>
      <c r="E15" s="1" t="n">
        <v>46315</v>
      </c>
      <c r="F15" t="inlineStr">
        <is>
          <t>HALLANDS LÄN</t>
        </is>
      </c>
      <c r="G15" t="inlineStr">
        <is>
          <t>HALMSTAD</t>
        </is>
      </c>
      <c r="I15" t="n">
        <v>30.1</v>
      </c>
      <c r="J15" t="n">
        <v>8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9</v>
      </c>
      <c r="T15" t="n">
        <v>12</v>
      </c>
      <c r="U15" t="n">
        <v>4</v>
      </c>
      <c r="V15" s="2" t="inlineStr">
        <is>
          <t>Entita
Gulsparv
Hårginst
Talltita
Spillkråka
Grönsiska
Kråka
Kungsfågel
Trädlärka</t>
        </is>
      </c>
      <c r="W15">
        <f>HYPERLINK("https://klasma.github.io/Logging_1380/artfynd/S 2014-2024 artfynd.xlsx", "S 2014-2024")</f>
        <v/>
      </c>
      <c r="X15">
        <f>HYPERLINK("https://klasma.github.io/Logging_1380/kartor/S 2014-2024 karta.png", "S 2014-2024")</f>
        <v/>
      </c>
      <c r="Y15">
        <f>HYPERLINK("https://klasma.github.io/Logging_1380/kartor_geotiff/S 2014-2024 georefererad karta.tif", "S 2014-2024")</f>
        <v/>
      </c>
      <c r="AA15">
        <f>HYPERLINK("https://klasma.github.io/Logging_1380/klagomål/S 2014-2024 FSC-klagomål.docx", "S 2014-2024")</f>
        <v/>
      </c>
      <c r="AB15">
        <f>HYPERLINK("https://klasma.github.io/Logging_1380/klagomålsmail/S 2014-2024 FSC-klagomål mail.docx", "S 2014-2024")</f>
        <v/>
      </c>
      <c r="AC15">
        <f>HYPERLINK("https://klasma.github.io/Logging_1380/tillsyn/S 2014-2024 tillsynsbegäran.docx", "S 2014-2024")</f>
        <v/>
      </c>
      <c r="AD15">
        <f>HYPERLINK("https://klasma.github.io/Logging_1380/tillsynsmail/S 2014-2024 tillsynsbegäran mail.docx", "S 2014-2024")</f>
        <v/>
      </c>
      <c r="AE15">
        <f>HYPERLINK("https://klasma.github.io/Logging_1380/fåglar/S 2014-2024 prioriterade fågelarter.docx", "S 2014-2024")</f>
        <v/>
      </c>
    </row>
    <row r="16" ht="15" customHeight="1">
      <c r="A16" t="inlineStr">
        <is>
          <t>S 3856-2024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45560</v>
      </c>
      <c r="E16" s="1" t="n">
        <v>46315</v>
      </c>
      <c r="F16" t="inlineStr">
        <is>
          <t>HALLANDS LÄN</t>
        </is>
      </c>
      <c r="G16" t="inlineStr">
        <is>
          <t>FALKENBERG</t>
        </is>
      </c>
      <c r="I16" t="n">
        <v>1.9</v>
      </c>
      <c r="J16" t="n">
        <v>0</v>
      </c>
      <c r="K16" t="n">
        <v>7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9</v>
      </c>
      <c r="T16" t="n">
        <v>27</v>
      </c>
      <c r="U16" t="n">
        <v>0</v>
      </c>
      <c r="V16" s="2" t="inlineStr">
        <is>
          <t>Vedlavklubba
Bokvårtlav
Fällmossa
Gulnål
Jättesvampmal
Kambräken
Klippfrullania
Platt fjädermossa
Skuggmossa</t>
        </is>
      </c>
      <c r="W16">
        <f>HYPERLINK("https://klasma.github.io/Logging_1382/artfynd/S 3856-2024 artfynd.xlsx", "S 3856-2024")</f>
        <v/>
      </c>
      <c r="X16">
        <f>HYPERLINK("https://klasma.github.io/Logging_1382/kartor/S 3856-2024 karta.png", "S 3856-2024")</f>
        <v/>
      </c>
      <c r="Y16">
        <f>HYPERLINK("https://klasma.github.io/Logging_1382/kartor_geotiff/S 3856-2024 georefererad karta.tif", "S 3856-2024")</f>
        <v/>
      </c>
      <c r="AA16">
        <f>HYPERLINK("https://klasma.github.io/Logging_1382/klagomål/S 3856-2024 FSC-klagomål.docx", "S 3856-2024")</f>
        <v/>
      </c>
      <c r="AB16">
        <f>HYPERLINK("https://klasma.github.io/Logging_1382/klagomålsmail/S 3856-2024 FSC-klagomål mail.docx", "S 3856-2024")</f>
        <v/>
      </c>
      <c r="AC16">
        <f>HYPERLINK("https://klasma.github.io/Logging_1382/tillsyn/S 3856-2024 tillsynsbegäran.docx", "S 3856-2024")</f>
        <v/>
      </c>
      <c r="AD16">
        <f>HYPERLINK("https://klasma.github.io/Logging_1382/tillsynsmail/S 3856-2024 tillsynsbegäran mail.docx", "S 3856-2024")</f>
        <v/>
      </c>
    </row>
    <row r="17" ht="15" customHeight="1">
      <c r="A17" t="inlineStr">
        <is>
          <t>S 1825-2025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45819</v>
      </c>
      <c r="E17" s="1" t="n">
        <v>46315</v>
      </c>
      <c r="F17" t="inlineStr">
        <is>
          <t>HALLANDS LÄN</t>
        </is>
      </c>
      <c r="G17" t="inlineStr">
        <is>
          <t>LAHOLM</t>
        </is>
      </c>
      <c r="I17" t="n">
        <v>1.8</v>
      </c>
      <c r="J17" t="n">
        <v>0</v>
      </c>
      <c r="K17" t="n">
        <v>7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9</v>
      </c>
      <c r="T17" t="n">
        <v>26</v>
      </c>
      <c r="U17" t="n">
        <v>7</v>
      </c>
      <c r="V17" s="2" t="inlineStr">
        <is>
          <t>Pulverädellav
Smalskaftslav
Barkkornlav
Gulnål
Havstulpanlav
Lönnlav
Mussellav
Platt fjädermossa
Trubbfjädermossa</t>
        </is>
      </c>
      <c r="W17">
        <f>HYPERLINK("https://klasma.github.io/Logging_1381/artfynd/S 1825-2025 artfynd.xlsx", "S 1825-2025")</f>
        <v/>
      </c>
      <c r="X17">
        <f>HYPERLINK("https://klasma.github.io/Logging_1381/kartor/S 1825-2025 karta.png", "S 1825-2025")</f>
        <v/>
      </c>
      <c r="Y17">
        <f>HYPERLINK("https://klasma.github.io/Logging_1381/kartor_geotiff/S 1825-2025 georefererad karta.tif", "S 1825-2025")</f>
        <v/>
      </c>
      <c r="AA17">
        <f>HYPERLINK("https://klasma.github.io/Logging_1381/klagomål/S 1825-2025 FSC-klagomål.docx", "S 1825-2025")</f>
        <v/>
      </c>
      <c r="AB17">
        <f>HYPERLINK("https://klasma.github.io/Logging_1381/klagomålsmail/S 1825-2025 FSC-klagomål mail.docx", "S 1825-2025")</f>
        <v/>
      </c>
      <c r="AC17">
        <f>HYPERLINK("https://klasma.github.io/Logging_1381/tillsyn/S 1825-2025 tillsynsbegäran.docx", "S 1825-2025")</f>
        <v/>
      </c>
      <c r="AD17">
        <f>HYPERLINK("https://klasma.github.io/Logging_1381/tillsynsmail/S 1825-2025 tillsynsbegäran mail.docx", "S 1825-2025")</f>
        <v/>
      </c>
    </row>
    <row r="18" ht="15" customHeight="1">
      <c r="A18" t="inlineStr">
        <is>
          <t>A 61675-2023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45265</v>
      </c>
      <c r="E18" s="1" t="n">
        <v>46315</v>
      </c>
      <c r="F18" t="inlineStr">
        <is>
          <t>HALLANDS LÄN</t>
        </is>
      </c>
      <c r="G18" t="inlineStr">
        <is>
          <t>HYLTE</t>
        </is>
      </c>
      <c r="I18" t="n">
        <v>0.7</v>
      </c>
      <c r="J18" t="n">
        <v>1</v>
      </c>
      <c r="K18" t="n">
        <v>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10</v>
      </c>
      <c r="U18" t="n">
        <v>10</v>
      </c>
      <c r="V18" s="2" t="inlineStr">
        <is>
          <t>Bokvårtlav
Fällmossa
Guldlockmossa
Havstulpanlav
Klippfrullania
Platt fjädermossa
Trädporella
Spillkråka</t>
        </is>
      </c>
      <c r="W18">
        <f>HYPERLINK("https://klasma.github.io/Logging_1315/artfynd/A 61675-2023 artfynd.xlsx", "A 61675-2023")</f>
        <v/>
      </c>
      <c r="X18">
        <f>HYPERLINK("https://klasma.github.io/Logging_1315/kartor/A 61675-2023 karta.png", "A 61675-2023")</f>
        <v/>
      </c>
      <c r="Y18">
        <f>HYPERLINK("https://klasma.github.io/Logging_1315/kartor_geotiff/A 61675-2023 georefererad karta.tif", "A 61675-2023")</f>
        <v/>
      </c>
      <c r="AA18">
        <f>HYPERLINK("https://klasma.github.io/Logging_1315/klagomål/A 61675-2023 FSC-klagomål.docx", "A 61675-2023")</f>
        <v/>
      </c>
      <c r="AB18">
        <f>HYPERLINK("https://klasma.github.io/Logging_1315/klagomålsmail/A 61675-2023 FSC-klagomål mail.docx", "A 61675-2023")</f>
        <v/>
      </c>
      <c r="AC18">
        <f>HYPERLINK("https://klasma.github.io/Logging_1315/tillsyn/A 61675-2023 tillsynsbegäran.docx", "A 61675-2023")</f>
        <v/>
      </c>
      <c r="AD18">
        <f>HYPERLINK("https://klasma.github.io/Logging_1315/tillsynsmail/A 61675-2023 tillsynsbegäran mail.docx", "A 61675-2023")</f>
        <v/>
      </c>
      <c r="AE18">
        <f>HYPERLINK("https://klasma.github.io/Logging_1315/fåglar/A 61675-2023 prioriterade fågelarter.docx", "A 61675-2023")</f>
        <v/>
      </c>
    </row>
    <row r="19" ht="15" customHeight="1">
      <c r="A19" t="inlineStr">
        <is>
          <t>A 34621-2026</t>
        </is>
      </c>
      <c r="B19" t="inlineStr">
        <is>
          <t>avverkningsanmälan</t>
        </is>
      </c>
      <c r="C19" t="inlineStr">
        <is>
          <t>Avverkning för att bevara och utveckla /försöksver</t>
        </is>
      </c>
      <c r="D19" s="1" t="n">
        <v>46255</v>
      </c>
      <c r="E19" s="1" t="n">
        <v>46315</v>
      </c>
      <c r="F19" t="inlineStr">
        <is>
          <t>HALLANDS LÄN</t>
        </is>
      </c>
      <c r="G19" t="inlineStr">
        <is>
          <t>FALKENBERG</t>
        </is>
      </c>
      <c r="I19" t="n">
        <v>0.4</v>
      </c>
      <c r="J19" t="n">
        <v>0</v>
      </c>
      <c r="K19" t="n">
        <v>7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10</v>
      </c>
      <c r="U19" t="n">
        <v>10</v>
      </c>
      <c r="V19" s="2" t="inlineStr">
        <is>
          <t>Bokvårtlav
Barkkornlav
Bokfjädermossa
Fällmossa
Guldlockmossa
Gulnål
Havstulpanlav
Platt fjädermossa</t>
        </is>
      </c>
      <c r="W19">
        <f>HYPERLINK("https://klasma.github.io/Logging_1382/artfynd/A 34621-2026 artfynd.xlsx", "A 34621-2026")</f>
        <v/>
      </c>
      <c r="X19">
        <f>HYPERLINK("https://klasma.github.io/Logging_1382/kartor/A 34621-2026 karta.png", "A 34621-2026")</f>
        <v/>
      </c>
      <c r="Y19">
        <f>HYPERLINK("https://klasma.github.io/Logging_1382/kartor_geotiff/A 34621-2026 georefererad karta.tif", "A 34621-2026")</f>
        <v/>
      </c>
      <c r="AA19">
        <f>HYPERLINK("https://klasma.github.io/Logging_1382/klagomål/A 34621-2026 FSC-klagomål.docx", "A 34621-2026")</f>
        <v/>
      </c>
      <c r="AB19">
        <f>HYPERLINK("https://klasma.github.io/Logging_1382/klagomålsmail/A 34621-2026 FSC-klagomål mail.docx", "A 34621-2026")</f>
        <v/>
      </c>
      <c r="AC19">
        <f>HYPERLINK("https://klasma.github.io/Logging_1382/tillsyn/A 34621-2026 tillsynsbegäran.docx", "A 34621-2026")</f>
        <v/>
      </c>
      <c r="AD19">
        <f>HYPERLINK("https://klasma.github.io/Logging_1382/tillsynsmail/A 34621-2026 tillsynsbegäran mail.docx", "A 34621-2026")</f>
        <v/>
      </c>
    </row>
    <row r="20" ht="15" customHeight="1">
      <c r="A20" t="inlineStr">
        <is>
          <t>S 951-2025</t>
        </is>
      </c>
      <c r="B20" t="inlineStr">
        <is>
          <t>samrådsanmälan</t>
        </is>
      </c>
      <c r="C20" t="inlineStr">
        <is>
          <t>Annan skogsbruksåtgärd</t>
        </is>
      </c>
      <c r="D20" s="1" t="n">
        <v>45741</v>
      </c>
      <c r="E20" s="1" t="n">
        <v>46315</v>
      </c>
      <c r="F20" t="inlineStr">
        <is>
          <t>HALLANDS LÄN</t>
        </is>
      </c>
      <c r="G20" t="inlineStr">
        <is>
          <t>FALKENBERG</t>
        </is>
      </c>
      <c r="I20" t="n">
        <v>0.6</v>
      </c>
      <c r="J20" t="n">
        <v>0</v>
      </c>
      <c r="K20" t="n">
        <v>6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8</v>
      </c>
      <c r="U20" t="n">
        <v>0</v>
      </c>
      <c r="V20" s="2" t="inlineStr">
        <is>
          <t>Bokkantlav
Bokvårtlav
Bokfjädermossa
Fällmossa
Guldlockmossa
Korallblylav
Platt fjädermossa
Stor knopplav</t>
        </is>
      </c>
      <c r="W20">
        <f>HYPERLINK("https://klasma.github.io/Logging_1382/artfynd/S 951-2025 artfynd.xlsx", "S 951-2025")</f>
        <v/>
      </c>
      <c r="X20">
        <f>HYPERLINK("https://klasma.github.io/Logging_1382/kartor/S 951-2025 karta.png", "S 951-2025")</f>
        <v/>
      </c>
      <c r="Y20">
        <f>HYPERLINK("https://klasma.github.io/Logging_1382/kartor_geotiff/S 951-2025 georefererad karta.tif", "S 951-2025")</f>
        <v/>
      </c>
      <c r="AA20">
        <f>HYPERLINK("https://klasma.github.io/Logging_1382/klagomål/S 951-2025 FSC-klagomål.docx", "S 951-2025")</f>
        <v/>
      </c>
      <c r="AB20">
        <f>HYPERLINK("https://klasma.github.io/Logging_1382/klagomålsmail/S 951-2025 FSC-klagomål mail.docx", "S 951-2025")</f>
        <v/>
      </c>
      <c r="AC20">
        <f>HYPERLINK("https://klasma.github.io/Logging_1382/tillsyn/S 951-2025 tillsynsbegäran.docx", "S 951-2025")</f>
        <v/>
      </c>
      <c r="AD20">
        <f>HYPERLINK("https://klasma.github.io/Logging_1382/tillsynsmail/S 951-2025 tillsynsbegäran mail.docx", "S 951-2025")</f>
        <v/>
      </c>
    </row>
    <row r="21" ht="15" customHeight="1">
      <c r="A21" t="inlineStr">
        <is>
          <t>A 63965-2021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44509</v>
      </c>
      <c r="E21" s="1" t="n">
        <v>46315</v>
      </c>
      <c r="F21" t="inlineStr">
        <is>
          <t>HALLANDS LÄN</t>
        </is>
      </c>
      <c r="G21" t="inlineStr">
        <is>
          <t>KUNGSBACKA</t>
        </is>
      </c>
      <c r="I21" t="n">
        <v>2</v>
      </c>
      <c r="J21" t="n">
        <v>2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10</v>
      </c>
      <c r="U21" t="n">
        <v>7</v>
      </c>
      <c r="V21" s="2" t="inlineStr">
        <is>
          <t>Blåmossa
Guldlockmossa
Klippfrullania
Myskbock
Rostfläck
Hasselmus
Revlummer</t>
        </is>
      </c>
      <c r="W21">
        <f>HYPERLINK("https://klasma.github.io/Logging_1384/artfynd/A 63965-2021 artfynd.xlsx", "A 63965-2021")</f>
        <v/>
      </c>
      <c r="X21">
        <f>HYPERLINK("https://klasma.github.io/Logging_1384/kartor/A 63965-2021 karta.png", "A 63965-2021")</f>
        <v/>
      </c>
      <c r="Y21">
        <f>HYPERLINK("https://klasma.github.io/Logging_1384/kartor_geotiff/A 63965-2021 georefererad karta.tif", "A 63965-2021")</f>
        <v/>
      </c>
      <c r="AA21">
        <f>HYPERLINK("https://klasma.github.io/Logging_1384/klagomål/A 63965-2021 FSC-klagomål.docx", "A 63965-2021")</f>
        <v/>
      </c>
      <c r="AB21">
        <f>HYPERLINK("https://klasma.github.io/Logging_1384/klagomålsmail/A 63965-2021 FSC-klagomål mail.docx", "A 63965-2021")</f>
        <v/>
      </c>
      <c r="AC21">
        <f>HYPERLINK("https://klasma.github.io/Logging_1384/tillsyn/A 63965-2021 tillsynsbegäran.docx", "A 63965-2021")</f>
        <v/>
      </c>
      <c r="AD21">
        <f>HYPERLINK("https://klasma.github.io/Logging_1384/tillsynsmail/A 63965-2021 tillsynsbegäran mail.docx", "A 63965-2021")</f>
        <v/>
      </c>
    </row>
    <row r="22" ht="15" customHeight="1">
      <c r="A22" t="inlineStr">
        <is>
          <t>A 38358-2026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46282</v>
      </c>
      <c r="E22" s="1" t="n">
        <v>46315</v>
      </c>
      <c r="F22" t="inlineStr">
        <is>
          <t>HALLANDS LÄN</t>
        </is>
      </c>
      <c r="G22" t="inlineStr">
        <is>
          <t>FALKENBERG</t>
        </is>
      </c>
      <c r="I22" t="n">
        <v>3.2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17</v>
      </c>
      <c r="U22" t="n">
        <v>0</v>
      </c>
      <c r="V22" s="2" t="inlineStr">
        <is>
          <t>Brunpudrad nållav
Björksplintborre
Gulnål
Jättesvampmal
Spillkråka
Tjäder
Revlummer</t>
        </is>
      </c>
      <c r="W22">
        <f>HYPERLINK("https://klasma.github.io/Logging_1382/artfynd/A 38358-2026 artfynd.xlsx", "A 38358-2026")</f>
        <v/>
      </c>
      <c r="X22">
        <f>HYPERLINK("https://klasma.github.io/Logging_1382/kartor/A 38358-2026 karta.png", "A 38358-2026")</f>
        <v/>
      </c>
      <c r="Y22">
        <f>HYPERLINK("https://klasma.github.io/Logging_1382/kartor_geotiff/A 38358-2026 georefererad karta.tif", "A 38358-2026")</f>
        <v/>
      </c>
      <c r="AA22">
        <f>HYPERLINK("https://klasma.github.io/Logging_1382/klagomål/A 38358-2026 FSC-klagomål.docx", "A 38358-2026")</f>
        <v/>
      </c>
      <c r="AB22">
        <f>HYPERLINK("https://klasma.github.io/Logging_1382/klagomålsmail/A 38358-2026 FSC-klagomål mail.docx", "A 38358-2026")</f>
        <v/>
      </c>
      <c r="AC22">
        <f>HYPERLINK("https://klasma.github.io/Logging_1382/tillsyn/A 38358-2026 tillsynsbegäran.docx", "A 38358-2026")</f>
        <v/>
      </c>
      <c r="AD22">
        <f>HYPERLINK("https://klasma.github.io/Logging_1382/tillsynsmail/A 38358-2026 tillsynsbegäran mail.docx", "A 38358-2026")</f>
        <v/>
      </c>
      <c r="AE22">
        <f>HYPERLINK("https://klasma.github.io/Logging_1382/fåglar/A 38358-2026 prioriterade fågelarter.docx", "A 38358-2026")</f>
        <v/>
      </c>
    </row>
    <row r="23" ht="15" customHeight="1">
      <c r="A23" t="inlineStr">
        <is>
          <t>A 28820-2025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45820</v>
      </c>
      <c r="E23" s="1" t="n">
        <v>46315</v>
      </c>
      <c r="F23" t="inlineStr">
        <is>
          <t>HALLANDS LÄN</t>
        </is>
      </c>
      <c r="G23" t="inlineStr">
        <is>
          <t>HALMSTAD</t>
        </is>
      </c>
      <c r="I23" t="n">
        <v>3.7</v>
      </c>
      <c r="J23" t="n">
        <v>2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8</v>
      </c>
      <c r="U23" t="n">
        <v>0</v>
      </c>
      <c r="V23" s="2" t="inlineStr">
        <is>
          <t>Entita
Hasselticka
Huvudlik svampklubba
Skuggmossa
Smal svampklubba
Västlig hakmossa
Spillkråka</t>
        </is>
      </c>
      <c r="W23">
        <f>HYPERLINK("https://klasma.github.io/Logging_1380/artfynd/A 28820-2025 artfynd.xlsx", "A 28820-2025")</f>
        <v/>
      </c>
      <c r="X23">
        <f>HYPERLINK("https://klasma.github.io/Logging_1380/kartor/A 28820-2025 karta.png", "A 28820-2025")</f>
        <v/>
      </c>
      <c r="Y23">
        <f>HYPERLINK("https://klasma.github.io/Logging_1380/kartor_geotiff/A 28820-2025 georefererad karta.tif", "A 28820-2025")</f>
        <v/>
      </c>
      <c r="AA23">
        <f>HYPERLINK("https://klasma.github.io/Logging_1380/klagomål/A 28820-2025 FSC-klagomål.docx", "A 28820-2025")</f>
        <v/>
      </c>
      <c r="AB23">
        <f>HYPERLINK("https://klasma.github.io/Logging_1380/klagomålsmail/A 28820-2025 FSC-klagomål mail.docx", "A 28820-2025")</f>
        <v/>
      </c>
      <c r="AC23">
        <f>HYPERLINK("https://klasma.github.io/Logging_1380/tillsyn/A 28820-2025 tillsynsbegäran.docx", "A 28820-2025")</f>
        <v/>
      </c>
      <c r="AD23">
        <f>HYPERLINK("https://klasma.github.io/Logging_1380/tillsynsmail/A 28820-2025 tillsynsbegäran mail.docx", "A 28820-2025")</f>
        <v/>
      </c>
      <c r="AE23">
        <f>HYPERLINK("https://klasma.github.io/Logging_1380/fåglar/A 28820-2025 prioriterade fågelarter.docx", "A 28820-2025")</f>
        <v/>
      </c>
    </row>
    <row r="24" ht="15" customHeight="1">
      <c r="A24" t="inlineStr">
        <is>
          <t>S 392-2026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46066</v>
      </c>
      <c r="E24" s="1" t="n">
        <v>46315</v>
      </c>
      <c r="F24" t="inlineStr">
        <is>
          <t>HALLANDS LÄN</t>
        </is>
      </c>
      <c r="G24" t="inlineStr">
        <is>
          <t>HYLTE</t>
        </is>
      </c>
      <c r="I24" t="n">
        <v>4.1</v>
      </c>
      <c r="J24" t="n">
        <v>1</v>
      </c>
      <c r="K24" t="n">
        <v>4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7</v>
      </c>
      <c r="U24" t="n">
        <v>0</v>
      </c>
      <c r="V24" s="2" t="inlineStr">
        <is>
          <t>Ask
Grynig filtlav
Dvärgtufs
Fällmossa
Guldlockmossa
Scytinium lichenoides s.lat.
Mindre vattensalamander</t>
        </is>
      </c>
      <c r="W24">
        <f>HYPERLINK("https://klasma.github.io/Logging_1315/artfynd/S 392-2026 artfynd.xlsx", "S 392-2026")</f>
        <v/>
      </c>
      <c r="X24">
        <f>HYPERLINK("https://klasma.github.io/Logging_1315/kartor/S 392-2026 karta.png", "S 392-2026")</f>
        <v/>
      </c>
      <c r="Y24">
        <f>HYPERLINK("https://klasma.github.io/Logging_1315/kartor_geotiff/S 392-2026 georefererad karta.tif", "S 392-2026")</f>
        <v/>
      </c>
      <c r="AA24">
        <f>HYPERLINK("https://klasma.github.io/Logging_1315/klagomål/S 392-2026 FSC-klagomål.docx", "S 392-2026")</f>
        <v/>
      </c>
      <c r="AB24">
        <f>HYPERLINK("https://klasma.github.io/Logging_1315/klagomålsmail/S 392-2026 FSC-klagomål mail.docx", "S 392-2026")</f>
        <v/>
      </c>
      <c r="AC24">
        <f>HYPERLINK("https://klasma.github.io/Logging_1315/tillsyn/S 392-2026 tillsynsbegäran.docx", "S 392-2026")</f>
        <v/>
      </c>
      <c r="AD24">
        <f>HYPERLINK("https://klasma.github.io/Logging_1315/tillsynsmail/S 392-2026 tillsynsbegäran mail.docx", "S 392-2026")</f>
        <v/>
      </c>
    </row>
    <row r="25" ht="15" customHeight="1">
      <c r="A25" t="inlineStr">
        <is>
          <t>A 15197-2024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45400</v>
      </c>
      <c r="E25" s="1" t="n">
        <v>46315</v>
      </c>
      <c r="F25" t="inlineStr">
        <is>
          <t>HALLANDS LÄN</t>
        </is>
      </c>
      <c r="G25" t="inlineStr">
        <is>
          <t>LAHOLM</t>
        </is>
      </c>
      <c r="I25" t="n">
        <v>15.1</v>
      </c>
      <c r="J25" t="n">
        <v>2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6</v>
      </c>
      <c r="T25" t="n">
        <v>11</v>
      </c>
      <c r="U25" t="n">
        <v>3</v>
      </c>
      <c r="V25" s="2" t="inlineStr">
        <is>
          <t>Skirmossa
Vildris
Dvärghäxört
Grovticka
Guldlockmossa
Vanlig padda</t>
        </is>
      </c>
      <c r="W25">
        <f>HYPERLINK("https://klasma.github.io/Logging_1381/artfynd/A 15197-2024 artfynd.xlsx", "A 15197-2024")</f>
        <v/>
      </c>
      <c r="X25">
        <f>HYPERLINK("https://klasma.github.io/Logging_1381/kartor/A 15197-2024 karta.png", "A 15197-2024")</f>
        <v/>
      </c>
      <c r="Y25">
        <f>HYPERLINK("https://klasma.github.io/Logging_1381/kartor_geotiff/A 15197-2024 georefererad karta.tif", "A 15197-2024")</f>
        <v/>
      </c>
      <c r="AA25">
        <f>HYPERLINK("https://klasma.github.io/Logging_1381/klagomål/A 15197-2024 FSC-klagomål.docx", "A 15197-2024")</f>
        <v/>
      </c>
      <c r="AB25">
        <f>HYPERLINK("https://klasma.github.io/Logging_1381/klagomålsmail/A 15197-2024 FSC-klagomål mail.docx", "A 15197-2024")</f>
        <v/>
      </c>
      <c r="AC25">
        <f>HYPERLINK("https://klasma.github.io/Logging_1381/tillsyn/A 15197-2024 tillsynsbegäran.docx", "A 15197-2024")</f>
        <v/>
      </c>
      <c r="AD25">
        <f>HYPERLINK("https://klasma.github.io/Logging_1381/tillsynsmail/A 15197-2024 tillsynsbegäran mail.docx", "A 15197-2024")</f>
        <v/>
      </c>
    </row>
    <row r="26" ht="15" customHeight="1">
      <c r="A26" t="inlineStr">
        <is>
          <t>A 48909-2023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45204</v>
      </c>
      <c r="E26" s="1" t="n">
        <v>46315</v>
      </c>
      <c r="F26" t="inlineStr">
        <is>
          <t>HALLANDS LÄN</t>
        </is>
      </c>
      <c r="G26" t="inlineStr">
        <is>
          <t>HALMSTAD</t>
        </is>
      </c>
      <c r="I26" t="n">
        <v>3.4</v>
      </c>
      <c r="J26" t="n">
        <v>6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6</v>
      </c>
      <c r="T26" t="n">
        <v>17</v>
      </c>
      <c r="U26" t="n">
        <v>3</v>
      </c>
      <c r="V26" s="2" t="inlineStr">
        <is>
          <t>Entita
Grönsångare
Järnsparv
Spillkråka
Kungsfågel
Sångsvan</t>
        </is>
      </c>
      <c r="W26">
        <f>HYPERLINK("https://klasma.github.io/Logging_1380/artfynd/A 48909-2023 artfynd.xlsx", "A 48909-2023")</f>
        <v/>
      </c>
      <c r="X26">
        <f>HYPERLINK("https://klasma.github.io/Logging_1380/kartor/A 48909-2023 karta.png", "A 48909-2023")</f>
        <v/>
      </c>
      <c r="Y26">
        <f>HYPERLINK("https://klasma.github.io/Logging_1380/kartor_geotiff/A 48909-2023 georefererad karta.tif", "A 48909-2023")</f>
        <v/>
      </c>
      <c r="AA26">
        <f>HYPERLINK("https://klasma.github.io/Logging_1380/klagomål/A 48909-2023 FSC-klagomål.docx", "A 48909-2023")</f>
        <v/>
      </c>
      <c r="AB26">
        <f>HYPERLINK("https://klasma.github.io/Logging_1380/klagomålsmail/A 48909-2023 FSC-klagomål mail.docx", "A 48909-2023")</f>
        <v/>
      </c>
      <c r="AC26">
        <f>HYPERLINK("https://klasma.github.io/Logging_1380/tillsyn/A 48909-2023 tillsynsbegäran.docx", "A 48909-2023")</f>
        <v/>
      </c>
      <c r="AD26">
        <f>HYPERLINK("https://klasma.github.io/Logging_1380/tillsynsmail/A 48909-2023 tillsynsbegäran mail.docx", "A 48909-2023")</f>
        <v/>
      </c>
      <c r="AE26">
        <f>HYPERLINK("https://klasma.github.io/Logging_1380/fåglar/A 48909-2023 prioriterade fågelarter.docx", "A 48909-2023")</f>
        <v/>
      </c>
    </row>
    <row r="27" ht="15" customHeight="1">
      <c r="A27" t="inlineStr">
        <is>
          <t>A 8912-2026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46069</v>
      </c>
      <c r="E27" s="1" t="n">
        <v>46315</v>
      </c>
      <c r="F27" t="inlineStr">
        <is>
          <t>HALLANDS LÄN</t>
        </is>
      </c>
      <c r="G27" t="inlineStr">
        <is>
          <t>LAHOLM</t>
        </is>
      </c>
      <c r="I27" t="n">
        <v>8.9</v>
      </c>
      <c r="J27" t="n">
        <v>0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6</v>
      </c>
      <c r="T27" t="n">
        <v>6</v>
      </c>
      <c r="U27" t="n">
        <v>1</v>
      </c>
      <c r="V27" s="2" t="inlineStr">
        <is>
          <t>Bokkantlav
Bokvårtlav
Phellodon frondosoniger
Fällmossa
Kambräken
Platt fjädermossa</t>
        </is>
      </c>
      <c r="W27">
        <f>HYPERLINK("https://klasma.github.io/Logging_1381/artfynd/A 8912-2026 artfynd.xlsx", "A 8912-2026")</f>
        <v/>
      </c>
      <c r="X27">
        <f>HYPERLINK("https://klasma.github.io/Logging_1381/kartor/A 8912-2026 karta.png", "A 8912-2026")</f>
        <v/>
      </c>
      <c r="Y27">
        <f>HYPERLINK("https://klasma.github.io/Logging_1381/kartor_geotiff/A 8912-2026 georefererad karta.tif", "A 8912-2026")</f>
        <v/>
      </c>
      <c r="AA27">
        <f>HYPERLINK("https://klasma.github.io/Logging_1381/klagomål/A 8912-2026 FSC-klagomål.docx", "A 8912-2026")</f>
        <v/>
      </c>
      <c r="AB27">
        <f>HYPERLINK("https://klasma.github.io/Logging_1381/klagomålsmail/A 8912-2026 FSC-klagomål mail.docx", "A 8912-2026")</f>
        <v/>
      </c>
      <c r="AC27">
        <f>HYPERLINK("https://klasma.github.io/Logging_1381/tillsyn/A 8912-2026 tillsynsbegäran.docx", "A 8912-2026")</f>
        <v/>
      </c>
      <c r="AD27">
        <f>HYPERLINK("https://klasma.github.io/Logging_1381/tillsynsmail/A 8912-2026 tillsynsbegäran mail.docx", "A 8912-2026")</f>
        <v/>
      </c>
    </row>
    <row r="28" ht="15" customHeight="1">
      <c r="A28" t="inlineStr">
        <is>
          <t>A 7724-2023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44973</v>
      </c>
      <c r="E28" s="1" t="n">
        <v>46315</v>
      </c>
      <c r="F28" t="inlineStr">
        <is>
          <t>HALLANDS LÄN</t>
        </is>
      </c>
      <c r="G28" t="inlineStr">
        <is>
          <t>LAHOLM</t>
        </is>
      </c>
      <c r="I28" t="n">
        <v>4</v>
      </c>
      <c r="J28" t="n">
        <v>2</v>
      </c>
      <c r="K28" t="n">
        <v>0</v>
      </c>
      <c r="L28" t="n">
        <v>4</v>
      </c>
      <c r="M28" t="n">
        <v>0</v>
      </c>
      <c r="N28" t="n">
        <v>0</v>
      </c>
      <c r="O28" t="n">
        <v>1</v>
      </c>
      <c r="P28" t="n">
        <v>0</v>
      </c>
      <c r="Q28" t="n">
        <v>5</v>
      </c>
      <c r="R28" t="n">
        <v>1</v>
      </c>
      <c r="S28" t="n">
        <v>6</v>
      </c>
      <c r="T28" t="n">
        <v>7</v>
      </c>
      <c r="U28" t="n">
        <v>4</v>
      </c>
      <c r="V28" s="2" t="inlineStr">
        <is>
          <t>Ål
Lax
Lunglav
Mindre hackspett
Svinrot
Utter</t>
        </is>
      </c>
      <c r="W28">
        <f>HYPERLINK("https://klasma.github.io/Logging_1381/artfynd/A 7724-2023 artfynd.xlsx", "A 7724-2023")</f>
        <v/>
      </c>
      <c r="X28">
        <f>HYPERLINK("https://klasma.github.io/Logging_1381/kartor/A 7724-2023 karta.png", "A 7724-2023")</f>
        <v/>
      </c>
      <c r="Y28">
        <f>HYPERLINK("https://klasma.github.io/Logging_1381/kartor_geotiff/A 7724-2023 georefererad karta.tif", "A 7724-2023")</f>
        <v/>
      </c>
      <c r="AA28">
        <f>HYPERLINK("https://klasma.github.io/Logging_1381/klagomål/A 7724-2023 FSC-klagomål.docx", "A 7724-2023")</f>
        <v/>
      </c>
      <c r="AB28">
        <f>HYPERLINK("https://klasma.github.io/Logging_1381/klagomålsmail/A 7724-2023 FSC-klagomål mail.docx", "A 7724-2023")</f>
        <v/>
      </c>
      <c r="AC28">
        <f>HYPERLINK("https://klasma.github.io/Logging_1381/tillsyn/A 7724-2023 tillsynsbegäran.docx", "A 7724-2023")</f>
        <v/>
      </c>
      <c r="AD28">
        <f>HYPERLINK("https://klasma.github.io/Logging_1381/tillsynsmail/A 7724-2023 tillsynsbegäran mail.docx", "A 7724-2023")</f>
        <v/>
      </c>
      <c r="AE28">
        <f>HYPERLINK("https://klasma.github.io/Logging_1381/fåglar/A 7724-2023 prioriterade fågelarter.docx", "A 7724-2023")</f>
        <v/>
      </c>
    </row>
    <row r="29" ht="15" customHeight="1">
      <c r="A29" t="inlineStr">
        <is>
          <t>S 248-2025</t>
        </is>
      </c>
      <c r="B29" t="inlineStr">
        <is>
          <t>samrådsanmälan</t>
        </is>
      </c>
      <c r="C29" t="inlineStr">
        <is>
          <t>Annan skogsbruksåtgärd</t>
        </is>
      </c>
      <c r="D29" s="1" t="n">
        <v>45684</v>
      </c>
      <c r="E29" s="1" t="n">
        <v>46315</v>
      </c>
      <c r="F29" t="inlineStr">
        <is>
          <t>HALLANDS LÄN</t>
        </is>
      </c>
      <c r="G29" t="inlineStr">
        <is>
          <t>HALMSTAD</t>
        </is>
      </c>
      <c r="I29" t="n">
        <v>0.5</v>
      </c>
      <c r="J29" t="n">
        <v>0</v>
      </c>
      <c r="K29" t="n">
        <v>4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6</v>
      </c>
      <c r="T29" t="n">
        <v>6</v>
      </c>
      <c r="U29" t="n">
        <v>0</v>
      </c>
      <c r="V29" s="2" t="inlineStr">
        <is>
          <t>Dunmossa
Flikbålmossa
Blåmossa
Skuggmossa
Västlig hakmossa
Västlig husmossa</t>
        </is>
      </c>
      <c r="W29">
        <f>HYPERLINK("https://klasma.github.io/Logging_1380/artfynd/S 248-2025 artfynd.xlsx", "S 248-2025")</f>
        <v/>
      </c>
      <c r="X29">
        <f>HYPERLINK("https://klasma.github.io/Logging_1380/kartor/S 248-2025 karta.png", "S 248-2025")</f>
        <v/>
      </c>
      <c r="Y29">
        <f>HYPERLINK("https://klasma.github.io/Logging_1380/kartor_geotiff/S 248-2025 georefererad karta.tif", "S 248-2025")</f>
        <v/>
      </c>
      <c r="AA29">
        <f>HYPERLINK("https://klasma.github.io/Logging_1380/klagomål/S 248-2025 FSC-klagomål.docx", "S 248-2025")</f>
        <v/>
      </c>
      <c r="AB29">
        <f>HYPERLINK("https://klasma.github.io/Logging_1380/klagomålsmail/S 248-2025 FSC-klagomål mail.docx", "S 248-2025")</f>
        <v/>
      </c>
      <c r="AC29">
        <f>HYPERLINK("https://klasma.github.io/Logging_1380/tillsyn/S 248-2025 tillsynsbegäran.docx", "S 248-2025")</f>
        <v/>
      </c>
      <c r="AD29">
        <f>HYPERLINK("https://klasma.github.io/Logging_1380/tillsynsmail/S 248-2025 tillsynsbegäran mail.docx", "S 248-2025")</f>
        <v/>
      </c>
    </row>
    <row r="30" ht="15" customHeight="1">
      <c r="A30" t="inlineStr">
        <is>
          <t>S 719-2026</t>
        </is>
      </c>
      <c r="B30" t="inlineStr">
        <is>
          <t>samrådsanmälan</t>
        </is>
      </c>
      <c r="C30" t="inlineStr">
        <is>
          <t>Askåterföring</t>
        </is>
      </c>
      <c r="D30" s="1" t="n">
        <v>46094</v>
      </c>
      <c r="E30" s="1" t="n">
        <v>46315</v>
      </c>
      <c r="F30" t="inlineStr">
        <is>
          <t>HALLANDS LÄN</t>
        </is>
      </c>
      <c r="G30" t="inlineStr">
        <is>
          <t>LAHOLM</t>
        </is>
      </c>
      <c r="I30" t="n">
        <v>61.8</v>
      </c>
      <c r="J30" t="n">
        <v>0</v>
      </c>
      <c r="K30" t="n">
        <v>4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6</v>
      </c>
      <c r="T30" t="n">
        <v>15</v>
      </c>
      <c r="U30" t="n">
        <v>0</v>
      </c>
      <c r="V30" s="2" t="inlineStr">
        <is>
          <t>Pulverädellav
Smalskaftslav
Barkkornlav
Gulnål
Havstulpanlav
Mussellav</t>
        </is>
      </c>
      <c r="W30">
        <f>HYPERLINK("https://klasma.github.io/Logging_1381/artfynd/S 719-2026 artfynd.xlsx", "S 719-2026")</f>
        <v/>
      </c>
      <c r="X30">
        <f>HYPERLINK("https://klasma.github.io/Logging_1381/kartor/S 719-2026 karta.png", "S 719-2026")</f>
        <v/>
      </c>
      <c r="Y30">
        <f>HYPERLINK("https://klasma.github.io/Logging_1381/kartor_geotiff/S 719-2026 georefererad karta.tif", "S 719-2026")</f>
        <v/>
      </c>
      <c r="AA30">
        <f>HYPERLINK("https://klasma.github.io/Logging_1381/klagomål/S 719-2026 FSC-klagomål.docx", "S 719-2026")</f>
        <v/>
      </c>
      <c r="AB30">
        <f>HYPERLINK("https://klasma.github.io/Logging_1381/klagomålsmail/S 719-2026 FSC-klagomål mail.docx", "S 719-2026")</f>
        <v/>
      </c>
      <c r="AC30">
        <f>HYPERLINK("https://klasma.github.io/Logging_1381/tillsyn/S 719-2026 tillsynsbegäran.docx", "S 719-2026")</f>
        <v/>
      </c>
      <c r="AD30">
        <f>HYPERLINK("https://klasma.github.io/Logging_1381/tillsynsmail/S 719-2026 tillsynsbegäran mail.docx", "S 719-2026")</f>
        <v/>
      </c>
    </row>
    <row r="31" ht="15" customHeight="1">
      <c r="A31" t="inlineStr">
        <is>
          <t>A 4720-2022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44592</v>
      </c>
      <c r="E31" s="1" t="n">
        <v>46315</v>
      </c>
      <c r="F31" t="inlineStr">
        <is>
          <t>HALLANDS LÄN</t>
        </is>
      </c>
      <c r="G31" t="inlineStr">
        <is>
          <t>FALKENBERG</t>
        </is>
      </c>
      <c r="H31" t="inlineStr">
        <is>
          <t>Kyrkan</t>
        </is>
      </c>
      <c r="I31" t="n">
        <v>0.4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8</v>
      </c>
      <c r="U31" t="n">
        <v>8</v>
      </c>
      <c r="V31" s="2" t="inlineStr">
        <is>
          <t>Större vattensalamander
Åkergroda
Mindre vattensalamander
Vanlig groda
Vanlig padda</t>
        </is>
      </c>
      <c r="W31">
        <f>HYPERLINK("https://klasma.github.io/Logging_1382/artfynd/A 4720-2022 artfynd.xlsx", "A 4720-2022")</f>
        <v/>
      </c>
      <c r="X31">
        <f>HYPERLINK("https://klasma.github.io/Logging_1382/kartor/A 4720-2022 karta.png", "A 4720-2022")</f>
        <v/>
      </c>
      <c r="Y31">
        <f>HYPERLINK("https://klasma.github.io/Logging_1382/kartor_geotiff/A 4720-2022 georefererad karta.tif", "A 4720-2022")</f>
        <v/>
      </c>
      <c r="AA31">
        <f>HYPERLINK("https://klasma.github.io/Logging_1382/klagomål/A 4720-2022 FSC-klagomål.docx", "A 4720-2022")</f>
        <v/>
      </c>
      <c r="AB31">
        <f>HYPERLINK("https://klasma.github.io/Logging_1382/klagomålsmail/A 4720-2022 FSC-klagomål mail.docx", "A 4720-2022")</f>
        <v/>
      </c>
      <c r="AC31">
        <f>HYPERLINK("https://klasma.github.io/Logging_1382/tillsyn/A 4720-2022 tillsynsbegäran.docx", "A 4720-2022")</f>
        <v/>
      </c>
      <c r="AD31">
        <f>HYPERLINK("https://klasma.github.io/Logging_1382/tillsynsmail/A 4720-2022 tillsynsbegäran mail.docx", "A 4720-2022")</f>
        <v/>
      </c>
    </row>
    <row r="32" ht="15" customHeight="1">
      <c r="A32" t="inlineStr">
        <is>
          <t>A 5002-2022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44593</v>
      </c>
      <c r="E32" s="1" t="n">
        <v>46315</v>
      </c>
      <c r="F32" t="inlineStr">
        <is>
          <t>HALLANDS LÄN</t>
        </is>
      </c>
      <c r="G32" t="inlineStr">
        <is>
          <t>FALKENBERG</t>
        </is>
      </c>
      <c r="H32" t="inlineStr">
        <is>
          <t>Kyrkan</t>
        </is>
      </c>
      <c r="I32" t="n">
        <v>2.9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6</v>
      </c>
      <c r="U32" t="n">
        <v>6</v>
      </c>
      <c r="V32" s="2" t="inlineStr">
        <is>
          <t>Bokfjädermossa
Mörk husmossa
Platt fjädermossa
Trubbfjädermossa
Revlummer</t>
        </is>
      </c>
      <c r="W32">
        <f>HYPERLINK("https://klasma.github.io/Logging_1382/artfynd/A 5002-2022 artfynd.xlsx", "A 5002-2022")</f>
        <v/>
      </c>
      <c r="X32">
        <f>HYPERLINK("https://klasma.github.io/Logging_1382/kartor/A 5002-2022 karta.png", "A 5002-2022")</f>
        <v/>
      </c>
      <c r="Y32">
        <f>HYPERLINK("https://klasma.github.io/Logging_1382/kartor_geotiff/A 5002-2022 georefererad karta.tif", "A 5002-2022")</f>
        <v/>
      </c>
      <c r="AA32">
        <f>HYPERLINK("https://klasma.github.io/Logging_1382/klagomål/A 5002-2022 FSC-klagomål.docx", "A 5002-2022")</f>
        <v/>
      </c>
      <c r="AB32">
        <f>HYPERLINK("https://klasma.github.io/Logging_1382/klagomålsmail/A 5002-2022 FSC-klagomål mail.docx", "A 5002-2022")</f>
        <v/>
      </c>
      <c r="AC32">
        <f>HYPERLINK("https://klasma.github.io/Logging_1382/tillsyn/A 5002-2022 tillsynsbegäran.docx", "A 5002-2022")</f>
        <v/>
      </c>
      <c r="AD32">
        <f>HYPERLINK("https://klasma.github.io/Logging_1382/tillsynsmail/A 5002-2022 tillsynsbegäran mail.docx", "A 5002-2022")</f>
        <v/>
      </c>
    </row>
    <row r="33" ht="15" customHeight="1">
      <c r="A33" t="inlineStr">
        <is>
          <t>A 9526-2024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45359</v>
      </c>
      <c r="E33" s="1" t="n">
        <v>46315</v>
      </c>
      <c r="F33" t="inlineStr">
        <is>
          <t>HALLANDS LÄN</t>
        </is>
      </c>
      <c r="G33" t="inlineStr">
        <is>
          <t>KUNGSBACKA</t>
        </is>
      </c>
      <c r="H33" t="inlineStr">
        <is>
          <t>Kyrkan</t>
        </is>
      </c>
      <c r="I33" t="n">
        <v>6.9</v>
      </c>
      <c r="J33" t="n">
        <v>5</v>
      </c>
      <c r="K33" t="n">
        <v>0</v>
      </c>
      <c r="L33" t="n">
        <v>2</v>
      </c>
      <c r="M33" t="n">
        <v>1</v>
      </c>
      <c r="N33" t="n">
        <v>1</v>
      </c>
      <c r="O33" t="n">
        <v>0</v>
      </c>
      <c r="P33" t="n">
        <v>0</v>
      </c>
      <c r="Q33" t="n">
        <v>4</v>
      </c>
      <c r="R33" t="n">
        <v>2</v>
      </c>
      <c r="S33" t="n">
        <v>5</v>
      </c>
      <c r="T33" t="n">
        <v>5</v>
      </c>
      <c r="U33" t="n">
        <v>5</v>
      </c>
      <c r="V33" s="2" t="inlineStr">
        <is>
          <t>Hornuggla
Grönfink
Entita
Rödvingetrast
Gröngöling</t>
        </is>
      </c>
      <c r="W33">
        <f>HYPERLINK("https://klasma.github.io/Logging_1384/artfynd/A 9526-2024 artfynd.xlsx", "A 9526-2024")</f>
        <v/>
      </c>
      <c r="X33">
        <f>HYPERLINK("https://klasma.github.io/Logging_1384/kartor/A 9526-2024 karta.png", "A 9526-2024")</f>
        <v/>
      </c>
      <c r="Y33">
        <f>HYPERLINK("https://klasma.github.io/Logging_1384/kartor_geotiff/A 9526-2024 georefererad karta.tif", "A 9526-2024")</f>
        <v/>
      </c>
      <c r="AA33">
        <f>HYPERLINK("https://klasma.github.io/Logging_1384/klagomål/A 9526-2024 FSC-klagomål.docx", "A 9526-2024")</f>
        <v/>
      </c>
      <c r="AB33">
        <f>HYPERLINK("https://klasma.github.io/Logging_1384/klagomålsmail/A 9526-2024 FSC-klagomål mail.docx", "A 9526-2024")</f>
        <v/>
      </c>
      <c r="AC33">
        <f>HYPERLINK("https://klasma.github.io/Logging_1384/tillsyn/A 9526-2024 tillsynsbegäran.docx", "A 9526-2024")</f>
        <v/>
      </c>
      <c r="AD33">
        <f>HYPERLINK("https://klasma.github.io/Logging_1384/tillsynsmail/A 9526-2024 tillsynsbegäran mail.docx", "A 9526-2024")</f>
        <v/>
      </c>
      <c r="AE33">
        <f>HYPERLINK("https://klasma.github.io/Logging_1384/fåglar/A 9526-2024 prioriterade fågelarter.docx", "A 9526-2024")</f>
        <v/>
      </c>
    </row>
    <row r="34" ht="15" customHeight="1">
      <c r="A34" t="inlineStr">
        <is>
          <t>A 8062-2023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44974</v>
      </c>
      <c r="E34" s="1" t="n">
        <v>46315</v>
      </c>
      <c r="F34" t="inlineStr">
        <is>
          <t>HALLANDS LÄN</t>
        </is>
      </c>
      <c r="G34" t="inlineStr">
        <is>
          <t>HALMSTAD</t>
        </is>
      </c>
      <c r="I34" t="n">
        <v>1.3</v>
      </c>
      <c r="J34" t="n">
        <v>5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5</v>
      </c>
      <c r="U34" t="n">
        <v>5</v>
      </c>
      <c r="V34" s="2" t="inlineStr">
        <is>
          <t>Barbastell
Brunlångöra
Nordfladdermus
Dvärgpipistrell
Vattenfladdermus</t>
        </is>
      </c>
      <c r="W34">
        <f>HYPERLINK("https://klasma.github.io/Logging_1380/artfynd/A 8062-2023 artfynd.xlsx", "A 8062-2023")</f>
        <v/>
      </c>
      <c r="X34">
        <f>HYPERLINK("https://klasma.github.io/Logging_1380/kartor/A 8062-2023 karta.png", "A 8062-2023")</f>
        <v/>
      </c>
      <c r="Y34">
        <f>HYPERLINK("https://klasma.github.io/Logging_1380/kartor_geotiff/A 8062-2023 georefererad karta.tif", "A 8062-2023")</f>
        <v/>
      </c>
      <c r="AA34">
        <f>HYPERLINK("https://klasma.github.io/Logging_1380/klagomål/A 8062-2023 FSC-klagomål.docx", "A 8062-2023")</f>
        <v/>
      </c>
      <c r="AB34">
        <f>HYPERLINK("https://klasma.github.io/Logging_1380/klagomålsmail/A 8062-2023 FSC-klagomål mail.docx", "A 8062-2023")</f>
        <v/>
      </c>
      <c r="AC34">
        <f>HYPERLINK("https://klasma.github.io/Logging_1380/tillsyn/A 8062-2023 tillsynsbegäran.docx", "A 8062-2023")</f>
        <v/>
      </c>
      <c r="AD34">
        <f>HYPERLINK("https://klasma.github.io/Logging_1380/tillsynsmail/A 8062-2023 tillsynsbegäran mail.docx", "A 8062-2023")</f>
        <v/>
      </c>
    </row>
    <row r="35" ht="15" customHeight="1">
      <c r="A35" t="inlineStr">
        <is>
          <t>A 52117-2022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44873</v>
      </c>
      <c r="E35" s="1" t="n">
        <v>46315</v>
      </c>
      <c r="F35" t="inlineStr">
        <is>
          <t>HALLANDS LÄN</t>
        </is>
      </c>
      <c r="G35" t="inlineStr">
        <is>
          <t>HYLTE</t>
        </is>
      </c>
      <c r="I35" t="n">
        <v>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5</v>
      </c>
      <c r="U35" t="n">
        <v>5</v>
      </c>
      <c r="V35" s="2" t="inlineStr">
        <is>
          <t>Bokkantlav
Bokvårtlav
Barkkornlav
Bokfjädermossa
Jättesvampmal</t>
        </is>
      </c>
      <c r="W35">
        <f>HYPERLINK("https://klasma.github.io/Logging_1315/artfynd/A 52117-2022 artfynd.xlsx", "A 52117-2022")</f>
        <v/>
      </c>
      <c r="X35">
        <f>HYPERLINK("https://klasma.github.io/Logging_1315/kartor/A 52117-2022 karta.png", "A 52117-2022")</f>
        <v/>
      </c>
      <c r="Y35">
        <f>HYPERLINK("https://klasma.github.io/Logging_1315/kartor_geotiff/A 52117-2022 georefererad karta.tif", "A 52117-2022")</f>
        <v/>
      </c>
      <c r="AA35">
        <f>HYPERLINK("https://klasma.github.io/Logging_1315/klagomål/A 52117-2022 FSC-klagomål.docx", "A 52117-2022")</f>
        <v/>
      </c>
      <c r="AB35">
        <f>HYPERLINK("https://klasma.github.io/Logging_1315/klagomålsmail/A 52117-2022 FSC-klagomål mail.docx", "A 52117-2022")</f>
        <v/>
      </c>
      <c r="AC35">
        <f>HYPERLINK("https://klasma.github.io/Logging_1315/tillsyn/A 52117-2022 tillsynsbegäran.docx", "A 52117-2022")</f>
        <v/>
      </c>
      <c r="AD35">
        <f>HYPERLINK("https://klasma.github.io/Logging_1315/tillsynsmail/A 52117-2022 tillsynsbegäran mail.docx", "A 52117-2022")</f>
        <v/>
      </c>
    </row>
    <row r="36" ht="15" customHeight="1">
      <c r="A36" t="inlineStr">
        <is>
          <t>A 58739-2023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45251</v>
      </c>
      <c r="E36" s="1" t="n">
        <v>46315</v>
      </c>
      <c r="F36" t="inlineStr">
        <is>
          <t>HALLANDS LÄN</t>
        </is>
      </c>
      <c r="G36" t="inlineStr">
        <is>
          <t>HALMSTAD</t>
        </is>
      </c>
      <c r="I36" t="n">
        <v>2.4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5</v>
      </c>
      <c r="U36" t="n">
        <v>0</v>
      </c>
      <c r="V36" s="2" t="inlineStr">
        <is>
          <t>Lax
Gröngöling
Grönsiska
Kungsfågel
Röd glada</t>
        </is>
      </c>
      <c r="W36">
        <f>HYPERLINK("https://klasma.github.io/Logging_1380/artfynd/A 58739-2023 artfynd.xlsx", "A 58739-2023")</f>
        <v/>
      </c>
      <c r="X36">
        <f>HYPERLINK("https://klasma.github.io/Logging_1380/kartor/A 58739-2023 karta.png", "A 58739-2023")</f>
        <v/>
      </c>
      <c r="Y36">
        <f>HYPERLINK("https://klasma.github.io/Logging_1380/kartor_geotiff/A 58739-2023 georefererad karta.tif", "A 58739-2023")</f>
        <v/>
      </c>
      <c r="AA36">
        <f>HYPERLINK("https://klasma.github.io/Logging_1380/klagomål/A 58739-2023 FSC-klagomål.docx", "A 58739-2023")</f>
        <v/>
      </c>
      <c r="AB36">
        <f>HYPERLINK("https://klasma.github.io/Logging_1380/klagomålsmail/A 58739-2023 FSC-klagomål mail.docx", "A 58739-2023")</f>
        <v/>
      </c>
      <c r="AC36">
        <f>HYPERLINK("https://klasma.github.io/Logging_1380/tillsyn/A 58739-2023 tillsynsbegäran.docx", "A 58739-2023")</f>
        <v/>
      </c>
      <c r="AD36">
        <f>HYPERLINK("https://klasma.github.io/Logging_1380/tillsynsmail/A 58739-2023 tillsynsbegäran mail.docx", "A 58739-2023")</f>
        <v/>
      </c>
      <c r="AE36">
        <f>HYPERLINK("https://klasma.github.io/Logging_1380/fåglar/A 58739-2023 prioriterade fågelarter.docx", "A 58739-2023")</f>
        <v/>
      </c>
    </row>
    <row r="37" ht="15" customHeight="1">
      <c r="A37" t="inlineStr">
        <is>
          <t>A 27105-2026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46188</v>
      </c>
      <c r="E37" s="1" t="n">
        <v>46315</v>
      </c>
      <c r="F37" t="inlineStr">
        <is>
          <t>HALLANDS LÄN</t>
        </is>
      </c>
      <c r="G37" t="inlineStr">
        <is>
          <t>VARBERG</t>
        </is>
      </c>
      <c r="I37" t="n">
        <v>0.7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5</v>
      </c>
      <c r="U37" t="n">
        <v>0</v>
      </c>
      <c r="V37" s="2" t="inlineStr">
        <is>
          <t>Bläsand
Kricka
Större aspvedbock
Gröngöling
Kungsfågel</t>
        </is>
      </c>
      <c r="W37">
        <f>HYPERLINK("https://klasma.github.io/Logging_1383/artfynd/A 27105-2026 artfynd.xlsx", "A 27105-2026")</f>
        <v/>
      </c>
      <c r="X37">
        <f>HYPERLINK("https://klasma.github.io/Logging_1383/kartor/A 27105-2026 karta.png", "A 27105-2026")</f>
        <v/>
      </c>
      <c r="Y37">
        <f>HYPERLINK("https://klasma.github.io/Logging_1383/kartor_geotiff/A 27105-2026 georefererad karta.tif", "A 27105-2026")</f>
        <v/>
      </c>
      <c r="AA37">
        <f>HYPERLINK("https://klasma.github.io/Logging_1383/klagomål/A 27105-2026 FSC-klagomål.docx", "A 27105-2026")</f>
        <v/>
      </c>
      <c r="AB37">
        <f>HYPERLINK("https://klasma.github.io/Logging_1383/klagomålsmail/A 27105-2026 FSC-klagomål mail.docx", "A 27105-2026")</f>
        <v/>
      </c>
      <c r="AC37">
        <f>HYPERLINK("https://klasma.github.io/Logging_1383/tillsyn/A 27105-2026 tillsynsbegäran.docx", "A 27105-2026")</f>
        <v/>
      </c>
      <c r="AD37">
        <f>HYPERLINK("https://klasma.github.io/Logging_1383/tillsynsmail/A 27105-2026 tillsynsbegäran mail.docx", "A 27105-2026")</f>
        <v/>
      </c>
      <c r="AE37">
        <f>HYPERLINK("https://klasma.github.io/Logging_1383/fåglar/A 27105-2026 prioriterade fågelarter.docx", "A 27105-2026")</f>
        <v/>
      </c>
    </row>
    <row r="38" ht="15" customHeight="1">
      <c r="A38" t="inlineStr">
        <is>
          <t>A 17981-2025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45761</v>
      </c>
      <c r="E38" s="1" t="n">
        <v>46315</v>
      </c>
      <c r="F38" t="inlineStr">
        <is>
          <t>HALLANDS LÄN</t>
        </is>
      </c>
      <c r="G38" t="inlineStr">
        <is>
          <t>KUNGSBACKA</t>
        </is>
      </c>
      <c r="I38" t="n">
        <v>0.8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5</v>
      </c>
      <c r="U38" t="n">
        <v>5</v>
      </c>
      <c r="V38" s="2" t="inlineStr">
        <is>
          <t>Grönsångare
Talltita
Spillkråka
Gröngöling
Svartvit flugsnappare</t>
        </is>
      </c>
      <c r="W38">
        <f>HYPERLINK("https://klasma.github.io/Logging_1384/artfynd/A 17981-2025 artfynd.xlsx", "A 17981-2025")</f>
        <v/>
      </c>
      <c r="X38">
        <f>HYPERLINK("https://klasma.github.io/Logging_1384/kartor/A 17981-2025 karta.png", "A 17981-2025")</f>
        <v/>
      </c>
      <c r="Y38">
        <f>HYPERLINK("https://klasma.github.io/Logging_1384/kartor_geotiff/A 17981-2025 georefererad karta.tif", "A 17981-2025")</f>
        <v/>
      </c>
      <c r="AA38">
        <f>HYPERLINK("https://klasma.github.io/Logging_1384/klagomål/A 17981-2025 FSC-klagomål.docx", "A 17981-2025")</f>
        <v/>
      </c>
      <c r="AB38">
        <f>HYPERLINK("https://klasma.github.io/Logging_1384/klagomålsmail/A 17981-2025 FSC-klagomål mail.docx", "A 17981-2025")</f>
        <v/>
      </c>
      <c r="AC38">
        <f>HYPERLINK("https://klasma.github.io/Logging_1384/tillsyn/A 17981-2025 tillsynsbegäran.docx", "A 17981-2025")</f>
        <v/>
      </c>
      <c r="AD38">
        <f>HYPERLINK("https://klasma.github.io/Logging_1384/tillsynsmail/A 17981-2025 tillsynsbegäran mail.docx", "A 17981-2025")</f>
        <v/>
      </c>
      <c r="AE38">
        <f>HYPERLINK("https://klasma.github.io/Logging_1384/fåglar/A 17981-2025 prioriterade fågelarter.docx", "A 17981-2025")</f>
        <v/>
      </c>
    </row>
    <row r="39" ht="15" customHeight="1">
      <c r="A39" t="inlineStr">
        <is>
          <t>A 4779-2025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45688</v>
      </c>
      <c r="E39" s="1" t="n">
        <v>46315</v>
      </c>
      <c r="F39" t="inlineStr">
        <is>
          <t>HALLANDS LÄN</t>
        </is>
      </c>
      <c r="G39" t="inlineStr">
        <is>
          <t>VARBERG</t>
        </is>
      </c>
      <c r="I39" t="n">
        <v>10.3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1</v>
      </c>
      <c r="S39" t="n">
        <v>5</v>
      </c>
      <c r="T39" t="n">
        <v>22</v>
      </c>
      <c r="U39" t="n">
        <v>1</v>
      </c>
      <c r="V39" s="2" t="inlineStr">
        <is>
          <t>Ask
Mjukdån
Spillkråka
Hasselmus
Skogsödla</t>
        </is>
      </c>
      <c r="W39">
        <f>HYPERLINK("https://klasma.github.io/Logging_1383/artfynd/A 4779-2025 artfynd.xlsx", "A 4779-2025")</f>
        <v/>
      </c>
      <c r="X39">
        <f>HYPERLINK("https://klasma.github.io/Logging_1383/kartor/A 4779-2025 karta.png", "A 4779-2025")</f>
        <v/>
      </c>
      <c r="Y39">
        <f>HYPERLINK("https://klasma.github.io/Logging_1383/kartor_geotiff/A 4779-2025 georefererad karta.tif", "A 4779-2025")</f>
        <v/>
      </c>
      <c r="AA39">
        <f>HYPERLINK("https://klasma.github.io/Logging_1383/klagomål/A 4779-2025 FSC-klagomål.docx", "A 4779-2025")</f>
        <v/>
      </c>
      <c r="AB39">
        <f>HYPERLINK("https://klasma.github.io/Logging_1383/klagomålsmail/A 4779-2025 FSC-klagomål mail.docx", "A 4779-2025")</f>
        <v/>
      </c>
      <c r="AC39">
        <f>HYPERLINK("https://klasma.github.io/Logging_1383/tillsyn/A 4779-2025 tillsynsbegäran.docx", "A 4779-2025")</f>
        <v/>
      </c>
      <c r="AD39">
        <f>HYPERLINK("https://klasma.github.io/Logging_1383/tillsynsmail/A 4779-2025 tillsynsbegäran mail.docx", "A 4779-2025")</f>
        <v/>
      </c>
      <c r="AE39">
        <f>HYPERLINK("https://klasma.github.io/Logging_1383/fåglar/A 4779-2025 prioriterade fågelarter.docx", "A 4779-2025")</f>
        <v/>
      </c>
    </row>
    <row r="40" ht="15" customHeight="1">
      <c r="A40" t="inlineStr">
        <is>
          <t>S 1321-2022</t>
        </is>
      </c>
      <c r="B40" t="inlineStr">
        <is>
          <t>samrådsanmälan</t>
        </is>
      </c>
      <c r="C40" t="inlineStr">
        <is>
          <t>Åtgärd i nyckelbiotop</t>
        </is>
      </c>
      <c r="D40" s="1" t="n">
        <v>44628</v>
      </c>
      <c r="E40" s="1" t="n">
        <v>46315</v>
      </c>
      <c r="F40" t="inlineStr">
        <is>
          <t>HALLANDS LÄN</t>
        </is>
      </c>
      <c r="G40" t="inlineStr">
        <is>
          <t>FALKENBERG</t>
        </is>
      </c>
      <c r="H40" t="inlineStr">
        <is>
          <t>Kommuner</t>
        </is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2</v>
      </c>
      <c r="R40" t="n">
        <v>2</v>
      </c>
      <c r="S40" t="n">
        <v>5</v>
      </c>
      <c r="T40" t="n">
        <v>8</v>
      </c>
      <c r="U40" t="n">
        <v>8</v>
      </c>
      <c r="V40" s="2" t="inlineStr">
        <is>
          <t>Ask
Skogsalm
Björksplintborre
Spillkråka
Gröngöling</t>
        </is>
      </c>
      <c r="W40">
        <f>HYPERLINK("https://klasma.github.io/Logging_1382/artfynd/S 1321-2022 artfynd.xlsx", "S 1321-2022")</f>
        <v/>
      </c>
      <c r="X40">
        <f>HYPERLINK("https://klasma.github.io/Logging_1382/kartor/S 1321-2022 karta.png", "S 1321-2022")</f>
        <v/>
      </c>
      <c r="Y40">
        <f>HYPERLINK("https://klasma.github.io/Logging_1382/kartor_geotiff/S 1321-2022 georefererad karta.tif", "S 1321-2022")</f>
        <v/>
      </c>
      <c r="AA40">
        <f>HYPERLINK("https://klasma.github.io/Logging_1382/klagomål/S 1321-2022 FSC-klagomål.docx", "S 1321-2022")</f>
        <v/>
      </c>
      <c r="AB40">
        <f>HYPERLINK("https://klasma.github.io/Logging_1382/klagomålsmail/S 1321-2022 FSC-klagomål mail.docx", "S 1321-2022")</f>
        <v/>
      </c>
      <c r="AC40">
        <f>HYPERLINK("https://klasma.github.io/Logging_1382/tillsyn/S 1321-2022 tillsynsbegäran.docx", "S 1321-2022")</f>
        <v/>
      </c>
      <c r="AD40">
        <f>HYPERLINK("https://klasma.github.io/Logging_1382/tillsynsmail/S 1321-2022 tillsynsbegäran mail.docx", "S 1321-2022")</f>
        <v/>
      </c>
      <c r="AE40">
        <f>HYPERLINK("https://klasma.github.io/Logging_1382/fåglar/S 1321-2022 prioriterade fågelarter.docx", "S 1321-2022")</f>
        <v/>
      </c>
    </row>
    <row r="41" ht="15" customHeight="1">
      <c r="A41" t="inlineStr">
        <is>
          <t>S 1919-2024</t>
        </is>
      </c>
      <c r="B41" t="inlineStr">
        <is>
          <t>samrådsanmälan</t>
        </is>
      </c>
      <c r="C41" t="inlineStr">
        <is>
          <t>Askåterföring</t>
        </is>
      </c>
      <c r="D41" s="1" t="n">
        <v>45442</v>
      </c>
      <c r="E41" s="1" t="n">
        <v>46315</v>
      </c>
      <c r="F41" t="inlineStr">
        <is>
          <t>HALLANDS LÄN</t>
        </is>
      </c>
      <c r="G41" t="inlineStr">
        <is>
          <t>HALMSTAD</t>
        </is>
      </c>
      <c r="I41" t="n">
        <v>105.5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3</v>
      </c>
      <c r="R41" t="n">
        <v>2</v>
      </c>
      <c r="S41" t="n">
        <v>5</v>
      </c>
      <c r="T41" t="n">
        <v>6</v>
      </c>
      <c r="U41" t="n">
        <v>2</v>
      </c>
      <c r="V41" s="2" t="inlineStr">
        <is>
          <t>Bohuslind
Igelkott
Hårginst
Kambräken
Vanlig padda</t>
        </is>
      </c>
      <c r="W41">
        <f>HYPERLINK("https://klasma.github.io/Logging_1380/artfynd/S 1919-2024 artfynd.xlsx", "S 1919-2024")</f>
        <v/>
      </c>
      <c r="X41">
        <f>HYPERLINK("https://klasma.github.io/Logging_1380/kartor/S 1919-2024 karta.png", "S 1919-2024")</f>
        <v/>
      </c>
      <c r="Y41">
        <f>HYPERLINK("https://klasma.github.io/Logging_1380/kartor_geotiff/S 1919-2024 georefererad karta.tif", "S 1919-2024")</f>
        <v/>
      </c>
      <c r="AA41">
        <f>HYPERLINK("https://klasma.github.io/Logging_1380/klagomål/S 1919-2024 FSC-klagomål.docx", "S 1919-2024")</f>
        <v/>
      </c>
      <c r="AB41">
        <f>HYPERLINK("https://klasma.github.io/Logging_1380/klagomålsmail/S 1919-2024 FSC-klagomål mail.docx", "S 1919-2024")</f>
        <v/>
      </c>
      <c r="AC41">
        <f>HYPERLINK("https://klasma.github.io/Logging_1380/tillsyn/S 1919-2024 tillsynsbegäran.docx", "S 1919-2024")</f>
        <v/>
      </c>
      <c r="AD41">
        <f>HYPERLINK("https://klasma.github.io/Logging_1380/tillsynsmail/S 1919-2024 tillsynsbegäran mail.docx", "S 1919-2024")</f>
        <v/>
      </c>
    </row>
    <row r="42" ht="15" customHeight="1">
      <c r="A42" t="inlineStr">
        <is>
          <t>S 604-2024</t>
        </is>
      </c>
      <c r="B42" t="inlineStr">
        <is>
          <t>samrådsanmälan</t>
        </is>
      </c>
      <c r="C42" t="inlineStr">
        <is>
          <t>Askåterföring</t>
        </is>
      </c>
      <c r="D42" s="1" t="n">
        <v>45352</v>
      </c>
      <c r="E42" s="1" t="n">
        <v>46315</v>
      </c>
      <c r="F42" t="inlineStr">
        <is>
          <t>HALLANDS LÄN</t>
        </is>
      </c>
      <c r="G42" t="inlineStr">
        <is>
          <t>HALMSTAD</t>
        </is>
      </c>
      <c r="I42" t="n">
        <v>89.5</v>
      </c>
      <c r="J42" t="n">
        <v>0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5</v>
      </c>
      <c r="T42" t="n">
        <v>5</v>
      </c>
      <c r="U42" t="n">
        <v>3</v>
      </c>
      <c r="V42" s="2" t="inlineStr">
        <is>
          <t>Dvärglin
Brunag
Rutskinn
Blomkålssvamp
Blåmossa</t>
        </is>
      </c>
      <c r="W42">
        <f>HYPERLINK("https://klasma.github.io/Logging_1380/artfynd/S 604-2024 artfynd.xlsx", "S 604-2024")</f>
        <v/>
      </c>
      <c r="X42">
        <f>HYPERLINK("https://klasma.github.io/Logging_1380/kartor/S 604-2024 karta.png", "S 604-2024")</f>
        <v/>
      </c>
      <c r="Y42">
        <f>HYPERLINK("https://klasma.github.io/Logging_1380/kartor_geotiff/S 604-2024 georefererad karta.tif", "S 604-2024")</f>
        <v/>
      </c>
      <c r="AA42">
        <f>HYPERLINK("https://klasma.github.io/Logging_1380/klagomål/S 604-2024 FSC-klagomål.docx", "S 604-2024")</f>
        <v/>
      </c>
      <c r="AB42">
        <f>HYPERLINK("https://klasma.github.io/Logging_1380/klagomålsmail/S 604-2024 FSC-klagomål mail.docx", "S 604-2024")</f>
        <v/>
      </c>
      <c r="AC42">
        <f>HYPERLINK("https://klasma.github.io/Logging_1380/tillsyn/S 604-2024 tillsynsbegäran.docx", "S 604-2024")</f>
        <v/>
      </c>
      <c r="AD42">
        <f>HYPERLINK("https://klasma.github.io/Logging_1380/tillsynsmail/S 604-2024 tillsynsbegäran mail.docx", "S 604-2024")</f>
        <v/>
      </c>
    </row>
    <row r="43" ht="15" customHeight="1">
      <c r="A43" t="inlineStr">
        <is>
          <t>S 9258-2021</t>
        </is>
      </c>
      <c r="B43" t="inlineStr">
        <is>
          <t>samrådsanmälan</t>
        </is>
      </c>
      <c r="C43" t="inlineStr">
        <is>
          <t>Annan skogsbruksåtgärd</t>
        </is>
      </c>
      <c r="D43" s="1" t="n">
        <v>44516</v>
      </c>
      <c r="E43" s="1" t="n">
        <v>46315</v>
      </c>
      <c r="F43" t="inlineStr">
        <is>
          <t>HALLANDS LÄN</t>
        </is>
      </c>
      <c r="G43" t="inlineStr">
        <is>
          <t>FALKENBERG</t>
        </is>
      </c>
      <c r="I43" t="n">
        <v>1.8</v>
      </c>
      <c r="J43" t="n">
        <v>0</v>
      </c>
      <c r="K43" t="n">
        <v>2</v>
      </c>
      <c r="L43" t="n">
        <v>2</v>
      </c>
      <c r="M43" t="n">
        <v>0</v>
      </c>
      <c r="N43" t="n">
        <v>1</v>
      </c>
      <c r="O43" t="n">
        <v>0</v>
      </c>
      <c r="P43" t="n">
        <v>0</v>
      </c>
      <c r="Q43" t="n">
        <v>3</v>
      </c>
      <c r="R43" t="n">
        <v>1</v>
      </c>
      <c r="S43" t="n">
        <v>5</v>
      </c>
      <c r="T43" t="n">
        <v>6</v>
      </c>
      <c r="U43" t="n">
        <v>4</v>
      </c>
      <c r="V43" s="2" t="inlineStr">
        <is>
          <t>Skogsalm
Desmeknopp
Vårstarr
Guldlockmossa
Rostfläck</t>
        </is>
      </c>
      <c r="W43">
        <f>HYPERLINK("https://klasma.github.io/Logging_1382/artfynd/S 9258-2021 artfynd.xlsx", "S 9258-2021")</f>
        <v/>
      </c>
      <c r="X43">
        <f>HYPERLINK("https://klasma.github.io/Logging_1382/kartor/S 9258-2021 karta.png", "S 9258-2021")</f>
        <v/>
      </c>
      <c r="Y43">
        <f>HYPERLINK("https://klasma.github.io/Logging_1382/kartor_geotiff/S 9258-2021 georefererad karta.tif", "S 9258-2021")</f>
        <v/>
      </c>
      <c r="AA43">
        <f>HYPERLINK("https://klasma.github.io/Logging_1382/klagomål/S 9258-2021 FSC-klagomål.docx", "S 9258-2021")</f>
        <v/>
      </c>
      <c r="AB43">
        <f>HYPERLINK("https://klasma.github.io/Logging_1382/klagomålsmail/S 9258-2021 FSC-klagomål mail.docx", "S 9258-2021")</f>
        <v/>
      </c>
      <c r="AC43">
        <f>HYPERLINK("https://klasma.github.io/Logging_1382/tillsyn/S 9258-2021 tillsynsbegäran.docx", "S 9258-2021")</f>
        <v/>
      </c>
      <c r="AD43">
        <f>HYPERLINK("https://klasma.github.io/Logging_1382/tillsynsmail/S 9258-2021 tillsynsbegäran mail.docx", "S 9258-2021")</f>
        <v/>
      </c>
    </row>
    <row r="44" ht="15" customHeight="1">
      <c r="A44" t="inlineStr">
        <is>
          <t>S 611-2024</t>
        </is>
      </c>
      <c r="B44" t="inlineStr">
        <is>
          <t>samrådsanmälan</t>
        </is>
      </c>
      <c r="C44" t="inlineStr">
        <is>
          <t>Askåterföring</t>
        </is>
      </c>
      <c r="D44" s="1" t="n">
        <v>45352</v>
      </c>
      <c r="E44" s="1" t="n">
        <v>46315</v>
      </c>
      <c r="F44" t="inlineStr">
        <is>
          <t>HALLANDS LÄN</t>
        </is>
      </c>
      <c r="G44" t="inlineStr">
        <is>
          <t>HALMSTAD</t>
        </is>
      </c>
      <c r="I44" t="n">
        <v>76.59999999999999</v>
      </c>
      <c r="J44" t="n">
        <v>2</v>
      </c>
      <c r="K44" t="n">
        <v>1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5</v>
      </c>
      <c r="T44" t="n">
        <v>12</v>
      </c>
      <c r="U44" t="n">
        <v>7</v>
      </c>
      <c r="V44" s="2" t="inlineStr">
        <is>
          <t>Borsttåg
Mjukdån
Talltita
Kambräken
Mattlummer</t>
        </is>
      </c>
      <c r="W44">
        <f>HYPERLINK("https://klasma.github.io/Logging_1380/artfynd/S 611-2024 artfynd.xlsx", "S 611-2024")</f>
        <v/>
      </c>
      <c r="X44">
        <f>HYPERLINK("https://klasma.github.io/Logging_1380/kartor/S 611-2024 karta.png", "S 611-2024")</f>
        <v/>
      </c>
      <c r="Y44">
        <f>HYPERLINK("https://klasma.github.io/Logging_1380/kartor_geotiff/S 611-2024 georefererad karta.tif", "S 611-2024")</f>
        <v/>
      </c>
      <c r="AA44">
        <f>HYPERLINK("https://klasma.github.io/Logging_1380/klagomål/S 611-2024 FSC-klagomål.docx", "S 611-2024")</f>
        <v/>
      </c>
      <c r="AB44">
        <f>HYPERLINK("https://klasma.github.io/Logging_1380/klagomålsmail/S 611-2024 FSC-klagomål mail.docx", "S 611-2024")</f>
        <v/>
      </c>
      <c r="AC44">
        <f>HYPERLINK("https://klasma.github.io/Logging_1380/tillsyn/S 611-2024 tillsynsbegäran.docx", "S 611-2024")</f>
        <v/>
      </c>
      <c r="AD44">
        <f>HYPERLINK("https://klasma.github.io/Logging_1380/tillsynsmail/S 611-2024 tillsynsbegäran mail.docx", "S 611-2024")</f>
        <v/>
      </c>
      <c r="AE44">
        <f>HYPERLINK("https://klasma.github.io/Logging_1380/fåglar/S 611-2024 prioriterade fågelarter.docx", "S 611-2024")</f>
        <v/>
      </c>
    </row>
    <row r="45" ht="15" customHeight="1">
      <c r="A45" t="inlineStr">
        <is>
          <t>S 811-2025</t>
        </is>
      </c>
      <c r="B45" t="inlineStr">
        <is>
          <t>samrådsanmälan</t>
        </is>
      </c>
      <c r="C45" t="inlineStr">
        <is>
          <t>Askåterföring</t>
        </is>
      </c>
      <c r="D45" s="1" t="n">
        <v>45730</v>
      </c>
      <c r="E45" s="1" t="n">
        <v>46315</v>
      </c>
      <c r="F45" t="inlineStr">
        <is>
          <t>HALLANDS LÄN</t>
        </is>
      </c>
      <c r="G45" t="inlineStr">
        <is>
          <t>HALMSTAD</t>
        </is>
      </c>
      <c r="I45" t="n">
        <v>128.7</v>
      </c>
      <c r="J45" t="n">
        <v>1</v>
      </c>
      <c r="K45" t="n">
        <v>1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3</v>
      </c>
      <c r="R45" t="n">
        <v>1</v>
      </c>
      <c r="S45" t="n">
        <v>5</v>
      </c>
      <c r="T45" t="n">
        <v>7</v>
      </c>
      <c r="U45" t="n">
        <v>4</v>
      </c>
      <c r="V45" s="2" t="inlineStr">
        <is>
          <t>Ljungögontröst
Borsttåg
Hårginst
Kambräken
Nattviol</t>
        </is>
      </c>
      <c r="W45">
        <f>HYPERLINK("https://klasma.github.io/Logging_1380/artfynd/S 811-2025 artfynd.xlsx", "S 811-2025")</f>
        <v/>
      </c>
      <c r="X45">
        <f>HYPERLINK("https://klasma.github.io/Logging_1380/kartor/S 811-2025 karta.png", "S 811-2025")</f>
        <v/>
      </c>
      <c r="Y45">
        <f>HYPERLINK("https://klasma.github.io/Logging_1380/kartor_geotiff/S 811-2025 georefererad karta.tif", "S 811-2025")</f>
        <v/>
      </c>
      <c r="AA45">
        <f>HYPERLINK("https://klasma.github.io/Logging_1380/klagomål/S 811-2025 FSC-klagomål.docx", "S 811-2025")</f>
        <v/>
      </c>
      <c r="AB45">
        <f>HYPERLINK("https://klasma.github.io/Logging_1380/klagomålsmail/S 811-2025 FSC-klagomål mail.docx", "S 811-2025")</f>
        <v/>
      </c>
      <c r="AC45">
        <f>HYPERLINK("https://klasma.github.io/Logging_1380/tillsyn/S 811-2025 tillsynsbegäran.docx", "S 811-2025")</f>
        <v/>
      </c>
      <c r="AD45">
        <f>HYPERLINK("https://klasma.github.io/Logging_1380/tillsynsmail/S 811-2025 tillsynsbegäran mail.docx", "S 811-2025")</f>
        <v/>
      </c>
    </row>
    <row r="46" ht="15" customHeight="1">
      <c r="A46" t="inlineStr">
        <is>
          <t>A 43356-2022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44834</v>
      </c>
      <c r="E46" s="1" t="n">
        <v>46315</v>
      </c>
      <c r="F46" t="inlineStr">
        <is>
          <t>HALLANDS LÄN</t>
        </is>
      </c>
      <c r="G46" t="inlineStr">
        <is>
          <t>VARBERG</t>
        </is>
      </c>
      <c r="I46" t="n">
        <v>0.4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4</v>
      </c>
      <c r="T46" t="n">
        <v>4</v>
      </c>
      <c r="U46" t="n">
        <v>4</v>
      </c>
      <c r="V46" s="2" t="inlineStr">
        <is>
          <t>Grönfink
Dvärgpipistrell
Havsörn
Trana</t>
        </is>
      </c>
      <c r="W46">
        <f>HYPERLINK("https://klasma.github.io/Logging_1383/artfynd/A 43356-2022 artfynd.xlsx", "A 43356-2022")</f>
        <v/>
      </c>
      <c r="X46">
        <f>HYPERLINK("https://klasma.github.io/Logging_1383/kartor/A 43356-2022 karta.png", "A 43356-2022")</f>
        <v/>
      </c>
      <c r="Y46">
        <f>HYPERLINK("https://klasma.github.io/Logging_1383/kartor_geotiff/A 43356-2022 georefererad karta.tif", "A 43356-2022")</f>
        <v/>
      </c>
      <c r="AA46">
        <f>HYPERLINK("https://klasma.github.io/Logging_1383/klagomål/A 43356-2022 FSC-klagomål.docx", "A 43356-2022")</f>
        <v/>
      </c>
      <c r="AB46">
        <f>HYPERLINK("https://klasma.github.io/Logging_1383/klagomålsmail/A 43356-2022 FSC-klagomål mail.docx", "A 43356-2022")</f>
        <v/>
      </c>
      <c r="AC46">
        <f>HYPERLINK("https://klasma.github.io/Logging_1383/tillsyn/A 43356-2022 tillsynsbegäran.docx", "A 43356-2022")</f>
        <v/>
      </c>
      <c r="AD46">
        <f>HYPERLINK("https://klasma.github.io/Logging_1383/tillsynsmail/A 43356-2022 tillsynsbegäran mail.docx", "A 43356-2022")</f>
        <v/>
      </c>
      <c r="AE46">
        <f>HYPERLINK("https://klasma.github.io/Logging_1383/fåglar/A 43356-2022 prioriterade fågelarter.docx", "A 43356-2022")</f>
        <v/>
      </c>
    </row>
    <row r="47" ht="15" customHeight="1">
      <c r="A47" t="inlineStr">
        <is>
          <t>A 46459-2023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45197</v>
      </c>
      <c r="E47" s="1" t="n">
        <v>46315</v>
      </c>
      <c r="F47" t="inlineStr">
        <is>
          <t>HALLANDS LÄN</t>
        </is>
      </c>
      <c r="G47" t="inlineStr">
        <is>
          <t>KUNGSBACKA</t>
        </is>
      </c>
      <c r="H47" t="inlineStr">
        <is>
          <t>Övriga Aktiebolag</t>
        </is>
      </c>
      <c r="I47" t="n">
        <v>5.4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4</v>
      </c>
      <c r="T47" t="n">
        <v>4</v>
      </c>
      <c r="U47" t="n">
        <v>0</v>
      </c>
      <c r="V47" s="2" t="inlineStr">
        <is>
          <t>Drillsnäppa
Barkkornlav
Guldlockmossa
Skogsduva</t>
        </is>
      </c>
      <c r="W47">
        <f>HYPERLINK("https://klasma.github.io/Logging_1384/artfynd/A 46459-2023 artfynd.xlsx", "A 46459-2023")</f>
        <v/>
      </c>
      <c r="X47">
        <f>HYPERLINK("https://klasma.github.io/Logging_1384/kartor/A 46459-2023 karta.png", "A 46459-2023")</f>
        <v/>
      </c>
      <c r="Y47">
        <f>HYPERLINK("https://klasma.github.io/Logging_1384/kartor_geotiff/A 46459-2023 georefererad karta.tif", "A 46459-2023")</f>
        <v/>
      </c>
      <c r="AA47">
        <f>HYPERLINK("https://klasma.github.io/Logging_1384/klagomål/A 46459-2023 FSC-klagomål.docx", "A 46459-2023")</f>
        <v/>
      </c>
      <c r="AB47">
        <f>HYPERLINK("https://klasma.github.io/Logging_1384/klagomålsmail/A 46459-2023 FSC-klagomål mail.docx", "A 46459-2023")</f>
        <v/>
      </c>
      <c r="AC47">
        <f>HYPERLINK("https://klasma.github.io/Logging_1384/tillsyn/A 46459-2023 tillsynsbegäran.docx", "A 46459-2023")</f>
        <v/>
      </c>
      <c r="AD47">
        <f>HYPERLINK("https://klasma.github.io/Logging_1384/tillsynsmail/A 46459-2023 tillsynsbegäran mail.docx", "A 46459-2023")</f>
        <v/>
      </c>
      <c r="AE47">
        <f>HYPERLINK("https://klasma.github.io/Logging_1384/fåglar/A 46459-2023 prioriterade fågelarter.docx", "A 46459-2023")</f>
        <v/>
      </c>
    </row>
    <row r="48" ht="15" customHeight="1">
      <c r="A48" t="inlineStr">
        <is>
          <t>A 40697-2023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45168</v>
      </c>
      <c r="E48" s="1" t="n">
        <v>46315</v>
      </c>
      <c r="F48" t="inlineStr">
        <is>
          <t>HALLANDS LÄN</t>
        </is>
      </c>
      <c r="G48" t="inlineStr">
        <is>
          <t>HALMSTAD</t>
        </is>
      </c>
      <c r="H48" t="inlineStr">
        <is>
          <t>Kommuner</t>
        </is>
      </c>
      <c r="I48" t="n">
        <v>4.5</v>
      </c>
      <c r="J48" t="n">
        <v>1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</v>
      </c>
      <c r="T48" t="n">
        <v>10</v>
      </c>
      <c r="U48" t="n">
        <v>10</v>
      </c>
      <c r="V48" s="2" t="inlineStr">
        <is>
          <t>Jättesvampmal
Klippfrullania
Västlig hakmossa
Spillkråka</t>
        </is>
      </c>
      <c r="W48">
        <f>HYPERLINK("https://klasma.github.io/Logging_1380/artfynd/A 40697-2023 artfynd.xlsx", "A 40697-2023")</f>
        <v/>
      </c>
      <c r="X48">
        <f>HYPERLINK("https://klasma.github.io/Logging_1380/kartor/A 40697-2023 karta.png", "A 40697-2023")</f>
        <v/>
      </c>
      <c r="Y48">
        <f>HYPERLINK("https://klasma.github.io/Logging_1380/kartor_geotiff/A 40697-2023 georefererad karta.tif", "A 40697-2023")</f>
        <v/>
      </c>
      <c r="AA48">
        <f>HYPERLINK("https://klasma.github.io/Logging_1380/klagomål/A 40697-2023 FSC-klagomål.docx", "A 40697-2023")</f>
        <v/>
      </c>
      <c r="AB48">
        <f>HYPERLINK("https://klasma.github.io/Logging_1380/klagomålsmail/A 40697-2023 FSC-klagomål mail.docx", "A 40697-2023")</f>
        <v/>
      </c>
      <c r="AC48">
        <f>HYPERLINK("https://klasma.github.io/Logging_1380/tillsyn/A 40697-2023 tillsynsbegäran.docx", "A 40697-2023")</f>
        <v/>
      </c>
      <c r="AD48">
        <f>HYPERLINK("https://klasma.github.io/Logging_1380/tillsynsmail/A 40697-2023 tillsynsbegäran mail.docx", "A 40697-2023")</f>
        <v/>
      </c>
      <c r="AE48">
        <f>HYPERLINK("https://klasma.github.io/Logging_1380/fåglar/A 40697-2023 prioriterade fågelarter.docx", "A 40697-2023")</f>
        <v/>
      </c>
    </row>
    <row r="49" ht="15" customHeight="1">
      <c r="A49" t="inlineStr">
        <is>
          <t>A 30890-2022</t>
        </is>
      </c>
      <c r="B49" t="inlineStr">
        <is>
          <t>avverkningsanmälan</t>
        </is>
      </c>
      <c r="C49" t="inlineStr">
        <is>
          <t>Avverkning för annat ändamål</t>
        </is>
      </c>
      <c r="D49" s="1" t="n">
        <v>44767</v>
      </c>
      <c r="E49" s="1" t="n">
        <v>46315</v>
      </c>
      <c r="F49" t="inlineStr">
        <is>
          <t>HALLANDS LÄN</t>
        </is>
      </c>
      <c r="G49" t="inlineStr">
        <is>
          <t>HALMSTAD</t>
        </is>
      </c>
      <c r="H49" t="inlineStr">
        <is>
          <t>Kommuner</t>
        </is>
      </c>
      <c r="I49" t="n">
        <v>3.1</v>
      </c>
      <c r="J49" t="n">
        <v>1</v>
      </c>
      <c r="K49" t="n">
        <v>0</v>
      </c>
      <c r="L49" t="n">
        <v>2</v>
      </c>
      <c r="M49" t="n">
        <v>1</v>
      </c>
      <c r="N49" t="n">
        <v>0</v>
      </c>
      <c r="O49" t="n">
        <v>0</v>
      </c>
      <c r="P49" t="n">
        <v>0</v>
      </c>
      <c r="Q49" t="n">
        <v>3</v>
      </c>
      <c r="R49" t="n">
        <v>1</v>
      </c>
      <c r="S49" t="n">
        <v>4</v>
      </c>
      <c r="T49" t="n">
        <v>6</v>
      </c>
      <c r="U49" t="n">
        <v>5</v>
      </c>
      <c r="V49" s="2" t="inlineStr">
        <is>
          <t>Hallandsfibbla
Narrklibbfibbla
Svinrot
Nattskärra</t>
        </is>
      </c>
      <c r="W49">
        <f>HYPERLINK("https://klasma.github.io/Logging_1380/artfynd/A 30890-2022 artfynd.xlsx", "A 30890-2022")</f>
        <v/>
      </c>
      <c r="X49">
        <f>HYPERLINK("https://klasma.github.io/Logging_1380/kartor/A 30890-2022 karta.png", "A 30890-2022")</f>
        <v/>
      </c>
      <c r="Y49">
        <f>HYPERLINK("https://klasma.github.io/Logging_1380/kartor_geotiff/A 30890-2022 georefererad karta.tif", "A 30890-2022")</f>
        <v/>
      </c>
      <c r="AA49">
        <f>HYPERLINK("https://klasma.github.io/Logging_1380/klagomål/A 30890-2022 FSC-klagomål.docx", "A 30890-2022")</f>
        <v/>
      </c>
      <c r="AB49">
        <f>HYPERLINK("https://klasma.github.io/Logging_1380/klagomålsmail/A 30890-2022 FSC-klagomål mail.docx", "A 30890-2022")</f>
        <v/>
      </c>
      <c r="AC49">
        <f>HYPERLINK("https://klasma.github.io/Logging_1380/tillsyn/A 30890-2022 tillsynsbegäran.docx", "A 30890-2022")</f>
        <v/>
      </c>
      <c r="AD49">
        <f>HYPERLINK("https://klasma.github.io/Logging_1380/tillsynsmail/A 30890-2022 tillsynsbegäran mail.docx", "A 30890-2022")</f>
        <v/>
      </c>
      <c r="AE49">
        <f>HYPERLINK("https://klasma.github.io/Logging_1380/fåglar/A 30890-2022 prioriterade fågelarter.docx", "A 30890-2022")</f>
        <v/>
      </c>
    </row>
    <row r="50" ht="15" customHeight="1">
      <c r="A50" t="inlineStr">
        <is>
          <t>A 40491-2023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45168</v>
      </c>
      <c r="E50" s="1" t="n">
        <v>46315</v>
      </c>
      <c r="F50" t="inlineStr">
        <is>
          <t>HALLANDS LÄN</t>
        </is>
      </c>
      <c r="G50" t="inlineStr">
        <is>
          <t>HALMSTAD</t>
        </is>
      </c>
      <c r="H50" t="inlineStr">
        <is>
          <t>Kommuner</t>
        </is>
      </c>
      <c r="I50" t="n">
        <v>1.2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4</v>
      </c>
      <c r="T50" t="n">
        <v>4</v>
      </c>
      <c r="U50" t="n">
        <v>4</v>
      </c>
      <c r="V50" s="2" t="inlineStr">
        <is>
          <t>Stor sotdyna
Blåmossa
Kambräken
Glansfläck</t>
        </is>
      </c>
      <c r="W50">
        <f>HYPERLINK("https://klasma.github.io/Logging_1380/artfynd/A 40491-2023 artfynd.xlsx", "A 40491-2023")</f>
        <v/>
      </c>
      <c r="X50">
        <f>HYPERLINK("https://klasma.github.io/Logging_1380/kartor/A 40491-2023 karta.png", "A 40491-2023")</f>
        <v/>
      </c>
      <c r="Y50">
        <f>HYPERLINK("https://klasma.github.io/Logging_1380/kartor_geotiff/A 40491-2023 georefererad karta.tif", "A 40491-2023")</f>
        <v/>
      </c>
      <c r="AA50">
        <f>HYPERLINK("https://klasma.github.io/Logging_1380/klagomål/A 40491-2023 FSC-klagomål.docx", "A 40491-2023")</f>
        <v/>
      </c>
      <c r="AB50">
        <f>HYPERLINK("https://klasma.github.io/Logging_1380/klagomålsmail/A 40491-2023 FSC-klagomål mail.docx", "A 40491-2023")</f>
        <v/>
      </c>
      <c r="AC50">
        <f>HYPERLINK("https://klasma.github.io/Logging_1380/tillsyn/A 40491-2023 tillsynsbegäran.docx", "A 40491-2023")</f>
        <v/>
      </c>
      <c r="AD50">
        <f>HYPERLINK("https://klasma.github.io/Logging_1380/tillsynsmail/A 40491-2023 tillsynsbegäran mail.docx", "A 40491-2023")</f>
        <v/>
      </c>
    </row>
    <row r="51" ht="15" customHeight="1">
      <c r="A51" t="inlineStr">
        <is>
          <t>A 7679-2024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45348</v>
      </c>
      <c r="E51" s="1" t="n">
        <v>46315</v>
      </c>
      <c r="F51" t="inlineStr">
        <is>
          <t>HALLANDS LÄN</t>
        </is>
      </c>
      <c r="G51" t="inlineStr">
        <is>
          <t>HYLTE</t>
        </is>
      </c>
      <c r="I51" t="n">
        <v>0.8</v>
      </c>
      <c r="J51" t="n">
        <v>3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4</v>
      </c>
      <c r="T51" t="n">
        <v>4</v>
      </c>
      <c r="U51" t="n">
        <v>3</v>
      </c>
      <c r="V51" s="2" t="inlineStr">
        <is>
          <t>Duvhök
Västlig hakmossa
Kråka
Kungsfågel</t>
        </is>
      </c>
      <c r="W51">
        <f>HYPERLINK("https://klasma.github.io/Logging_1315/artfynd/A 7679-2024 artfynd.xlsx", "A 7679-2024")</f>
        <v/>
      </c>
      <c r="X51">
        <f>HYPERLINK("https://klasma.github.io/Logging_1315/kartor/A 7679-2024 karta.png", "A 7679-2024")</f>
        <v/>
      </c>
      <c r="Y51">
        <f>HYPERLINK("https://klasma.github.io/Logging_1315/kartor_geotiff/A 7679-2024 georefererad karta.tif", "A 7679-2024")</f>
        <v/>
      </c>
      <c r="AA51">
        <f>HYPERLINK("https://klasma.github.io/Logging_1315/klagomål/A 7679-2024 FSC-klagomål.docx", "A 7679-2024")</f>
        <v/>
      </c>
      <c r="AB51">
        <f>HYPERLINK("https://klasma.github.io/Logging_1315/klagomålsmail/A 7679-2024 FSC-klagomål mail.docx", "A 7679-2024")</f>
        <v/>
      </c>
      <c r="AC51">
        <f>HYPERLINK("https://klasma.github.io/Logging_1315/tillsyn/A 7679-2024 tillsynsbegäran.docx", "A 7679-2024")</f>
        <v/>
      </c>
      <c r="AD51">
        <f>HYPERLINK("https://klasma.github.io/Logging_1315/tillsynsmail/A 7679-2024 tillsynsbegäran mail.docx", "A 7679-2024")</f>
        <v/>
      </c>
      <c r="AE51">
        <f>HYPERLINK("https://klasma.github.io/Logging_1315/fåglar/A 7679-2024 prioriterade fågelarter.docx", "A 7679-2024")</f>
        <v/>
      </c>
    </row>
    <row r="52" ht="15" customHeight="1">
      <c r="A52" t="inlineStr">
        <is>
          <t>A 24104-2023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45079</v>
      </c>
      <c r="E52" s="1" t="n">
        <v>46315</v>
      </c>
      <c r="F52" t="inlineStr">
        <is>
          <t>HALLANDS LÄN</t>
        </is>
      </c>
      <c r="G52" t="inlineStr">
        <is>
          <t>FALKENBERG</t>
        </is>
      </c>
      <c r="I52" t="n">
        <v>0.9</v>
      </c>
      <c r="J52" t="n">
        <v>0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4</v>
      </c>
      <c r="T52" t="n">
        <v>4</v>
      </c>
      <c r="U52" t="n">
        <v>0</v>
      </c>
      <c r="V52" s="2" t="inlineStr">
        <is>
          <t>Skrovellav
Ekskinn
Mussellav
Stor knopplav</t>
        </is>
      </c>
      <c r="W52">
        <f>HYPERLINK("https://klasma.github.io/Logging_1382/artfynd/A 24104-2023 artfynd.xlsx", "A 24104-2023")</f>
        <v/>
      </c>
      <c r="X52">
        <f>HYPERLINK("https://klasma.github.io/Logging_1382/kartor/A 24104-2023 karta.png", "A 24104-2023")</f>
        <v/>
      </c>
      <c r="Y52">
        <f>HYPERLINK("https://klasma.github.io/Logging_1382/kartor_geotiff/A 24104-2023 georefererad karta.tif", "A 24104-2023")</f>
        <v/>
      </c>
      <c r="AA52">
        <f>HYPERLINK("https://klasma.github.io/Logging_1382/klagomål/A 24104-2023 FSC-klagomål.docx", "A 24104-2023")</f>
        <v/>
      </c>
      <c r="AB52">
        <f>HYPERLINK("https://klasma.github.io/Logging_1382/klagomålsmail/A 24104-2023 FSC-klagomål mail.docx", "A 24104-2023")</f>
        <v/>
      </c>
      <c r="AC52">
        <f>HYPERLINK("https://klasma.github.io/Logging_1382/tillsyn/A 24104-2023 tillsynsbegäran.docx", "A 24104-2023")</f>
        <v/>
      </c>
      <c r="AD52">
        <f>HYPERLINK("https://klasma.github.io/Logging_1382/tillsynsmail/A 24104-2023 tillsynsbegäran mail.docx", "A 24104-2023")</f>
        <v/>
      </c>
    </row>
    <row r="53" ht="15" customHeight="1">
      <c r="A53" t="inlineStr">
        <is>
          <t>A 53584-2022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44879</v>
      </c>
      <c r="E53" s="1" t="n">
        <v>46315</v>
      </c>
      <c r="F53" t="inlineStr">
        <is>
          <t>HALLANDS LÄN</t>
        </is>
      </c>
      <c r="G53" t="inlineStr">
        <is>
          <t>LAHOLM</t>
        </is>
      </c>
      <c r="I53" t="n">
        <v>1.4</v>
      </c>
      <c r="J53" t="n">
        <v>4</v>
      </c>
      <c r="K53" t="n">
        <v>0</v>
      </c>
      <c r="L53" t="n">
        <v>0</v>
      </c>
      <c r="M53" t="n">
        <v>1</v>
      </c>
      <c r="N53" t="n">
        <v>2</v>
      </c>
      <c r="O53" t="n">
        <v>0</v>
      </c>
      <c r="P53" t="n">
        <v>0</v>
      </c>
      <c r="Q53" t="n">
        <v>3</v>
      </c>
      <c r="R53" t="n">
        <v>3</v>
      </c>
      <c r="S53" t="n">
        <v>4</v>
      </c>
      <c r="T53" t="n">
        <v>4</v>
      </c>
      <c r="U53" t="n">
        <v>4</v>
      </c>
      <c r="V53" s="2" t="inlineStr">
        <is>
          <t>Hornuggla
Pärluggla
Berguv
Spillkråka</t>
        </is>
      </c>
      <c r="W53">
        <f>HYPERLINK("https://klasma.github.io/Logging_1381/artfynd/A 53584-2022 artfynd.xlsx", "A 53584-2022")</f>
        <v/>
      </c>
      <c r="X53">
        <f>HYPERLINK("https://klasma.github.io/Logging_1381/kartor/A 53584-2022 karta.png", "A 53584-2022")</f>
        <v/>
      </c>
      <c r="Y53">
        <f>HYPERLINK("https://klasma.github.io/Logging_1381/kartor_geotiff/A 53584-2022 georefererad karta.tif", "A 53584-2022")</f>
        <v/>
      </c>
      <c r="AA53">
        <f>HYPERLINK("https://klasma.github.io/Logging_1381/klagomål/A 53584-2022 FSC-klagomål.docx", "A 53584-2022")</f>
        <v/>
      </c>
      <c r="AB53">
        <f>HYPERLINK("https://klasma.github.io/Logging_1381/klagomålsmail/A 53584-2022 FSC-klagomål mail.docx", "A 53584-2022")</f>
        <v/>
      </c>
      <c r="AC53">
        <f>HYPERLINK("https://klasma.github.io/Logging_1381/tillsyn/A 53584-2022 tillsynsbegäran.docx", "A 53584-2022")</f>
        <v/>
      </c>
      <c r="AD53">
        <f>HYPERLINK("https://klasma.github.io/Logging_1381/tillsynsmail/A 53584-2022 tillsynsbegäran mail.docx", "A 53584-2022")</f>
        <v/>
      </c>
      <c r="AE53">
        <f>HYPERLINK("https://klasma.github.io/Logging_1381/fåglar/A 53584-2022 prioriterade fågelarter.docx", "A 53584-2022")</f>
        <v/>
      </c>
    </row>
    <row r="54" ht="15" customHeight="1">
      <c r="A54" t="inlineStr">
        <is>
          <t>A 43362-2022</t>
        </is>
      </c>
      <c r="B54" t="inlineStr">
        <is>
          <t>avverkningsanmälan</t>
        </is>
      </c>
      <c r="C54" t="inlineStr">
        <is>
          <t>Avverkning för annat ändamål</t>
        </is>
      </c>
      <c r="D54" s="1" t="n">
        <v>44834</v>
      </c>
      <c r="E54" s="1" t="n">
        <v>46315</v>
      </c>
      <c r="F54" t="inlineStr">
        <is>
          <t>HALLANDS LÄN</t>
        </is>
      </c>
      <c r="G54" t="inlineStr">
        <is>
          <t>VARBERG</t>
        </is>
      </c>
      <c r="I54" t="n">
        <v>2.9</v>
      </c>
      <c r="J54" t="n">
        <v>4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4</v>
      </c>
      <c r="T54" t="n">
        <v>5</v>
      </c>
      <c r="U54" t="n">
        <v>5</v>
      </c>
      <c r="V54" s="2" t="inlineStr">
        <is>
          <t>Nordfladdermus
Dvärgpipistrell
Havsörn
Trana</t>
        </is>
      </c>
      <c r="W54">
        <f>HYPERLINK("https://klasma.github.io/Logging_1383/artfynd/A 43362-2022 artfynd.xlsx", "A 43362-2022")</f>
        <v/>
      </c>
      <c r="X54">
        <f>HYPERLINK("https://klasma.github.io/Logging_1383/kartor/A 43362-2022 karta.png", "A 43362-2022")</f>
        <v/>
      </c>
      <c r="Y54">
        <f>HYPERLINK("https://klasma.github.io/Logging_1383/kartor_geotiff/A 43362-2022 georefererad karta.tif", "A 43362-2022")</f>
        <v/>
      </c>
      <c r="AA54">
        <f>HYPERLINK("https://klasma.github.io/Logging_1383/klagomål/A 43362-2022 FSC-klagomål.docx", "A 43362-2022")</f>
        <v/>
      </c>
      <c r="AB54">
        <f>HYPERLINK("https://klasma.github.io/Logging_1383/klagomålsmail/A 43362-2022 FSC-klagomål mail.docx", "A 43362-2022")</f>
        <v/>
      </c>
      <c r="AC54">
        <f>HYPERLINK("https://klasma.github.io/Logging_1383/tillsyn/A 43362-2022 tillsynsbegäran.docx", "A 43362-2022")</f>
        <v/>
      </c>
      <c r="AD54">
        <f>HYPERLINK("https://klasma.github.io/Logging_1383/tillsynsmail/A 43362-2022 tillsynsbegäran mail.docx", "A 43362-2022")</f>
        <v/>
      </c>
      <c r="AE54">
        <f>HYPERLINK("https://klasma.github.io/Logging_1383/fåglar/A 43362-2022 prioriterade fågelarter.docx", "A 43362-2022")</f>
        <v/>
      </c>
    </row>
    <row r="55" ht="15" customHeight="1">
      <c r="A55" t="inlineStr">
        <is>
          <t>A 40686-2023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45168</v>
      </c>
      <c r="E55" s="1" t="n">
        <v>46315</v>
      </c>
      <c r="F55" t="inlineStr">
        <is>
          <t>HALLANDS LÄN</t>
        </is>
      </c>
      <c r="G55" t="inlineStr">
        <is>
          <t>HALMSTAD</t>
        </is>
      </c>
      <c r="H55" t="inlineStr">
        <is>
          <t>Kommuner</t>
        </is>
      </c>
      <c r="I55" t="n">
        <v>8.4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4</v>
      </c>
      <c r="U55" t="n">
        <v>0</v>
      </c>
      <c r="V55" s="2" t="inlineStr">
        <is>
          <t>Kambräken
Mattlummer
Åkergroda
Vanlig padda</t>
        </is>
      </c>
      <c r="W55">
        <f>HYPERLINK("https://klasma.github.io/Logging_1380/artfynd/A 40686-2023 artfynd.xlsx", "A 40686-2023")</f>
        <v/>
      </c>
      <c r="X55">
        <f>HYPERLINK("https://klasma.github.io/Logging_1380/kartor/A 40686-2023 karta.png", "A 40686-2023")</f>
        <v/>
      </c>
      <c r="Y55">
        <f>HYPERLINK("https://klasma.github.io/Logging_1380/kartor_geotiff/A 40686-2023 georefererad karta.tif", "A 40686-2023")</f>
        <v/>
      </c>
      <c r="AA55">
        <f>HYPERLINK("https://klasma.github.io/Logging_1380/klagomål/A 40686-2023 FSC-klagomål.docx", "A 40686-2023")</f>
        <v/>
      </c>
      <c r="AB55">
        <f>HYPERLINK("https://klasma.github.io/Logging_1380/klagomålsmail/A 40686-2023 FSC-klagomål mail.docx", "A 40686-2023")</f>
        <v/>
      </c>
      <c r="AC55">
        <f>HYPERLINK("https://klasma.github.io/Logging_1380/tillsyn/A 40686-2023 tillsynsbegäran.docx", "A 40686-2023")</f>
        <v/>
      </c>
      <c r="AD55">
        <f>HYPERLINK("https://klasma.github.io/Logging_1380/tillsynsmail/A 40686-2023 tillsynsbegäran mail.docx", "A 40686-2023")</f>
        <v/>
      </c>
    </row>
    <row r="56" ht="15" customHeight="1">
      <c r="A56" t="inlineStr">
        <is>
          <t>A 29302-2025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45824</v>
      </c>
      <c r="E56" s="1" t="n">
        <v>46315</v>
      </c>
      <c r="F56" t="inlineStr">
        <is>
          <t>HALLANDS LÄN</t>
        </is>
      </c>
      <c r="G56" t="inlineStr">
        <is>
          <t>HALMSTAD</t>
        </is>
      </c>
      <c r="I56" t="n">
        <v>5.5</v>
      </c>
      <c r="J56" t="n">
        <v>3</v>
      </c>
      <c r="K56" t="n">
        <v>0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4</v>
      </c>
      <c r="T56" t="n">
        <v>5</v>
      </c>
      <c r="U56" t="n">
        <v>1</v>
      </c>
      <c r="V56" s="2" t="inlineStr">
        <is>
          <t>Gulsparv
Mindre tåtelsmygare
Gröngöling
Kungsfågel</t>
        </is>
      </c>
      <c r="W56">
        <f>HYPERLINK("https://klasma.github.io/Logging_1380/artfynd/A 29302-2025 artfynd.xlsx", "A 29302-2025")</f>
        <v/>
      </c>
      <c r="X56">
        <f>HYPERLINK("https://klasma.github.io/Logging_1380/kartor/A 29302-2025 karta.png", "A 29302-2025")</f>
        <v/>
      </c>
      <c r="Y56">
        <f>HYPERLINK("https://klasma.github.io/Logging_1380/kartor_geotiff/A 29302-2025 georefererad karta.tif", "A 29302-2025")</f>
        <v/>
      </c>
      <c r="AA56">
        <f>HYPERLINK("https://klasma.github.io/Logging_1380/klagomål/A 29302-2025 FSC-klagomål.docx", "A 29302-2025")</f>
        <v/>
      </c>
      <c r="AB56">
        <f>HYPERLINK("https://klasma.github.io/Logging_1380/klagomålsmail/A 29302-2025 FSC-klagomål mail.docx", "A 29302-2025")</f>
        <v/>
      </c>
      <c r="AC56">
        <f>HYPERLINK("https://klasma.github.io/Logging_1380/tillsyn/A 29302-2025 tillsynsbegäran.docx", "A 29302-2025")</f>
        <v/>
      </c>
      <c r="AD56">
        <f>HYPERLINK("https://klasma.github.io/Logging_1380/tillsynsmail/A 29302-2025 tillsynsbegäran mail.docx", "A 29302-2025")</f>
        <v/>
      </c>
      <c r="AE56">
        <f>HYPERLINK("https://klasma.github.io/Logging_1380/fåglar/A 29302-2025 prioriterade fågelarter.docx", "A 29302-2025")</f>
        <v/>
      </c>
    </row>
    <row r="57" ht="15" customHeight="1">
      <c r="A57" t="inlineStr">
        <is>
          <t>A 29621-2025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45825</v>
      </c>
      <c r="E57" s="1" t="n">
        <v>46315</v>
      </c>
      <c r="F57" t="inlineStr">
        <is>
          <t>HALLANDS LÄN</t>
        </is>
      </c>
      <c r="G57" t="inlineStr">
        <is>
          <t>LAHOLM</t>
        </is>
      </c>
      <c r="I57" t="n">
        <v>20.1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4</v>
      </c>
      <c r="T57" t="n">
        <v>4</v>
      </c>
      <c r="U57" t="n">
        <v>0</v>
      </c>
      <c r="V57" s="2" t="inlineStr">
        <is>
          <t>Bokkantlav
Bokvårtlav
Fällmossa
Platt fjädermossa</t>
        </is>
      </c>
      <c r="W57">
        <f>HYPERLINK("https://klasma.github.io/Logging_1381/artfynd/A 29621-2025 artfynd.xlsx", "A 29621-2025")</f>
        <v/>
      </c>
      <c r="X57">
        <f>HYPERLINK("https://klasma.github.io/Logging_1381/kartor/A 29621-2025 karta.png", "A 29621-2025")</f>
        <v/>
      </c>
      <c r="Y57">
        <f>HYPERLINK("https://klasma.github.io/Logging_1381/kartor_geotiff/A 29621-2025 georefererad karta.tif", "A 29621-2025")</f>
        <v/>
      </c>
      <c r="AA57">
        <f>HYPERLINK("https://klasma.github.io/Logging_1381/klagomål/A 29621-2025 FSC-klagomål.docx", "A 29621-2025")</f>
        <v/>
      </c>
      <c r="AB57">
        <f>HYPERLINK("https://klasma.github.io/Logging_1381/klagomålsmail/A 29621-2025 FSC-klagomål mail.docx", "A 29621-2025")</f>
        <v/>
      </c>
      <c r="AC57">
        <f>HYPERLINK("https://klasma.github.io/Logging_1381/tillsyn/A 29621-2025 tillsynsbegäran.docx", "A 29621-2025")</f>
        <v/>
      </c>
      <c r="AD57">
        <f>HYPERLINK("https://klasma.github.io/Logging_1381/tillsynsmail/A 29621-2025 tillsynsbegäran mail.docx", "A 29621-2025")</f>
        <v/>
      </c>
    </row>
    <row r="58" ht="15" customHeight="1">
      <c r="A58" t="inlineStr">
        <is>
          <t>S 645-2024</t>
        </is>
      </c>
      <c r="B58" t="inlineStr">
        <is>
          <t>samrådsanmälan</t>
        </is>
      </c>
      <c r="C58" t="inlineStr">
        <is>
          <t>Askåterföring</t>
        </is>
      </c>
      <c r="D58" s="1" t="n">
        <v>45356</v>
      </c>
      <c r="E58" s="1" t="n">
        <v>46315</v>
      </c>
      <c r="F58" t="inlineStr">
        <is>
          <t>HALLANDS LÄN</t>
        </is>
      </c>
      <c r="G58" t="inlineStr">
        <is>
          <t>HALMSTAD</t>
        </is>
      </c>
      <c r="H58" t="inlineStr">
        <is>
          <t>Kommuner</t>
        </is>
      </c>
      <c r="I58" t="n">
        <v>66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3</v>
      </c>
      <c r="R58" t="n">
        <v>2</v>
      </c>
      <c r="S58" t="n">
        <v>4</v>
      </c>
      <c r="T58" t="n">
        <v>6</v>
      </c>
      <c r="U58" t="n">
        <v>2</v>
      </c>
      <c r="V58" s="2" t="inlineStr">
        <is>
          <t>Åkerfibbla
Hjärtstilla
Gullpudra
Kambräken</t>
        </is>
      </c>
      <c r="W58">
        <f>HYPERLINK("https://klasma.github.io/Logging_1380/artfynd/S 645-2024 artfynd.xlsx", "S 645-2024")</f>
        <v/>
      </c>
      <c r="X58">
        <f>HYPERLINK("https://klasma.github.io/Logging_1380/kartor/S 645-2024 karta.png", "S 645-2024")</f>
        <v/>
      </c>
      <c r="Y58">
        <f>HYPERLINK("https://klasma.github.io/Logging_1380/kartor_geotiff/S 645-2024 georefererad karta.tif", "S 645-2024")</f>
        <v/>
      </c>
      <c r="AA58">
        <f>HYPERLINK("https://klasma.github.io/Logging_1380/klagomål/S 645-2024 FSC-klagomål.docx", "S 645-2024")</f>
        <v/>
      </c>
      <c r="AB58">
        <f>HYPERLINK("https://klasma.github.io/Logging_1380/klagomålsmail/S 645-2024 FSC-klagomål mail.docx", "S 645-2024")</f>
        <v/>
      </c>
      <c r="AC58">
        <f>HYPERLINK("https://klasma.github.io/Logging_1380/tillsyn/S 645-2024 tillsynsbegäran.docx", "S 645-2024")</f>
        <v/>
      </c>
      <c r="AD58">
        <f>HYPERLINK("https://klasma.github.io/Logging_1380/tillsynsmail/S 645-2024 tillsynsbegäran mail.docx", "S 645-2024")</f>
        <v/>
      </c>
    </row>
    <row r="59" ht="15" customHeight="1">
      <c r="A59" t="inlineStr">
        <is>
          <t>S 647-2024</t>
        </is>
      </c>
      <c r="B59" t="inlineStr">
        <is>
          <t>samrådsanmälan</t>
        </is>
      </c>
      <c r="C59" t="inlineStr">
        <is>
          <t>Askåterföring</t>
        </is>
      </c>
      <c r="D59" s="1" t="n">
        <v>45356</v>
      </c>
      <c r="E59" s="1" t="n">
        <v>46315</v>
      </c>
      <c r="F59" t="inlineStr">
        <is>
          <t>HALLANDS LÄN</t>
        </is>
      </c>
      <c r="G59" t="inlineStr">
        <is>
          <t>FALKENBERG</t>
        </is>
      </c>
      <c r="I59" t="n">
        <v>86.7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</v>
      </c>
      <c r="T59" t="n">
        <v>5</v>
      </c>
      <c r="U59" t="n">
        <v>3</v>
      </c>
      <c r="V59" s="2" t="inlineStr">
        <is>
          <t>Hasselmus
Havsörn
Röd glada
Utter</t>
        </is>
      </c>
      <c r="W59">
        <f>HYPERLINK("https://klasma.github.io/Logging_1382/artfynd/S 647-2024 artfynd.xlsx", "S 647-2024")</f>
        <v/>
      </c>
      <c r="X59">
        <f>HYPERLINK("https://klasma.github.io/Logging_1382/kartor/S 647-2024 karta.png", "S 647-2024")</f>
        <v/>
      </c>
      <c r="Y59">
        <f>HYPERLINK("https://klasma.github.io/Logging_1382/kartor_geotiff/S 647-2024 georefererad karta.tif", "S 647-2024")</f>
        <v/>
      </c>
      <c r="AA59">
        <f>HYPERLINK("https://klasma.github.io/Logging_1382/klagomål/S 647-2024 FSC-klagomål.docx", "S 647-2024")</f>
        <v/>
      </c>
      <c r="AB59">
        <f>HYPERLINK("https://klasma.github.io/Logging_1382/klagomålsmail/S 647-2024 FSC-klagomål mail.docx", "S 647-2024")</f>
        <v/>
      </c>
      <c r="AC59">
        <f>HYPERLINK("https://klasma.github.io/Logging_1382/tillsyn/S 647-2024 tillsynsbegäran.docx", "S 647-2024")</f>
        <v/>
      </c>
      <c r="AD59">
        <f>HYPERLINK("https://klasma.github.io/Logging_1382/tillsynsmail/S 647-2024 tillsynsbegäran mail.docx", "S 647-2024")</f>
        <v/>
      </c>
      <c r="AE59">
        <f>HYPERLINK("https://klasma.github.io/Logging_1382/fåglar/S 647-2024 prioriterade fågelarter.docx", "S 647-2024")</f>
        <v/>
      </c>
    </row>
    <row r="60" ht="15" customHeight="1">
      <c r="A60" t="inlineStr">
        <is>
          <t>S 3285-2024</t>
        </is>
      </c>
      <c r="B60" t="inlineStr">
        <is>
          <t>samrådsanmälan</t>
        </is>
      </c>
      <c r="C60" t="inlineStr">
        <is>
          <t>Annan skogsbruksåtgärd</t>
        </is>
      </c>
      <c r="D60" s="1" t="n">
        <v>45527</v>
      </c>
      <c r="E60" s="1" t="n">
        <v>46315</v>
      </c>
      <c r="F60" t="inlineStr">
        <is>
          <t>HALLANDS LÄN</t>
        </is>
      </c>
      <c r="G60" t="inlineStr">
        <is>
          <t>FALKENBERG</t>
        </is>
      </c>
      <c r="I60" t="n">
        <v>0.1</v>
      </c>
      <c r="J60" t="n">
        <v>0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</v>
      </c>
      <c r="T60" t="n">
        <v>4</v>
      </c>
      <c r="U60" t="n">
        <v>0</v>
      </c>
      <c r="V60" s="2" t="inlineStr">
        <is>
          <t>Fällmossa
Guldlockmossa
Gulpudrad spiklav
Sotlav</t>
        </is>
      </c>
      <c r="W60">
        <f>HYPERLINK("https://klasma.github.io/Logging_1382/artfynd/S 3285-2024 artfynd.xlsx", "S 3285-2024")</f>
        <v/>
      </c>
      <c r="X60">
        <f>HYPERLINK("https://klasma.github.io/Logging_1382/kartor/S 3285-2024 karta.png", "S 3285-2024")</f>
        <v/>
      </c>
      <c r="Y60">
        <f>HYPERLINK("https://klasma.github.io/Logging_1382/kartor_geotiff/S 3285-2024 georefererad karta.tif", "S 3285-2024")</f>
        <v/>
      </c>
      <c r="AA60">
        <f>HYPERLINK("https://klasma.github.io/Logging_1382/klagomål/S 3285-2024 FSC-klagomål.docx", "S 3285-2024")</f>
        <v/>
      </c>
      <c r="AB60">
        <f>HYPERLINK("https://klasma.github.io/Logging_1382/klagomålsmail/S 3285-2024 FSC-klagomål mail.docx", "S 3285-2024")</f>
        <v/>
      </c>
      <c r="AC60">
        <f>HYPERLINK("https://klasma.github.io/Logging_1382/tillsyn/S 3285-2024 tillsynsbegäran.docx", "S 3285-2024")</f>
        <v/>
      </c>
      <c r="AD60">
        <f>HYPERLINK("https://klasma.github.io/Logging_1382/tillsynsmail/S 3285-2024 tillsynsbegäran mail.docx", "S 3285-2024")</f>
        <v/>
      </c>
    </row>
    <row r="61" ht="15" customHeight="1">
      <c r="A61" t="inlineStr">
        <is>
          <t>S 689-2025</t>
        </is>
      </c>
      <c r="B61" t="inlineStr">
        <is>
          <t>samrådsanmälan</t>
        </is>
      </c>
      <c r="C61" t="inlineStr">
        <is>
          <t>Annan skogsbruksåtgärd</t>
        </is>
      </c>
      <c r="D61" s="1" t="n">
        <v>45719</v>
      </c>
      <c r="E61" s="1" t="n">
        <v>46315</v>
      </c>
      <c r="F61" t="inlineStr">
        <is>
          <t>HALLANDS LÄN</t>
        </is>
      </c>
      <c r="G61" t="inlineStr">
        <is>
          <t>HYLTE</t>
        </is>
      </c>
      <c r="I61" t="n">
        <v>0.1</v>
      </c>
      <c r="J61" t="n">
        <v>0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4</v>
      </c>
      <c r="T61" t="n">
        <v>4</v>
      </c>
      <c r="U61" t="n">
        <v>0</v>
      </c>
      <c r="V61" s="2" t="inlineStr">
        <is>
          <t>Grynig filtlav
Lunglav
Fällmossa
Guldlockmossa</t>
        </is>
      </c>
      <c r="W61">
        <f>HYPERLINK("https://klasma.github.io/Logging_1315/artfynd/S 689-2025 artfynd.xlsx", "S 689-2025")</f>
        <v/>
      </c>
      <c r="X61">
        <f>HYPERLINK("https://klasma.github.io/Logging_1315/kartor/S 689-2025 karta.png", "S 689-2025")</f>
        <v/>
      </c>
      <c r="Y61">
        <f>HYPERLINK("https://klasma.github.io/Logging_1315/kartor_geotiff/S 689-2025 georefererad karta.tif", "S 689-2025")</f>
        <v/>
      </c>
      <c r="AA61">
        <f>HYPERLINK("https://klasma.github.io/Logging_1315/klagomål/S 689-2025 FSC-klagomål.docx", "S 689-2025")</f>
        <v/>
      </c>
      <c r="AB61">
        <f>HYPERLINK("https://klasma.github.io/Logging_1315/klagomålsmail/S 689-2025 FSC-klagomål mail.docx", "S 689-2025")</f>
        <v/>
      </c>
      <c r="AC61">
        <f>HYPERLINK("https://klasma.github.io/Logging_1315/tillsyn/S 689-2025 tillsynsbegäran.docx", "S 689-2025")</f>
        <v/>
      </c>
      <c r="AD61">
        <f>HYPERLINK("https://klasma.github.io/Logging_1315/tillsynsmail/S 689-2025 tillsynsbegäran mail.docx", "S 689-2025")</f>
        <v/>
      </c>
    </row>
    <row r="62" ht="15" customHeight="1">
      <c r="A62" t="inlineStr">
        <is>
          <t>S 866-2025</t>
        </is>
      </c>
      <c r="B62" t="inlineStr">
        <is>
          <t>samrådsanmälan</t>
        </is>
      </c>
      <c r="C62" t="inlineStr">
        <is>
          <t>Askåterföring</t>
        </is>
      </c>
      <c r="D62" s="1" t="n">
        <v>45734</v>
      </c>
      <c r="E62" s="1" t="n">
        <v>46315</v>
      </c>
      <c r="F62" t="inlineStr">
        <is>
          <t>HALLANDS LÄN</t>
        </is>
      </c>
      <c r="G62" t="inlineStr">
        <is>
          <t>HALMSTAD</t>
        </is>
      </c>
      <c r="I62" t="n">
        <v>77.2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3</v>
      </c>
      <c r="R62" t="n">
        <v>2</v>
      </c>
      <c r="S62" t="n">
        <v>4</v>
      </c>
      <c r="T62" t="n">
        <v>5</v>
      </c>
      <c r="U62" t="n">
        <v>1</v>
      </c>
      <c r="V62" s="2" t="inlineStr">
        <is>
          <t>Järnek
Knärot
Borsttåg
Kambräken</t>
        </is>
      </c>
      <c r="W62">
        <f>HYPERLINK("https://klasma.github.io/Logging_1380/artfynd/S 866-2025 artfynd.xlsx", "S 866-2025")</f>
        <v/>
      </c>
      <c r="X62">
        <f>HYPERLINK("https://klasma.github.io/Logging_1380/kartor/S 866-2025 karta.png", "S 866-2025")</f>
        <v/>
      </c>
      <c r="Y62">
        <f>HYPERLINK("https://klasma.github.io/Logging_1380/kartor_geotiff/S 866-2025 georefererad karta.tif", "S 866-2025")</f>
        <v/>
      </c>
      <c r="Z62">
        <f>HYPERLINK("https://klasma.github.io/Logging_1380/knärot/S 866-2025 karta knärot.png", "S 866-2025")</f>
        <v/>
      </c>
      <c r="AA62">
        <f>HYPERLINK("https://klasma.github.io/Logging_1380/klagomål/S 866-2025 FSC-klagomål.docx", "S 866-2025")</f>
        <v/>
      </c>
      <c r="AB62">
        <f>HYPERLINK("https://klasma.github.io/Logging_1380/klagomålsmail/S 866-2025 FSC-klagomål mail.docx", "S 866-2025")</f>
        <v/>
      </c>
      <c r="AC62">
        <f>HYPERLINK("https://klasma.github.io/Logging_1380/tillsyn/S 866-2025 tillsynsbegäran.docx", "S 866-2025")</f>
        <v/>
      </c>
      <c r="AD62">
        <f>HYPERLINK("https://klasma.github.io/Logging_1380/tillsynsmail/S 866-2025 tillsynsbegäran mail.docx", "S 866-2025")</f>
        <v/>
      </c>
    </row>
    <row r="63" ht="15" customHeight="1">
      <c r="A63" t="inlineStr">
        <is>
          <t>S 232-2025</t>
        </is>
      </c>
      <c r="B63" t="inlineStr">
        <is>
          <t>samrådsanmälan</t>
        </is>
      </c>
      <c r="C63" t="inlineStr">
        <is>
          <t>Annan skogsbruksåtgärd</t>
        </is>
      </c>
      <c r="D63" s="1" t="n">
        <v>45680</v>
      </c>
      <c r="E63" s="1" t="n">
        <v>46315</v>
      </c>
      <c r="F63" t="inlineStr">
        <is>
          <t>HALLANDS LÄN</t>
        </is>
      </c>
      <c r="G63" t="inlineStr">
        <is>
          <t>FALKENBERG</t>
        </is>
      </c>
      <c r="I63" t="n">
        <v>2</v>
      </c>
      <c r="J63" t="n">
        <v>0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4</v>
      </c>
      <c r="T63" t="n">
        <v>4</v>
      </c>
      <c r="U63" t="n">
        <v>0</v>
      </c>
      <c r="V63" s="2" t="inlineStr">
        <is>
          <t>Dunmossa
Bågpraktmossa
Skuggmossa
Västlig husmossa</t>
        </is>
      </c>
      <c r="W63">
        <f>HYPERLINK("https://klasma.github.io/Logging_1382/artfynd/S 232-2025 artfynd.xlsx", "S 232-2025")</f>
        <v/>
      </c>
      <c r="X63">
        <f>HYPERLINK("https://klasma.github.io/Logging_1382/kartor/S 232-2025 karta.png", "S 232-2025")</f>
        <v/>
      </c>
      <c r="Y63">
        <f>HYPERLINK("https://klasma.github.io/Logging_1382/kartor_geotiff/S 232-2025 georefererad karta.tif", "S 232-2025")</f>
        <v/>
      </c>
      <c r="AA63">
        <f>HYPERLINK("https://klasma.github.io/Logging_1382/klagomål/S 232-2025 FSC-klagomål.docx", "S 232-2025")</f>
        <v/>
      </c>
      <c r="AB63">
        <f>HYPERLINK("https://klasma.github.io/Logging_1382/klagomålsmail/S 232-2025 FSC-klagomål mail.docx", "S 232-2025")</f>
        <v/>
      </c>
      <c r="AC63">
        <f>HYPERLINK("https://klasma.github.io/Logging_1382/tillsyn/S 232-2025 tillsynsbegäran.docx", "S 232-2025")</f>
        <v/>
      </c>
      <c r="AD63">
        <f>HYPERLINK("https://klasma.github.io/Logging_1382/tillsynsmail/S 232-2025 tillsynsbegäran mail.docx", "S 232-2025")</f>
        <v/>
      </c>
    </row>
    <row r="64" ht="15" customHeight="1">
      <c r="A64" t="inlineStr">
        <is>
          <t>A 38411-2022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44812</v>
      </c>
      <c r="E64" s="1" t="n">
        <v>46315</v>
      </c>
      <c r="F64" t="inlineStr">
        <is>
          <t>HALLANDS LÄN</t>
        </is>
      </c>
      <c r="G64" t="inlineStr">
        <is>
          <t>HALMSTAD</t>
        </is>
      </c>
      <c r="I64" t="n">
        <v>19.3</v>
      </c>
      <c r="J64" t="n">
        <v>1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</v>
      </c>
      <c r="T64" t="n">
        <v>3</v>
      </c>
      <c r="U64" t="n">
        <v>0</v>
      </c>
      <c r="V64" s="2" t="inlineStr">
        <is>
          <t>Kransrams
Rostfläck
Gröngöling</t>
        </is>
      </c>
      <c r="W64">
        <f>HYPERLINK("https://klasma.github.io/Logging_1380/artfynd/A 38411-2022 artfynd.xlsx", "A 38411-2022")</f>
        <v/>
      </c>
      <c r="X64">
        <f>HYPERLINK("https://klasma.github.io/Logging_1380/kartor/A 38411-2022 karta.png", "A 38411-2022")</f>
        <v/>
      </c>
      <c r="Y64">
        <f>HYPERLINK("https://klasma.github.io/Logging_1380/kartor_geotiff/A 38411-2022 georefererad karta.tif", "A 38411-2022")</f>
        <v/>
      </c>
      <c r="AA64">
        <f>HYPERLINK("https://klasma.github.io/Logging_1380/klagomål/A 38411-2022 FSC-klagomål.docx", "A 38411-2022")</f>
        <v/>
      </c>
      <c r="AB64">
        <f>HYPERLINK("https://klasma.github.io/Logging_1380/klagomålsmail/A 38411-2022 FSC-klagomål mail.docx", "A 38411-2022")</f>
        <v/>
      </c>
      <c r="AC64">
        <f>HYPERLINK("https://klasma.github.io/Logging_1380/tillsyn/A 38411-2022 tillsynsbegäran.docx", "A 38411-2022")</f>
        <v/>
      </c>
      <c r="AD64">
        <f>HYPERLINK("https://klasma.github.io/Logging_1380/tillsynsmail/A 38411-2022 tillsynsbegäran mail.docx", "A 38411-2022")</f>
        <v/>
      </c>
    </row>
    <row r="65" ht="15" customHeight="1">
      <c r="A65" t="inlineStr">
        <is>
          <t>A 40531-2023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45168</v>
      </c>
      <c r="E65" s="1" t="n">
        <v>46315</v>
      </c>
      <c r="F65" t="inlineStr">
        <is>
          <t>HALLANDS LÄN</t>
        </is>
      </c>
      <c r="G65" t="inlineStr">
        <is>
          <t>HALMSTAD</t>
        </is>
      </c>
      <c r="H65" t="inlineStr">
        <is>
          <t>Kommuner</t>
        </is>
      </c>
      <c r="I65" t="n">
        <v>4.2</v>
      </c>
      <c r="J65" t="n">
        <v>2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  <c r="T65" t="n">
        <v>3</v>
      </c>
      <c r="U65" t="n">
        <v>1</v>
      </c>
      <c r="V65" s="2" t="inlineStr">
        <is>
          <t>Kambräken
Spillkråka
Kungsfågel</t>
        </is>
      </c>
      <c r="W65">
        <f>HYPERLINK("https://klasma.github.io/Logging_1380/artfynd/A 40531-2023 artfynd.xlsx", "A 40531-2023")</f>
        <v/>
      </c>
      <c r="X65">
        <f>HYPERLINK("https://klasma.github.io/Logging_1380/kartor/A 40531-2023 karta.png", "A 40531-2023")</f>
        <v/>
      </c>
      <c r="Y65">
        <f>HYPERLINK("https://klasma.github.io/Logging_1380/kartor_geotiff/A 40531-2023 georefererad karta.tif", "A 40531-2023")</f>
        <v/>
      </c>
      <c r="AA65">
        <f>HYPERLINK("https://klasma.github.io/Logging_1380/klagomål/A 40531-2023 FSC-klagomål.docx", "A 40531-2023")</f>
        <v/>
      </c>
      <c r="AB65">
        <f>HYPERLINK("https://klasma.github.io/Logging_1380/klagomålsmail/A 40531-2023 FSC-klagomål mail.docx", "A 40531-2023")</f>
        <v/>
      </c>
      <c r="AC65">
        <f>HYPERLINK("https://klasma.github.io/Logging_1380/tillsyn/A 40531-2023 tillsynsbegäran.docx", "A 40531-2023")</f>
        <v/>
      </c>
      <c r="AD65">
        <f>HYPERLINK("https://klasma.github.io/Logging_1380/tillsynsmail/A 40531-2023 tillsynsbegäran mail.docx", "A 40531-2023")</f>
        <v/>
      </c>
      <c r="AE65">
        <f>HYPERLINK("https://klasma.github.io/Logging_1380/fåglar/A 40531-2023 prioriterade fågelarter.docx", "A 40531-2023")</f>
        <v/>
      </c>
    </row>
    <row r="66" ht="15" customHeight="1">
      <c r="A66" t="inlineStr">
        <is>
          <t>A 57150-2023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45245</v>
      </c>
      <c r="E66" s="1" t="n">
        <v>46315</v>
      </c>
      <c r="F66" t="inlineStr">
        <is>
          <t>HALLANDS LÄN</t>
        </is>
      </c>
      <c r="G66" t="inlineStr">
        <is>
          <t>HYLTE</t>
        </is>
      </c>
      <c r="I66" t="n">
        <v>2.7</v>
      </c>
      <c r="J66" t="n">
        <v>3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3</v>
      </c>
      <c r="T66" t="n">
        <v>3</v>
      </c>
      <c r="U66" t="n">
        <v>3</v>
      </c>
      <c r="V66" s="2" t="inlineStr">
        <is>
          <t>Duvhök
Kråka
Kungsfågel</t>
        </is>
      </c>
      <c r="W66">
        <f>HYPERLINK("https://klasma.github.io/Logging_1315/artfynd/A 57150-2023 artfynd.xlsx", "A 57150-2023")</f>
        <v/>
      </c>
      <c r="X66">
        <f>HYPERLINK("https://klasma.github.io/Logging_1315/kartor/A 57150-2023 karta.png", "A 57150-2023")</f>
        <v/>
      </c>
      <c r="Y66">
        <f>HYPERLINK("https://klasma.github.io/Logging_1315/kartor_geotiff/A 57150-2023 georefererad karta.tif", "A 57150-2023")</f>
        <v/>
      </c>
      <c r="AA66">
        <f>HYPERLINK("https://klasma.github.io/Logging_1315/klagomål/A 57150-2023 FSC-klagomål.docx", "A 57150-2023")</f>
        <v/>
      </c>
      <c r="AB66">
        <f>HYPERLINK("https://klasma.github.io/Logging_1315/klagomålsmail/A 57150-2023 FSC-klagomål mail.docx", "A 57150-2023")</f>
        <v/>
      </c>
      <c r="AC66">
        <f>HYPERLINK("https://klasma.github.io/Logging_1315/tillsyn/A 57150-2023 tillsynsbegäran.docx", "A 57150-2023")</f>
        <v/>
      </c>
      <c r="AD66">
        <f>HYPERLINK("https://klasma.github.io/Logging_1315/tillsynsmail/A 57150-2023 tillsynsbegäran mail.docx", "A 57150-2023")</f>
        <v/>
      </c>
      <c r="AE66">
        <f>HYPERLINK("https://klasma.github.io/Logging_1315/fåglar/A 57150-2023 prioriterade fågelarter.docx", "A 57150-2023")</f>
        <v/>
      </c>
    </row>
    <row r="67" ht="15" customHeight="1">
      <c r="A67" t="inlineStr">
        <is>
          <t>A 58-2025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45659</v>
      </c>
      <c r="E67" s="1" t="n">
        <v>46315</v>
      </c>
      <c r="F67" t="inlineStr">
        <is>
          <t>HALLANDS LÄN</t>
        </is>
      </c>
      <c r="G67" t="inlineStr">
        <is>
          <t>KUNGSBACKA</t>
        </is>
      </c>
      <c r="I67" t="n">
        <v>0.4</v>
      </c>
      <c r="J67" t="n">
        <v>2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3</v>
      </c>
      <c r="T67" t="n">
        <v>3</v>
      </c>
      <c r="U67" t="n">
        <v>3</v>
      </c>
      <c r="V67" s="2" t="inlineStr">
        <is>
          <t>Grönsångare
Mindre hackspett
Västlig hakmossa</t>
        </is>
      </c>
      <c r="W67">
        <f>HYPERLINK("https://klasma.github.io/Logging_1384/artfynd/A 58-2025 artfynd.xlsx", "A 58-2025")</f>
        <v/>
      </c>
      <c r="X67">
        <f>HYPERLINK("https://klasma.github.io/Logging_1384/kartor/A 58-2025 karta.png", "A 58-2025")</f>
        <v/>
      </c>
      <c r="Y67">
        <f>HYPERLINK("https://klasma.github.io/Logging_1384/kartor_geotiff/A 58-2025 georefererad karta.tif", "A 58-2025")</f>
        <v/>
      </c>
      <c r="AA67">
        <f>HYPERLINK("https://klasma.github.io/Logging_1384/klagomål/A 58-2025 FSC-klagomål.docx", "A 58-2025")</f>
        <v/>
      </c>
      <c r="AB67">
        <f>HYPERLINK("https://klasma.github.io/Logging_1384/klagomålsmail/A 58-2025 FSC-klagomål mail.docx", "A 58-2025")</f>
        <v/>
      </c>
      <c r="AC67">
        <f>HYPERLINK("https://klasma.github.io/Logging_1384/tillsyn/A 58-2025 tillsynsbegäran.docx", "A 58-2025")</f>
        <v/>
      </c>
      <c r="AD67">
        <f>HYPERLINK("https://klasma.github.io/Logging_1384/tillsynsmail/A 58-2025 tillsynsbegäran mail.docx", "A 58-2025")</f>
        <v/>
      </c>
      <c r="AE67">
        <f>HYPERLINK("https://klasma.github.io/Logging_1384/fåglar/A 58-2025 prioriterade fågelarter.docx", "A 58-2025")</f>
        <v/>
      </c>
    </row>
    <row r="68" ht="15" customHeight="1">
      <c r="A68" t="inlineStr">
        <is>
          <t>A 7132-2026</t>
        </is>
      </c>
      <c r="B68" t="inlineStr">
        <is>
          <t>avverkningsanmälan</t>
        </is>
      </c>
      <c r="C68" t="inlineStr">
        <is>
          <t>Avverkning för annat ändamål</t>
        </is>
      </c>
      <c r="D68" s="1" t="n">
        <v>46058</v>
      </c>
      <c r="E68" s="1" t="n">
        <v>46315</v>
      </c>
      <c r="F68" t="inlineStr">
        <is>
          <t>HALLANDS LÄN</t>
        </is>
      </c>
      <c r="G68" t="inlineStr">
        <is>
          <t>VARBERG</t>
        </is>
      </c>
      <c r="I68" t="n">
        <v>2.2</v>
      </c>
      <c r="J68" t="n">
        <v>1</v>
      </c>
      <c r="K68" t="n">
        <v>2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3</v>
      </c>
      <c r="T68" t="n">
        <v>7</v>
      </c>
      <c r="U68" t="n">
        <v>0</v>
      </c>
      <c r="V68" s="2" t="inlineStr">
        <is>
          <t>Flytsvalting
Blåmossa
Mörk husmossa</t>
        </is>
      </c>
      <c r="W68">
        <f>HYPERLINK("https://klasma.github.io/Logging_1383/artfynd/A 7132-2026 artfynd.xlsx", "A 7132-2026")</f>
        <v/>
      </c>
      <c r="X68">
        <f>HYPERLINK("https://klasma.github.io/Logging_1383/kartor/A 7132-2026 karta.png", "A 7132-2026")</f>
        <v/>
      </c>
      <c r="Y68">
        <f>HYPERLINK("https://klasma.github.io/Logging_1383/kartor_geotiff/A 7132-2026 georefererad karta.tif", "A 7132-2026")</f>
        <v/>
      </c>
      <c r="AA68">
        <f>HYPERLINK("https://klasma.github.io/Logging_1383/klagomål/A 7132-2026 FSC-klagomål.docx", "A 7132-2026")</f>
        <v/>
      </c>
      <c r="AB68">
        <f>HYPERLINK("https://klasma.github.io/Logging_1383/klagomålsmail/A 7132-2026 FSC-klagomål mail.docx", "A 7132-2026")</f>
        <v/>
      </c>
      <c r="AC68">
        <f>HYPERLINK("https://klasma.github.io/Logging_1383/tillsyn/A 7132-2026 tillsynsbegäran.docx", "A 7132-2026")</f>
        <v/>
      </c>
      <c r="AD68">
        <f>HYPERLINK("https://klasma.github.io/Logging_1383/tillsynsmail/A 7132-2026 tillsynsbegäran mail.docx", "A 7132-2026")</f>
        <v/>
      </c>
    </row>
    <row r="69" ht="15" customHeight="1">
      <c r="A69" t="inlineStr">
        <is>
          <t>A 65198-2023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45288</v>
      </c>
      <c r="E69" s="1" t="n">
        <v>46315</v>
      </c>
      <c r="F69" t="inlineStr">
        <is>
          <t>HALLANDS LÄN</t>
        </is>
      </c>
      <c r="G69" t="inlineStr">
        <is>
          <t>KUNGSBACKA</t>
        </is>
      </c>
      <c r="I69" t="n">
        <v>2.8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3</v>
      </c>
      <c r="U69" t="n">
        <v>1</v>
      </c>
      <c r="V69" s="2" t="inlineStr">
        <is>
          <t>Blåsfliksmossa
Grov fjädermossa
Mussellav</t>
        </is>
      </c>
      <c r="W69">
        <f>HYPERLINK("https://klasma.github.io/Logging_1384/artfynd/A 65198-2023 artfynd.xlsx", "A 65198-2023")</f>
        <v/>
      </c>
      <c r="X69">
        <f>HYPERLINK("https://klasma.github.io/Logging_1384/kartor/A 65198-2023 karta.png", "A 65198-2023")</f>
        <v/>
      </c>
      <c r="Y69">
        <f>HYPERLINK("https://klasma.github.io/Logging_1384/kartor_geotiff/A 65198-2023 georefererad karta.tif", "A 65198-2023")</f>
        <v/>
      </c>
      <c r="AA69">
        <f>HYPERLINK("https://klasma.github.io/Logging_1384/klagomål/A 65198-2023 FSC-klagomål.docx", "A 65198-2023")</f>
        <v/>
      </c>
      <c r="AB69">
        <f>HYPERLINK("https://klasma.github.io/Logging_1384/klagomålsmail/A 65198-2023 FSC-klagomål mail.docx", "A 65198-2023")</f>
        <v/>
      </c>
      <c r="AC69">
        <f>HYPERLINK("https://klasma.github.io/Logging_1384/tillsyn/A 65198-2023 tillsynsbegäran.docx", "A 65198-2023")</f>
        <v/>
      </c>
      <c r="AD69">
        <f>HYPERLINK("https://klasma.github.io/Logging_1384/tillsynsmail/A 65198-2023 tillsynsbegäran mail.docx", "A 65198-2023")</f>
        <v/>
      </c>
    </row>
    <row r="70" ht="15" customHeight="1">
      <c r="A70" t="inlineStr">
        <is>
          <t>A 40600-2023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45168</v>
      </c>
      <c r="E70" s="1" t="n">
        <v>46315</v>
      </c>
      <c r="F70" t="inlineStr">
        <is>
          <t>HALLANDS LÄN</t>
        </is>
      </c>
      <c r="G70" t="inlineStr">
        <is>
          <t>HALMSTAD</t>
        </is>
      </c>
      <c r="H70" t="inlineStr">
        <is>
          <t>Kommuner</t>
        </is>
      </c>
      <c r="I70" t="n">
        <v>1.9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5</v>
      </c>
      <c r="U70" t="n">
        <v>3</v>
      </c>
      <c r="V70" s="2" t="inlineStr">
        <is>
          <t>Blåmossa
Kungsfågel
Vanlig snok</t>
        </is>
      </c>
      <c r="W70">
        <f>HYPERLINK("https://klasma.github.io/Logging_1380/artfynd/A 40600-2023 artfynd.xlsx", "A 40600-2023")</f>
        <v/>
      </c>
      <c r="X70">
        <f>HYPERLINK("https://klasma.github.io/Logging_1380/kartor/A 40600-2023 karta.png", "A 40600-2023")</f>
        <v/>
      </c>
      <c r="Y70">
        <f>HYPERLINK("https://klasma.github.io/Logging_1380/kartor_geotiff/A 40600-2023 georefererad karta.tif", "A 40600-2023")</f>
        <v/>
      </c>
      <c r="AA70">
        <f>HYPERLINK("https://klasma.github.io/Logging_1380/klagomål/A 40600-2023 FSC-klagomål.docx", "A 40600-2023")</f>
        <v/>
      </c>
      <c r="AB70">
        <f>HYPERLINK("https://klasma.github.io/Logging_1380/klagomålsmail/A 40600-2023 FSC-klagomål mail.docx", "A 40600-2023")</f>
        <v/>
      </c>
      <c r="AC70">
        <f>HYPERLINK("https://klasma.github.io/Logging_1380/tillsyn/A 40600-2023 tillsynsbegäran.docx", "A 40600-2023")</f>
        <v/>
      </c>
      <c r="AD70">
        <f>HYPERLINK("https://klasma.github.io/Logging_1380/tillsynsmail/A 40600-2023 tillsynsbegäran mail.docx", "A 40600-2023")</f>
        <v/>
      </c>
    </row>
    <row r="71" ht="15" customHeight="1">
      <c r="A71" t="inlineStr">
        <is>
          <t>A 8102-2024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45351</v>
      </c>
      <c r="E71" s="1" t="n">
        <v>46315</v>
      </c>
      <c r="F71" t="inlineStr">
        <is>
          <t>HALLANDS LÄN</t>
        </is>
      </c>
      <c r="G71" t="inlineStr">
        <is>
          <t>HALMSTAD</t>
        </is>
      </c>
      <c r="I71" t="n">
        <v>7.6</v>
      </c>
      <c r="J71" t="n">
        <v>1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3</v>
      </c>
      <c r="T71" t="n">
        <v>3</v>
      </c>
      <c r="U71" t="n">
        <v>0</v>
      </c>
      <c r="V71" s="2" t="inlineStr">
        <is>
          <t>Loppstarr
Ängsstarr
Fjällvråk</t>
        </is>
      </c>
      <c r="W71">
        <f>HYPERLINK("https://klasma.github.io/Logging_1380/artfynd/A 8102-2024 artfynd.xlsx", "A 8102-2024")</f>
        <v/>
      </c>
      <c r="X71">
        <f>HYPERLINK("https://klasma.github.io/Logging_1380/kartor/A 8102-2024 karta.png", "A 8102-2024")</f>
        <v/>
      </c>
      <c r="Y71">
        <f>HYPERLINK("https://klasma.github.io/Logging_1380/kartor_geotiff/A 8102-2024 georefererad karta.tif", "A 8102-2024")</f>
        <v/>
      </c>
      <c r="AA71">
        <f>HYPERLINK("https://klasma.github.io/Logging_1380/klagomål/A 8102-2024 FSC-klagomål.docx", "A 8102-2024")</f>
        <v/>
      </c>
      <c r="AB71">
        <f>HYPERLINK("https://klasma.github.io/Logging_1380/klagomålsmail/A 8102-2024 FSC-klagomål mail.docx", "A 8102-2024")</f>
        <v/>
      </c>
      <c r="AC71">
        <f>HYPERLINK("https://klasma.github.io/Logging_1380/tillsyn/A 8102-2024 tillsynsbegäran.docx", "A 8102-2024")</f>
        <v/>
      </c>
      <c r="AD71">
        <f>HYPERLINK("https://klasma.github.io/Logging_1380/tillsynsmail/A 8102-2024 tillsynsbegäran mail.docx", "A 8102-2024")</f>
        <v/>
      </c>
      <c r="AE71">
        <f>HYPERLINK("https://klasma.github.io/Logging_1380/fåglar/A 8102-2024 prioriterade fågelarter.docx", "A 8102-2024")</f>
        <v/>
      </c>
    </row>
    <row r="72" ht="15" customHeight="1">
      <c r="A72" t="inlineStr">
        <is>
          <t>A 13374-2022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44645</v>
      </c>
      <c r="E72" s="1" t="n">
        <v>46315</v>
      </c>
      <c r="F72" t="inlineStr">
        <is>
          <t>HALLANDS LÄN</t>
        </is>
      </c>
      <c r="G72" t="inlineStr">
        <is>
          <t>KUNGSBACKA</t>
        </is>
      </c>
      <c r="I72" t="n">
        <v>10.5</v>
      </c>
      <c r="J72" t="n">
        <v>3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3</v>
      </c>
      <c r="T72" t="n">
        <v>3</v>
      </c>
      <c r="U72" t="n">
        <v>3</v>
      </c>
      <c r="V72" s="2" t="inlineStr">
        <is>
          <t>Entita
Grönsångare
Svartvit flugsnappare</t>
        </is>
      </c>
      <c r="W72">
        <f>HYPERLINK("https://klasma.github.io/Logging_1384/artfynd/A 13374-2022 artfynd.xlsx", "A 13374-2022")</f>
        <v/>
      </c>
      <c r="X72">
        <f>HYPERLINK("https://klasma.github.io/Logging_1384/kartor/A 13374-2022 karta.png", "A 13374-2022")</f>
        <v/>
      </c>
      <c r="Y72">
        <f>HYPERLINK("https://klasma.github.io/Logging_1384/kartor_geotiff/A 13374-2022 georefererad karta.tif", "A 13374-2022")</f>
        <v/>
      </c>
      <c r="AA72">
        <f>HYPERLINK("https://klasma.github.io/Logging_1384/klagomål/A 13374-2022 FSC-klagomål.docx", "A 13374-2022")</f>
        <v/>
      </c>
      <c r="AB72">
        <f>HYPERLINK("https://klasma.github.io/Logging_1384/klagomålsmail/A 13374-2022 FSC-klagomål mail.docx", "A 13374-2022")</f>
        <v/>
      </c>
      <c r="AC72">
        <f>HYPERLINK("https://klasma.github.io/Logging_1384/tillsyn/A 13374-2022 tillsynsbegäran.docx", "A 13374-2022")</f>
        <v/>
      </c>
      <c r="AD72">
        <f>HYPERLINK("https://klasma.github.io/Logging_1384/tillsynsmail/A 13374-2022 tillsynsbegäran mail.docx", "A 13374-2022")</f>
        <v/>
      </c>
      <c r="AE72">
        <f>HYPERLINK("https://klasma.github.io/Logging_1384/fåglar/A 13374-2022 prioriterade fågelarter.docx", "A 13374-2022")</f>
        <v/>
      </c>
    </row>
    <row r="73" ht="15" customHeight="1">
      <c r="A73" t="inlineStr">
        <is>
          <t>A 39252-2026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46288</v>
      </c>
      <c r="E73" s="1" t="n">
        <v>46315</v>
      </c>
      <c r="F73" t="inlineStr">
        <is>
          <t>HALLANDS LÄN</t>
        </is>
      </c>
      <c r="G73" t="inlineStr">
        <is>
          <t>HALMSTAD</t>
        </is>
      </c>
      <c r="I73" t="n">
        <v>0.8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3</v>
      </c>
      <c r="T73" t="n">
        <v>3</v>
      </c>
      <c r="U73" t="n">
        <v>0</v>
      </c>
      <c r="V73" s="2" t="inlineStr">
        <is>
          <t>Flikbålmossa
Loppstarr
Mörk dunört</t>
        </is>
      </c>
      <c r="W73">
        <f>HYPERLINK("https://klasma.github.io/Logging_1380/artfynd/A 39252-2026 artfynd.xlsx", "A 39252-2026")</f>
        <v/>
      </c>
      <c r="X73">
        <f>HYPERLINK("https://klasma.github.io/Logging_1380/kartor/A 39252-2026 karta.png", "A 39252-2026")</f>
        <v/>
      </c>
      <c r="Y73">
        <f>HYPERLINK("https://klasma.github.io/Logging_1380/kartor_geotiff/A 39252-2026 georefererad karta.tif", "A 39252-2026")</f>
        <v/>
      </c>
      <c r="AA73">
        <f>HYPERLINK("https://klasma.github.io/Logging_1380/klagomål/A 39252-2026 FSC-klagomål.docx", "A 39252-2026")</f>
        <v/>
      </c>
      <c r="AB73">
        <f>HYPERLINK("https://klasma.github.io/Logging_1380/klagomålsmail/A 39252-2026 FSC-klagomål mail.docx", "A 39252-2026")</f>
        <v/>
      </c>
      <c r="AC73">
        <f>HYPERLINK("https://klasma.github.io/Logging_1380/tillsyn/A 39252-2026 tillsynsbegäran.docx", "A 39252-2026")</f>
        <v/>
      </c>
      <c r="AD73">
        <f>HYPERLINK("https://klasma.github.io/Logging_1380/tillsynsmail/A 39252-2026 tillsynsbegäran mail.docx", "A 39252-2026")</f>
        <v/>
      </c>
    </row>
    <row r="74" ht="15" customHeight="1">
      <c r="A74" t="inlineStr">
        <is>
          <t>A 6417-2024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45338</v>
      </c>
      <c r="E74" s="1" t="n">
        <v>46315</v>
      </c>
      <c r="F74" t="inlineStr">
        <is>
          <t>HALLANDS LÄN</t>
        </is>
      </c>
      <c r="G74" t="inlineStr">
        <is>
          <t>KUNGSBACKA</t>
        </is>
      </c>
      <c r="I74" t="n">
        <v>6.3</v>
      </c>
      <c r="J74" t="n">
        <v>3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</v>
      </c>
      <c r="T74" t="n">
        <v>3</v>
      </c>
      <c r="U74" t="n">
        <v>3</v>
      </c>
      <c r="V74" s="2" t="inlineStr">
        <is>
          <t>Nordfladdermus
Dvärgpipistrell
Vattenfladdermus</t>
        </is>
      </c>
      <c r="W74">
        <f>HYPERLINK("https://klasma.github.io/Logging_1384/artfynd/A 6417-2024 artfynd.xlsx", "A 6417-2024")</f>
        <v/>
      </c>
      <c r="X74">
        <f>HYPERLINK("https://klasma.github.io/Logging_1384/kartor/A 6417-2024 karta.png", "A 6417-2024")</f>
        <v/>
      </c>
      <c r="Y74">
        <f>HYPERLINK("https://klasma.github.io/Logging_1384/kartor_geotiff/A 6417-2024 georefererad karta.tif", "A 6417-2024")</f>
        <v/>
      </c>
      <c r="AA74">
        <f>HYPERLINK("https://klasma.github.io/Logging_1384/klagomål/A 6417-2024 FSC-klagomål.docx", "A 6417-2024")</f>
        <v/>
      </c>
      <c r="AB74">
        <f>HYPERLINK("https://klasma.github.io/Logging_1384/klagomålsmail/A 6417-2024 FSC-klagomål mail.docx", "A 6417-2024")</f>
        <v/>
      </c>
      <c r="AC74">
        <f>HYPERLINK("https://klasma.github.io/Logging_1384/tillsyn/A 6417-2024 tillsynsbegäran.docx", "A 6417-2024")</f>
        <v/>
      </c>
      <c r="AD74">
        <f>HYPERLINK("https://klasma.github.io/Logging_1384/tillsynsmail/A 6417-2024 tillsynsbegäran mail.docx", "A 6417-2024")</f>
        <v/>
      </c>
    </row>
    <row r="75" ht="15" customHeight="1">
      <c r="A75" t="inlineStr">
        <is>
          <t>A 36332-2026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46268</v>
      </c>
      <c r="E75" s="1" t="n">
        <v>46315</v>
      </c>
      <c r="F75" t="inlineStr">
        <is>
          <t>HALLANDS LÄN</t>
        </is>
      </c>
      <c r="G75" t="inlineStr">
        <is>
          <t>HYLTE</t>
        </is>
      </c>
      <c r="I75" t="n">
        <v>4.6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3</v>
      </c>
      <c r="T75" t="n">
        <v>3</v>
      </c>
      <c r="U75" t="n">
        <v>0</v>
      </c>
      <c r="V75" s="2" t="inlineStr">
        <is>
          <t>Borsttåg
Mattlummer
Revlummer</t>
        </is>
      </c>
      <c r="W75">
        <f>HYPERLINK("https://klasma.github.io/Logging_1315/artfynd/A 36332-2026 artfynd.xlsx", "A 36332-2026")</f>
        <v/>
      </c>
      <c r="X75">
        <f>HYPERLINK("https://klasma.github.io/Logging_1315/kartor/A 36332-2026 karta.png", "A 36332-2026")</f>
        <v/>
      </c>
      <c r="Y75">
        <f>HYPERLINK("https://klasma.github.io/Logging_1315/kartor_geotiff/A 36332-2026 georefererad karta.tif", "A 36332-2026")</f>
        <v/>
      </c>
      <c r="AA75">
        <f>HYPERLINK("https://klasma.github.io/Logging_1315/klagomål/A 36332-2026 FSC-klagomål.docx", "A 36332-2026")</f>
        <v/>
      </c>
      <c r="AB75">
        <f>HYPERLINK("https://klasma.github.io/Logging_1315/klagomålsmail/A 36332-2026 FSC-klagomål mail.docx", "A 36332-2026")</f>
        <v/>
      </c>
      <c r="AC75">
        <f>HYPERLINK("https://klasma.github.io/Logging_1315/tillsyn/A 36332-2026 tillsynsbegäran.docx", "A 36332-2026")</f>
        <v/>
      </c>
      <c r="AD75">
        <f>HYPERLINK("https://klasma.github.io/Logging_1315/tillsynsmail/A 36332-2026 tillsynsbegäran mail.docx", "A 36332-2026")</f>
        <v/>
      </c>
    </row>
    <row r="76" ht="15" customHeight="1">
      <c r="A76" t="inlineStr">
        <is>
          <t>A 26108-2022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44734</v>
      </c>
      <c r="E76" s="1" t="n">
        <v>46315</v>
      </c>
      <c r="F76" t="inlineStr">
        <is>
          <t>HALLANDS LÄN</t>
        </is>
      </c>
      <c r="G76" t="inlineStr">
        <is>
          <t>HALMSTAD</t>
        </is>
      </c>
      <c r="I76" t="n">
        <v>2.6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4</v>
      </c>
      <c r="U76" t="n">
        <v>4</v>
      </c>
      <c r="V76" s="2" t="inlineStr">
        <is>
          <t>Spillkråka
Röd glada
Lopplummer (aggregat)</t>
        </is>
      </c>
      <c r="W76">
        <f>HYPERLINK("https://klasma.github.io/Logging_1380/artfynd/A 26108-2022 artfynd.xlsx", "A 26108-2022")</f>
        <v/>
      </c>
      <c r="X76">
        <f>HYPERLINK("https://klasma.github.io/Logging_1380/kartor/A 26108-2022 karta.png", "A 26108-2022")</f>
        <v/>
      </c>
      <c r="Y76">
        <f>HYPERLINK("https://klasma.github.io/Logging_1380/kartor_geotiff/A 26108-2022 georefererad karta.tif", "A 26108-2022")</f>
        <v/>
      </c>
      <c r="AA76">
        <f>HYPERLINK("https://klasma.github.io/Logging_1380/klagomål/A 26108-2022 FSC-klagomål.docx", "A 26108-2022")</f>
        <v/>
      </c>
      <c r="AB76">
        <f>HYPERLINK("https://klasma.github.io/Logging_1380/klagomålsmail/A 26108-2022 FSC-klagomål mail.docx", "A 26108-2022")</f>
        <v/>
      </c>
      <c r="AC76">
        <f>HYPERLINK("https://klasma.github.io/Logging_1380/tillsyn/A 26108-2022 tillsynsbegäran.docx", "A 26108-2022")</f>
        <v/>
      </c>
      <c r="AD76">
        <f>HYPERLINK("https://klasma.github.io/Logging_1380/tillsynsmail/A 26108-2022 tillsynsbegäran mail.docx", "A 26108-2022")</f>
        <v/>
      </c>
      <c r="AE76">
        <f>HYPERLINK("https://klasma.github.io/Logging_1380/fåglar/A 26108-2022 prioriterade fågelarter.docx", "A 26108-2022")</f>
        <v/>
      </c>
    </row>
    <row r="77" ht="15" customHeight="1">
      <c r="A77" t="inlineStr">
        <is>
          <t>S 648-2024</t>
        </is>
      </c>
      <c r="B77" t="inlineStr">
        <is>
          <t>samrådsanmälan</t>
        </is>
      </c>
      <c r="C77" t="inlineStr">
        <is>
          <t>Askåterföring</t>
        </is>
      </c>
      <c r="D77" s="1" t="n">
        <v>45356</v>
      </c>
      <c r="E77" s="1" t="n">
        <v>46315</v>
      </c>
      <c r="F77" t="inlineStr">
        <is>
          <t>HALLANDS LÄN</t>
        </is>
      </c>
      <c r="G77" t="inlineStr">
        <is>
          <t>LAHOLM</t>
        </is>
      </c>
      <c r="H77" t="inlineStr">
        <is>
          <t>Kommuner</t>
        </is>
      </c>
      <c r="I77" t="n">
        <v>190</v>
      </c>
      <c r="J77" t="n">
        <v>0</v>
      </c>
      <c r="K77" t="n">
        <v>0</v>
      </c>
      <c r="L77" t="n">
        <v>2</v>
      </c>
      <c r="M77" t="n">
        <v>0</v>
      </c>
      <c r="N77" t="n">
        <v>1</v>
      </c>
      <c r="O77" t="n">
        <v>0</v>
      </c>
      <c r="P77" t="n">
        <v>0</v>
      </c>
      <c r="Q77" t="n">
        <v>3</v>
      </c>
      <c r="R77" t="n">
        <v>1</v>
      </c>
      <c r="S77" t="n">
        <v>3</v>
      </c>
      <c r="T77" t="n">
        <v>12</v>
      </c>
      <c r="U77" t="n">
        <v>5</v>
      </c>
      <c r="V77" s="2" t="inlineStr">
        <is>
          <t>Ljungögontröst
Hårginst
Svartvit taggsvamp</t>
        </is>
      </c>
      <c r="W77">
        <f>HYPERLINK("https://klasma.github.io/Logging_1381/artfynd/S 648-2024 artfynd.xlsx", "S 648-2024")</f>
        <v/>
      </c>
      <c r="X77">
        <f>HYPERLINK("https://klasma.github.io/Logging_1381/kartor/S 648-2024 karta.png", "S 648-2024")</f>
        <v/>
      </c>
      <c r="Y77">
        <f>HYPERLINK("https://klasma.github.io/Logging_1381/kartor_geotiff/S 648-2024 georefererad karta.tif", "S 648-2024")</f>
        <v/>
      </c>
      <c r="AA77">
        <f>HYPERLINK("https://klasma.github.io/Logging_1381/klagomål/S 648-2024 FSC-klagomål.docx", "S 648-2024")</f>
        <v/>
      </c>
      <c r="AB77">
        <f>HYPERLINK("https://klasma.github.io/Logging_1381/klagomålsmail/S 648-2024 FSC-klagomål mail.docx", "S 648-2024")</f>
        <v/>
      </c>
      <c r="AC77">
        <f>HYPERLINK("https://klasma.github.io/Logging_1381/tillsyn/S 648-2024 tillsynsbegäran.docx", "S 648-2024")</f>
        <v/>
      </c>
      <c r="AD77">
        <f>HYPERLINK("https://klasma.github.io/Logging_1381/tillsynsmail/S 648-2024 tillsynsbegäran mail.docx", "S 648-2024")</f>
        <v/>
      </c>
    </row>
    <row r="78" ht="15" customHeight="1">
      <c r="A78" t="inlineStr">
        <is>
          <t>S 1197-2024</t>
        </is>
      </c>
      <c r="B78" t="inlineStr">
        <is>
          <t>samrådsanmälan</t>
        </is>
      </c>
      <c r="C78" t="inlineStr">
        <is>
          <t>Annan skogsbruksåtgärd</t>
        </is>
      </c>
      <c r="D78" s="1" t="n">
        <v>45397</v>
      </c>
      <c r="E78" s="1" t="n">
        <v>46315</v>
      </c>
      <c r="F78" t="inlineStr">
        <is>
          <t>HALLANDS LÄN</t>
        </is>
      </c>
      <c r="G78" t="inlineStr">
        <is>
          <t>HALMSTAD</t>
        </is>
      </c>
      <c r="I78" t="n">
        <v>2.7</v>
      </c>
      <c r="J78" t="n">
        <v>0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3</v>
      </c>
      <c r="T78" t="n">
        <v>3</v>
      </c>
      <c r="U78" t="n">
        <v>0</v>
      </c>
      <c r="V78" s="2" t="inlineStr">
        <is>
          <t>Bokkantlav
Guldlockmossa
Platt fjädermossa</t>
        </is>
      </c>
      <c r="W78">
        <f>HYPERLINK("https://klasma.github.io/Logging_1380/artfynd/S 1197-2024 artfynd.xlsx", "S 1197-2024")</f>
        <v/>
      </c>
      <c r="X78">
        <f>HYPERLINK("https://klasma.github.io/Logging_1380/kartor/S 1197-2024 karta.png", "S 1197-2024")</f>
        <v/>
      </c>
      <c r="Y78">
        <f>HYPERLINK("https://klasma.github.io/Logging_1380/kartor_geotiff/S 1197-2024 georefererad karta.tif", "S 1197-2024")</f>
        <v/>
      </c>
      <c r="AA78">
        <f>HYPERLINK("https://klasma.github.io/Logging_1380/klagomål/S 1197-2024 FSC-klagomål.docx", "S 1197-2024")</f>
        <v/>
      </c>
      <c r="AB78">
        <f>HYPERLINK("https://klasma.github.io/Logging_1380/klagomålsmail/S 1197-2024 FSC-klagomål mail.docx", "S 1197-2024")</f>
        <v/>
      </c>
      <c r="AC78">
        <f>HYPERLINK("https://klasma.github.io/Logging_1380/tillsyn/S 1197-2024 tillsynsbegäran.docx", "S 1197-2024")</f>
        <v/>
      </c>
      <c r="AD78">
        <f>HYPERLINK("https://klasma.github.io/Logging_1380/tillsynsmail/S 1197-2024 tillsynsbegäran mail.docx", "S 1197-2024")</f>
        <v/>
      </c>
    </row>
    <row r="79" ht="15" customHeight="1">
      <c r="A79" t="inlineStr">
        <is>
          <t>S 1920-2024</t>
        </is>
      </c>
      <c r="B79" t="inlineStr">
        <is>
          <t>samrådsanmälan</t>
        </is>
      </c>
      <c r="C79" t="inlineStr">
        <is>
          <t>Askåterföring</t>
        </is>
      </c>
      <c r="D79" s="1" t="n">
        <v>45442</v>
      </c>
      <c r="E79" s="1" t="n">
        <v>46315</v>
      </c>
      <c r="F79" t="inlineStr">
        <is>
          <t>HALLANDS LÄN</t>
        </is>
      </c>
      <c r="G79" t="inlineStr">
        <is>
          <t>HALMSTAD</t>
        </is>
      </c>
      <c r="I79" t="n">
        <v>75.2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2</v>
      </c>
      <c r="S79" t="n">
        <v>3</v>
      </c>
      <c r="T79" t="n">
        <v>12</v>
      </c>
      <c r="U79" t="n">
        <v>10</v>
      </c>
      <c r="V79" s="2" t="inlineStr">
        <is>
          <t>Borstsäv
Dvärglin
Kambräken</t>
        </is>
      </c>
      <c r="W79">
        <f>HYPERLINK("https://klasma.github.io/Logging_1380/artfynd/S 1920-2024 artfynd.xlsx", "S 1920-2024")</f>
        <v/>
      </c>
      <c r="X79">
        <f>HYPERLINK("https://klasma.github.io/Logging_1380/kartor/S 1920-2024 karta.png", "S 1920-2024")</f>
        <v/>
      </c>
      <c r="Y79">
        <f>HYPERLINK("https://klasma.github.io/Logging_1380/kartor_geotiff/S 1920-2024 georefererad karta.tif", "S 1920-2024")</f>
        <v/>
      </c>
      <c r="AA79">
        <f>HYPERLINK("https://klasma.github.io/Logging_1380/klagomål/S 1920-2024 FSC-klagomål.docx", "S 1920-2024")</f>
        <v/>
      </c>
      <c r="AB79">
        <f>HYPERLINK("https://klasma.github.io/Logging_1380/klagomålsmail/S 1920-2024 FSC-klagomål mail.docx", "S 1920-2024")</f>
        <v/>
      </c>
      <c r="AC79">
        <f>HYPERLINK("https://klasma.github.io/Logging_1380/tillsyn/S 1920-2024 tillsynsbegäran.docx", "S 1920-2024")</f>
        <v/>
      </c>
      <c r="AD79">
        <f>HYPERLINK("https://klasma.github.io/Logging_1380/tillsynsmail/S 1920-2024 tillsynsbegäran mail.docx", "S 1920-2024")</f>
        <v/>
      </c>
    </row>
    <row r="80" ht="15" customHeight="1">
      <c r="A80" t="inlineStr">
        <is>
          <t>S 3891-2023</t>
        </is>
      </c>
      <c r="B80" t="inlineStr">
        <is>
          <t>samrådsanmälan</t>
        </is>
      </c>
      <c r="C80" t="inlineStr">
        <is>
          <t>Annan skogsbruksåtgärd</t>
        </is>
      </c>
      <c r="D80" s="1" t="n">
        <v>45230</v>
      </c>
      <c r="E80" s="1" t="n">
        <v>46315</v>
      </c>
      <c r="F80" t="inlineStr">
        <is>
          <t>HALLANDS LÄN</t>
        </is>
      </c>
      <c r="G80" t="inlineStr">
        <is>
          <t>HYLTE</t>
        </is>
      </c>
      <c r="I80" t="n">
        <v>1.7</v>
      </c>
      <c r="J80" t="n">
        <v>2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3</v>
      </c>
      <c r="T80" t="n">
        <v>6</v>
      </c>
      <c r="U80" t="n">
        <v>0</v>
      </c>
      <c r="V80" s="2" t="inlineStr">
        <is>
          <t>Ask
Vanlig groda
Vanlig padda</t>
        </is>
      </c>
      <c r="W80">
        <f>HYPERLINK("https://klasma.github.io/Logging_1315/artfynd/S 3891-2023 artfynd.xlsx", "S 3891-2023")</f>
        <v/>
      </c>
      <c r="X80">
        <f>HYPERLINK("https://klasma.github.io/Logging_1315/kartor/S 3891-2023 karta.png", "S 3891-2023")</f>
        <v/>
      </c>
      <c r="Y80">
        <f>HYPERLINK("https://klasma.github.io/Logging_1315/kartor_geotiff/S 3891-2023 georefererad karta.tif", "S 3891-2023")</f>
        <v/>
      </c>
      <c r="AA80">
        <f>HYPERLINK("https://klasma.github.io/Logging_1315/klagomål/S 3891-2023 FSC-klagomål.docx", "S 3891-2023")</f>
        <v/>
      </c>
      <c r="AB80">
        <f>HYPERLINK("https://klasma.github.io/Logging_1315/klagomålsmail/S 3891-2023 FSC-klagomål mail.docx", "S 3891-2023")</f>
        <v/>
      </c>
      <c r="AC80">
        <f>HYPERLINK("https://klasma.github.io/Logging_1315/tillsyn/S 3891-2023 tillsynsbegäran.docx", "S 3891-2023")</f>
        <v/>
      </c>
      <c r="AD80">
        <f>HYPERLINK("https://klasma.github.io/Logging_1315/tillsynsmail/S 3891-2023 tillsynsbegäran mail.docx", "S 3891-2023")</f>
        <v/>
      </c>
    </row>
    <row r="81" ht="15" customHeight="1">
      <c r="A81" t="inlineStr">
        <is>
          <t>S 907-2025</t>
        </is>
      </c>
      <c r="B81" t="inlineStr">
        <is>
          <t>samrådsanmälan</t>
        </is>
      </c>
      <c r="C81" t="inlineStr">
        <is>
          <t>Annan skogsbruksåtgärd</t>
        </is>
      </c>
      <c r="D81" s="1" t="n">
        <v>45737</v>
      </c>
      <c r="E81" s="1" t="n">
        <v>46315</v>
      </c>
      <c r="F81" t="inlineStr">
        <is>
          <t>HALLANDS LÄN</t>
        </is>
      </c>
      <c r="G81" t="inlineStr">
        <is>
          <t>HYLTE</t>
        </is>
      </c>
      <c r="I81" t="n">
        <v>0.7</v>
      </c>
      <c r="J81" t="n">
        <v>0</v>
      </c>
      <c r="K81" t="n">
        <v>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3</v>
      </c>
      <c r="T81" t="n">
        <v>4</v>
      </c>
      <c r="U81" t="n">
        <v>0</v>
      </c>
      <c r="V81" s="2" t="inlineStr">
        <is>
          <t>Ask
Fällmossa
Lönnlav</t>
        </is>
      </c>
      <c r="W81">
        <f>HYPERLINK("https://klasma.github.io/Logging_1315/artfynd/S 907-2025 artfynd.xlsx", "S 907-2025")</f>
        <v/>
      </c>
      <c r="X81">
        <f>HYPERLINK("https://klasma.github.io/Logging_1315/kartor/S 907-2025 karta.png", "S 907-2025")</f>
        <v/>
      </c>
      <c r="Y81">
        <f>HYPERLINK("https://klasma.github.io/Logging_1315/kartor_geotiff/S 907-2025 georefererad karta.tif", "S 907-2025")</f>
        <v/>
      </c>
      <c r="AA81">
        <f>HYPERLINK("https://klasma.github.io/Logging_1315/klagomål/S 907-2025 FSC-klagomål.docx", "S 907-2025")</f>
        <v/>
      </c>
      <c r="AB81">
        <f>HYPERLINK("https://klasma.github.io/Logging_1315/klagomålsmail/S 907-2025 FSC-klagomål mail.docx", "S 907-2025")</f>
        <v/>
      </c>
      <c r="AC81">
        <f>HYPERLINK("https://klasma.github.io/Logging_1315/tillsyn/S 907-2025 tillsynsbegäran.docx", "S 907-2025")</f>
        <v/>
      </c>
      <c r="AD81">
        <f>HYPERLINK("https://klasma.github.io/Logging_1315/tillsynsmail/S 907-2025 tillsynsbegäran mail.docx", "S 907-2025")</f>
        <v/>
      </c>
    </row>
    <row r="82" ht="15" customHeight="1">
      <c r="A82" t="inlineStr">
        <is>
          <t>S 890-2025</t>
        </is>
      </c>
      <c r="B82" t="inlineStr">
        <is>
          <t>samrådsanmälan</t>
        </is>
      </c>
      <c r="C82" t="inlineStr">
        <is>
          <t>Askåterföring</t>
        </is>
      </c>
      <c r="D82" s="1" t="n">
        <v>45735</v>
      </c>
      <c r="E82" s="1" t="n">
        <v>46315</v>
      </c>
      <c r="F82" t="inlineStr">
        <is>
          <t>HALLANDS LÄN</t>
        </is>
      </c>
      <c r="G82" t="inlineStr">
        <is>
          <t>LAHOLM</t>
        </is>
      </c>
      <c r="I82" t="n">
        <v>26.8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3</v>
      </c>
      <c r="U82" t="n">
        <v>0</v>
      </c>
      <c r="V82" s="2" t="inlineStr">
        <is>
          <t>Fällmossa
Guldlockmossa
Safsa</t>
        </is>
      </c>
      <c r="W82">
        <f>HYPERLINK("https://klasma.github.io/Logging_1381/artfynd/S 890-2025 artfynd.xlsx", "S 890-2025")</f>
        <v/>
      </c>
      <c r="X82">
        <f>HYPERLINK("https://klasma.github.io/Logging_1381/kartor/S 890-2025 karta.png", "S 890-2025")</f>
        <v/>
      </c>
      <c r="Y82">
        <f>HYPERLINK("https://klasma.github.io/Logging_1381/kartor_geotiff/S 890-2025 georefererad karta.tif", "S 890-2025")</f>
        <v/>
      </c>
      <c r="AA82">
        <f>HYPERLINK("https://klasma.github.io/Logging_1381/klagomål/S 890-2025 FSC-klagomål.docx", "S 890-2025")</f>
        <v/>
      </c>
      <c r="AB82">
        <f>HYPERLINK("https://klasma.github.io/Logging_1381/klagomålsmail/S 890-2025 FSC-klagomål mail.docx", "S 890-2025")</f>
        <v/>
      </c>
      <c r="AC82">
        <f>HYPERLINK("https://klasma.github.io/Logging_1381/tillsyn/S 890-2025 tillsynsbegäran.docx", "S 890-2025")</f>
        <v/>
      </c>
      <c r="AD82">
        <f>HYPERLINK("https://klasma.github.io/Logging_1381/tillsynsmail/S 890-2025 tillsynsbegäran mail.docx", "S 890-2025")</f>
        <v/>
      </c>
    </row>
    <row r="83" ht="15" customHeight="1">
      <c r="A83" t="inlineStr">
        <is>
          <t>S 1220-2026</t>
        </is>
      </c>
      <c r="B83" t="inlineStr">
        <is>
          <t>samrådsanmälan</t>
        </is>
      </c>
      <c r="C83" t="inlineStr">
        <is>
          <t>Askåterföring</t>
        </is>
      </c>
      <c r="D83" s="1" t="n">
        <v>46141</v>
      </c>
      <c r="E83" s="1" t="n">
        <v>46315</v>
      </c>
      <c r="F83" t="inlineStr">
        <is>
          <t>HALLANDS LÄN</t>
        </is>
      </c>
      <c r="G83" t="inlineStr">
        <is>
          <t>HYLTE</t>
        </is>
      </c>
      <c r="I83" t="n">
        <v>30.8</v>
      </c>
      <c r="J83" t="n">
        <v>2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</v>
      </c>
      <c r="T83" t="n">
        <v>3</v>
      </c>
      <c r="U83" t="n">
        <v>0</v>
      </c>
      <c r="V83" s="2" t="inlineStr">
        <is>
          <t>Kambräken
Korallrot
Spindelblomster</t>
        </is>
      </c>
      <c r="W83">
        <f>HYPERLINK("https://klasma.github.io/Logging_1315/artfynd/S 1220-2026 artfynd.xlsx", "S 1220-2026")</f>
        <v/>
      </c>
      <c r="X83">
        <f>HYPERLINK("https://klasma.github.io/Logging_1315/kartor/S 1220-2026 karta.png", "S 1220-2026")</f>
        <v/>
      </c>
      <c r="Y83">
        <f>HYPERLINK("https://klasma.github.io/Logging_1315/kartor_geotiff/S 1220-2026 georefererad karta.tif", "S 1220-2026")</f>
        <v/>
      </c>
      <c r="AA83">
        <f>HYPERLINK("https://klasma.github.io/Logging_1315/klagomål/S 1220-2026 FSC-klagomål.docx", "S 1220-2026")</f>
        <v/>
      </c>
      <c r="AB83">
        <f>HYPERLINK("https://klasma.github.io/Logging_1315/klagomålsmail/S 1220-2026 FSC-klagomål mail.docx", "S 1220-2026")</f>
        <v/>
      </c>
      <c r="AC83">
        <f>HYPERLINK("https://klasma.github.io/Logging_1315/tillsyn/S 1220-2026 tillsynsbegäran.docx", "S 1220-2026")</f>
        <v/>
      </c>
      <c r="AD83">
        <f>HYPERLINK("https://klasma.github.io/Logging_1315/tillsynsmail/S 1220-2026 tillsynsbegäran mail.docx", "S 1220-2026")</f>
        <v/>
      </c>
    </row>
    <row r="84" ht="15" customHeight="1">
      <c r="A84" t="inlineStr">
        <is>
          <t>S 1461-2026</t>
        </is>
      </c>
      <c r="B84" t="inlineStr">
        <is>
          <t>samrådsanmälan</t>
        </is>
      </c>
      <c r="C84" t="inlineStr">
        <is>
          <t>Askåterföring</t>
        </is>
      </c>
      <c r="D84" s="1" t="n">
        <v>46161</v>
      </c>
      <c r="E84" s="1" t="n">
        <v>46315</v>
      </c>
      <c r="F84" t="inlineStr">
        <is>
          <t>HALLANDS LÄN</t>
        </is>
      </c>
      <c r="G84" t="inlineStr">
        <is>
          <t>HYLTE</t>
        </is>
      </c>
      <c r="I84" t="n">
        <v>26.6</v>
      </c>
      <c r="J84" t="n">
        <v>0</v>
      </c>
      <c r="K84" t="n">
        <v>2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3</v>
      </c>
      <c r="T84" t="n">
        <v>3</v>
      </c>
      <c r="U84" t="n">
        <v>0</v>
      </c>
      <c r="V84" s="2" t="inlineStr">
        <is>
          <t>Slåttergubbe
Bårdlav
Dvärgtufs</t>
        </is>
      </c>
      <c r="W84">
        <f>HYPERLINK("https://klasma.github.io/Logging_1315/artfynd/S 1461-2026 artfynd.xlsx", "S 1461-2026")</f>
        <v/>
      </c>
      <c r="X84">
        <f>HYPERLINK("https://klasma.github.io/Logging_1315/kartor/S 1461-2026 karta.png", "S 1461-2026")</f>
        <v/>
      </c>
      <c r="Y84">
        <f>HYPERLINK("https://klasma.github.io/Logging_1315/kartor_geotiff/S 1461-2026 georefererad karta.tif", "S 1461-2026")</f>
        <v/>
      </c>
      <c r="AA84">
        <f>HYPERLINK("https://klasma.github.io/Logging_1315/klagomål/S 1461-2026 FSC-klagomål.docx", "S 1461-2026")</f>
        <v/>
      </c>
      <c r="AB84">
        <f>HYPERLINK("https://klasma.github.io/Logging_1315/klagomålsmail/S 1461-2026 FSC-klagomål mail.docx", "S 1461-2026")</f>
        <v/>
      </c>
      <c r="AC84">
        <f>HYPERLINK("https://klasma.github.io/Logging_1315/tillsyn/S 1461-2026 tillsynsbegäran.docx", "S 1461-2026")</f>
        <v/>
      </c>
      <c r="AD84">
        <f>HYPERLINK("https://klasma.github.io/Logging_1315/tillsynsmail/S 1461-2026 tillsynsbegäran mail.docx", "S 1461-2026")</f>
        <v/>
      </c>
    </row>
    <row r="85" ht="15" customHeight="1">
      <c r="A85" t="inlineStr">
        <is>
          <t>A 30573-2022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44762</v>
      </c>
      <c r="E85" s="1" t="n">
        <v>46315</v>
      </c>
      <c r="F85" t="inlineStr">
        <is>
          <t>HALLANDS LÄN</t>
        </is>
      </c>
      <c r="G85" t="inlineStr">
        <is>
          <t>VARBERG</t>
        </is>
      </c>
      <c r="I85" t="n">
        <v>4.2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  <c r="U85" t="n">
        <v>0</v>
      </c>
      <c r="V85" s="2" t="inlineStr">
        <is>
          <t>Dvärghäxört
Kambräken</t>
        </is>
      </c>
      <c r="W85">
        <f>HYPERLINK("https://klasma.github.io/Logging_1383/artfynd/A 30573-2022 artfynd.xlsx", "A 30573-2022")</f>
        <v/>
      </c>
      <c r="X85">
        <f>HYPERLINK("https://klasma.github.io/Logging_1383/kartor/A 30573-2022 karta.png", "A 30573-2022")</f>
        <v/>
      </c>
      <c r="Y85">
        <f>HYPERLINK("https://klasma.github.io/Logging_1383/kartor_geotiff/A 30573-2022 georefererad karta.tif", "A 30573-2022")</f>
        <v/>
      </c>
      <c r="AA85">
        <f>HYPERLINK("https://klasma.github.io/Logging_1383/klagomål/A 30573-2022 FSC-klagomål.docx", "A 30573-2022")</f>
        <v/>
      </c>
      <c r="AB85">
        <f>HYPERLINK("https://klasma.github.io/Logging_1383/klagomålsmail/A 30573-2022 FSC-klagomål mail.docx", "A 30573-2022")</f>
        <v/>
      </c>
      <c r="AC85">
        <f>HYPERLINK("https://klasma.github.io/Logging_1383/tillsyn/A 30573-2022 tillsynsbegäran.docx", "A 30573-2022")</f>
        <v/>
      </c>
      <c r="AD85">
        <f>HYPERLINK("https://klasma.github.io/Logging_1383/tillsynsmail/A 30573-2022 tillsynsbegäran mail.docx", "A 30573-2022")</f>
        <v/>
      </c>
    </row>
    <row r="86" ht="15" customHeight="1">
      <c r="A86" t="inlineStr">
        <is>
          <t>A 5512-2022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44595</v>
      </c>
      <c r="E86" s="1" t="n">
        <v>46315</v>
      </c>
      <c r="F86" t="inlineStr">
        <is>
          <t>HALLANDS LÄN</t>
        </is>
      </c>
      <c r="G86" t="inlineStr">
        <is>
          <t>HALMSTAD</t>
        </is>
      </c>
      <c r="I86" t="n">
        <v>3.1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2</v>
      </c>
      <c r="U86" t="n">
        <v>2</v>
      </c>
      <c r="V86" s="2" t="inlineStr">
        <is>
          <t>Blåmossa
Spillkråka</t>
        </is>
      </c>
      <c r="W86">
        <f>HYPERLINK("https://klasma.github.io/Logging_1380/artfynd/A 5512-2022 artfynd.xlsx", "A 5512-2022")</f>
        <v/>
      </c>
      <c r="X86">
        <f>HYPERLINK("https://klasma.github.io/Logging_1380/kartor/A 5512-2022 karta.png", "A 5512-2022")</f>
        <v/>
      </c>
      <c r="Y86">
        <f>HYPERLINK("https://klasma.github.io/Logging_1380/kartor_geotiff/A 5512-2022 georefererad karta.tif", "A 5512-2022")</f>
        <v/>
      </c>
      <c r="AA86">
        <f>HYPERLINK("https://klasma.github.io/Logging_1380/klagomål/A 5512-2022 FSC-klagomål.docx", "A 5512-2022")</f>
        <v/>
      </c>
      <c r="AB86">
        <f>HYPERLINK("https://klasma.github.io/Logging_1380/klagomålsmail/A 5512-2022 FSC-klagomål mail.docx", "A 5512-2022")</f>
        <v/>
      </c>
      <c r="AC86">
        <f>HYPERLINK("https://klasma.github.io/Logging_1380/tillsyn/A 5512-2022 tillsynsbegäran.docx", "A 5512-2022")</f>
        <v/>
      </c>
      <c r="AD86">
        <f>HYPERLINK("https://klasma.github.io/Logging_1380/tillsynsmail/A 5512-2022 tillsynsbegäran mail.docx", "A 5512-2022")</f>
        <v/>
      </c>
      <c r="AE86">
        <f>HYPERLINK("https://klasma.github.io/Logging_1380/fåglar/A 5512-2022 prioriterade fågelarter.docx", "A 5512-2022")</f>
        <v/>
      </c>
    </row>
    <row r="87" ht="15" customHeight="1">
      <c r="A87" t="inlineStr">
        <is>
          <t>A 31030-2022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44768</v>
      </c>
      <c r="E87" s="1" t="n">
        <v>46315</v>
      </c>
      <c r="F87" t="inlineStr">
        <is>
          <t>HALLANDS LÄN</t>
        </is>
      </c>
      <c r="G87" t="inlineStr">
        <is>
          <t>VARBERG</t>
        </is>
      </c>
      <c r="I87" t="n">
        <v>2.4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Blomkålssvamp
Grovticka</t>
        </is>
      </c>
      <c r="W87">
        <f>HYPERLINK("https://klasma.github.io/Logging_1383/artfynd/A 31030-2022 artfynd.xlsx", "A 31030-2022")</f>
        <v/>
      </c>
      <c r="X87">
        <f>HYPERLINK("https://klasma.github.io/Logging_1383/kartor/A 31030-2022 karta.png", "A 31030-2022")</f>
        <v/>
      </c>
      <c r="Y87">
        <f>HYPERLINK("https://klasma.github.io/Logging_1383/kartor_geotiff/A 31030-2022 georefererad karta.tif", "A 31030-2022")</f>
        <v/>
      </c>
      <c r="AA87">
        <f>HYPERLINK("https://klasma.github.io/Logging_1383/klagomål/A 31030-2022 FSC-klagomål.docx", "A 31030-2022")</f>
        <v/>
      </c>
      <c r="AB87">
        <f>HYPERLINK("https://klasma.github.io/Logging_1383/klagomålsmail/A 31030-2022 FSC-klagomål mail.docx", "A 31030-2022")</f>
        <v/>
      </c>
      <c r="AC87">
        <f>HYPERLINK("https://klasma.github.io/Logging_1383/tillsyn/A 31030-2022 tillsynsbegäran.docx", "A 31030-2022")</f>
        <v/>
      </c>
      <c r="AD87">
        <f>HYPERLINK("https://klasma.github.io/Logging_1383/tillsynsmail/A 31030-2022 tillsynsbegäran mail.docx", "A 31030-2022")</f>
        <v/>
      </c>
    </row>
    <row r="88" ht="15" customHeight="1">
      <c r="A88" t="inlineStr">
        <is>
          <t>A 71006-2021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44538</v>
      </c>
      <c r="E88" s="1" t="n">
        <v>46315</v>
      </c>
      <c r="F88" t="inlineStr">
        <is>
          <t>HALLANDS LÄN</t>
        </is>
      </c>
      <c r="G88" t="inlineStr">
        <is>
          <t>HALMSTAD</t>
        </is>
      </c>
      <c r="H88" t="inlineStr">
        <is>
          <t>Bergvik skog väst AB</t>
        </is>
      </c>
      <c r="I88" t="n">
        <v>11.1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2</v>
      </c>
      <c r="T88" t="n">
        <v>3</v>
      </c>
      <c r="U88" t="n">
        <v>3</v>
      </c>
      <c r="V88" s="2" t="inlineStr">
        <is>
          <t>Hårginst
Trädlärka</t>
        </is>
      </c>
      <c r="W88">
        <f>HYPERLINK("https://klasma.github.io/Logging_1380/artfynd/A 71006-2021 artfynd.xlsx", "A 71006-2021")</f>
        <v/>
      </c>
      <c r="X88">
        <f>HYPERLINK("https://klasma.github.io/Logging_1380/kartor/A 71006-2021 karta.png", "A 71006-2021")</f>
        <v/>
      </c>
      <c r="Y88">
        <f>HYPERLINK("https://klasma.github.io/Logging_1380/kartor_geotiff/A 71006-2021 georefererad karta.tif", "A 71006-2021")</f>
        <v/>
      </c>
      <c r="AA88">
        <f>HYPERLINK("https://klasma.github.io/Logging_1380/klagomål/A 71006-2021 FSC-klagomål.docx", "A 71006-2021")</f>
        <v/>
      </c>
      <c r="AB88">
        <f>HYPERLINK("https://klasma.github.io/Logging_1380/klagomålsmail/A 71006-2021 FSC-klagomål mail.docx", "A 71006-2021")</f>
        <v/>
      </c>
      <c r="AC88">
        <f>HYPERLINK("https://klasma.github.io/Logging_1380/tillsyn/A 71006-2021 tillsynsbegäran.docx", "A 71006-2021")</f>
        <v/>
      </c>
      <c r="AD88">
        <f>HYPERLINK("https://klasma.github.io/Logging_1380/tillsynsmail/A 71006-2021 tillsynsbegäran mail.docx", "A 71006-2021")</f>
        <v/>
      </c>
      <c r="AE88">
        <f>HYPERLINK("https://klasma.github.io/Logging_1380/fåglar/A 71006-2021 prioriterade fågelarter.docx", "A 71006-2021")</f>
        <v/>
      </c>
    </row>
    <row r="89" ht="15" customHeight="1">
      <c r="A89" t="inlineStr">
        <is>
          <t>A 44134-2022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44839</v>
      </c>
      <c r="E89" s="1" t="n">
        <v>46315</v>
      </c>
      <c r="F89" t="inlineStr">
        <is>
          <t>HALLANDS LÄN</t>
        </is>
      </c>
      <c r="G89" t="inlineStr">
        <is>
          <t>HYLTE</t>
        </is>
      </c>
      <c r="I89" t="n">
        <v>0.8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2</v>
      </c>
      <c r="T89" t="n">
        <v>2</v>
      </c>
      <c r="U89" t="n">
        <v>2</v>
      </c>
      <c r="V89" s="2" t="inlineStr">
        <is>
          <t>Talltita
Kungsfågel</t>
        </is>
      </c>
      <c r="W89">
        <f>HYPERLINK("https://klasma.github.io/Logging_1315/artfynd/A 44134-2022 artfynd.xlsx", "A 44134-2022")</f>
        <v/>
      </c>
      <c r="X89">
        <f>HYPERLINK("https://klasma.github.io/Logging_1315/kartor/A 44134-2022 karta.png", "A 44134-2022")</f>
        <v/>
      </c>
      <c r="Y89">
        <f>HYPERLINK("https://klasma.github.io/Logging_1315/kartor_geotiff/A 44134-2022 georefererad karta.tif", "A 44134-2022")</f>
        <v/>
      </c>
      <c r="AA89">
        <f>HYPERLINK("https://klasma.github.io/Logging_1315/klagomål/A 44134-2022 FSC-klagomål.docx", "A 44134-2022")</f>
        <v/>
      </c>
      <c r="AB89">
        <f>HYPERLINK("https://klasma.github.io/Logging_1315/klagomålsmail/A 44134-2022 FSC-klagomål mail.docx", "A 44134-2022")</f>
        <v/>
      </c>
      <c r="AC89">
        <f>HYPERLINK("https://klasma.github.io/Logging_1315/tillsyn/A 44134-2022 tillsynsbegäran.docx", "A 44134-2022")</f>
        <v/>
      </c>
      <c r="AD89">
        <f>HYPERLINK("https://klasma.github.io/Logging_1315/tillsynsmail/A 44134-2022 tillsynsbegäran mail.docx", "A 44134-2022")</f>
        <v/>
      </c>
      <c r="AE89">
        <f>HYPERLINK("https://klasma.github.io/Logging_1315/fåglar/A 44134-2022 prioriterade fågelarter.docx", "A 44134-2022")</f>
        <v/>
      </c>
    </row>
    <row r="90" ht="15" customHeight="1">
      <c r="A90" t="inlineStr">
        <is>
          <t>A 70738-2021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44537</v>
      </c>
      <c r="E90" s="1" t="n">
        <v>46315</v>
      </c>
      <c r="F90" t="inlineStr">
        <is>
          <t>HALLANDS LÄN</t>
        </is>
      </c>
      <c r="G90" t="inlineStr">
        <is>
          <t>HALMSTAD</t>
        </is>
      </c>
      <c r="H90" t="inlineStr">
        <is>
          <t>Kyrkan</t>
        </is>
      </c>
      <c r="I90" t="n">
        <v>2.4</v>
      </c>
      <c r="J90" t="n">
        <v>1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2</v>
      </c>
      <c r="T90" t="n">
        <v>2</v>
      </c>
      <c r="U90" t="n">
        <v>2</v>
      </c>
      <c r="V90" s="2" t="inlineStr">
        <is>
          <t>Entita
Hårginst</t>
        </is>
      </c>
      <c r="W90">
        <f>HYPERLINK("https://klasma.github.io/Logging_1380/artfynd/A 70738-2021 artfynd.xlsx", "A 70738-2021")</f>
        <v/>
      </c>
      <c r="X90">
        <f>HYPERLINK("https://klasma.github.io/Logging_1380/kartor/A 70738-2021 karta.png", "A 70738-2021")</f>
        <v/>
      </c>
      <c r="Y90">
        <f>HYPERLINK("https://klasma.github.io/Logging_1380/kartor_geotiff/A 70738-2021 georefererad karta.tif", "A 70738-2021")</f>
        <v/>
      </c>
      <c r="AA90">
        <f>HYPERLINK("https://klasma.github.io/Logging_1380/klagomål/A 70738-2021 FSC-klagomål.docx", "A 70738-2021")</f>
        <v/>
      </c>
      <c r="AB90">
        <f>HYPERLINK("https://klasma.github.io/Logging_1380/klagomålsmail/A 70738-2021 FSC-klagomål mail.docx", "A 70738-2021")</f>
        <v/>
      </c>
      <c r="AC90">
        <f>HYPERLINK("https://klasma.github.io/Logging_1380/tillsyn/A 70738-2021 tillsynsbegäran.docx", "A 70738-2021")</f>
        <v/>
      </c>
      <c r="AD90">
        <f>HYPERLINK("https://klasma.github.io/Logging_1380/tillsynsmail/A 70738-2021 tillsynsbegäran mail.docx", "A 70738-2021")</f>
        <v/>
      </c>
      <c r="AE90">
        <f>HYPERLINK("https://klasma.github.io/Logging_1380/fåglar/A 70738-2021 prioriterade fågelarter.docx", "A 70738-2021")</f>
        <v/>
      </c>
    </row>
    <row r="91" ht="15" customHeight="1">
      <c r="A91" t="inlineStr">
        <is>
          <t>A 5758-2024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45335</v>
      </c>
      <c r="E91" s="1" t="n">
        <v>46315</v>
      </c>
      <c r="F91" t="inlineStr">
        <is>
          <t>HALLANDS LÄN</t>
        </is>
      </c>
      <c r="G91" t="inlineStr">
        <is>
          <t>FALKENBERG</t>
        </is>
      </c>
      <c r="H91" t="inlineStr">
        <is>
          <t>Kyrkan</t>
        </is>
      </c>
      <c r="I91" t="n">
        <v>5.4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0</v>
      </c>
      <c r="V91" s="2" t="inlineStr">
        <is>
          <t>Gulnål
Platt fjädermossa</t>
        </is>
      </c>
      <c r="W91">
        <f>HYPERLINK("https://klasma.github.io/Logging_1382/artfynd/A 5758-2024 artfynd.xlsx", "A 5758-2024")</f>
        <v/>
      </c>
      <c r="X91">
        <f>HYPERLINK("https://klasma.github.io/Logging_1382/kartor/A 5758-2024 karta.png", "A 5758-2024")</f>
        <v/>
      </c>
      <c r="Y91">
        <f>HYPERLINK("https://klasma.github.io/Logging_1382/kartor_geotiff/A 5758-2024 georefererad karta.tif", "A 5758-2024")</f>
        <v/>
      </c>
      <c r="AA91">
        <f>HYPERLINK("https://klasma.github.io/Logging_1382/klagomål/A 5758-2024 FSC-klagomål.docx", "A 5758-2024")</f>
        <v/>
      </c>
      <c r="AB91">
        <f>HYPERLINK("https://klasma.github.io/Logging_1382/klagomålsmail/A 5758-2024 FSC-klagomål mail.docx", "A 5758-2024")</f>
        <v/>
      </c>
      <c r="AC91">
        <f>HYPERLINK("https://klasma.github.io/Logging_1382/tillsyn/A 5758-2024 tillsynsbegäran.docx", "A 5758-2024")</f>
        <v/>
      </c>
      <c r="AD91">
        <f>HYPERLINK("https://klasma.github.io/Logging_1382/tillsynsmail/A 5758-2024 tillsynsbegäran mail.docx", "A 5758-2024")</f>
        <v/>
      </c>
    </row>
    <row r="92" ht="15" customHeight="1">
      <c r="A92" t="inlineStr">
        <is>
          <t>A 27474-2023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45093</v>
      </c>
      <c r="E92" s="1" t="n">
        <v>46315</v>
      </c>
      <c r="F92" t="inlineStr">
        <is>
          <t>HALLANDS LÄN</t>
        </is>
      </c>
      <c r="G92" t="inlineStr">
        <is>
          <t>VARBERG</t>
        </is>
      </c>
      <c r="I92" t="n">
        <v>3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2</v>
      </c>
      <c r="U92" t="n">
        <v>2</v>
      </c>
      <c r="V92" s="2" t="inlineStr">
        <is>
          <t>Björksplintborre
Jättesvampmal</t>
        </is>
      </c>
      <c r="W92">
        <f>HYPERLINK("https://klasma.github.io/Logging_1383/artfynd/A 27474-2023 artfynd.xlsx", "A 27474-2023")</f>
        <v/>
      </c>
      <c r="X92">
        <f>HYPERLINK("https://klasma.github.io/Logging_1383/kartor/A 27474-2023 karta.png", "A 27474-2023")</f>
        <v/>
      </c>
      <c r="Y92">
        <f>HYPERLINK("https://klasma.github.io/Logging_1383/kartor_geotiff/A 27474-2023 georefererad karta.tif", "A 27474-2023")</f>
        <v/>
      </c>
      <c r="AA92">
        <f>HYPERLINK("https://klasma.github.io/Logging_1383/klagomål/A 27474-2023 FSC-klagomål.docx", "A 27474-2023")</f>
        <v/>
      </c>
      <c r="AB92">
        <f>HYPERLINK("https://klasma.github.io/Logging_1383/klagomålsmail/A 27474-2023 FSC-klagomål mail.docx", "A 27474-2023")</f>
        <v/>
      </c>
      <c r="AC92">
        <f>HYPERLINK("https://klasma.github.io/Logging_1383/tillsyn/A 27474-2023 tillsynsbegäran.docx", "A 27474-2023")</f>
        <v/>
      </c>
      <c r="AD92">
        <f>HYPERLINK("https://klasma.github.io/Logging_1383/tillsynsmail/A 27474-2023 tillsynsbegäran mail.docx", "A 27474-2023")</f>
        <v/>
      </c>
    </row>
    <row r="93" ht="15" customHeight="1">
      <c r="A93" t="inlineStr">
        <is>
          <t>A 45733-2022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44846</v>
      </c>
      <c r="E93" s="1" t="n">
        <v>46315</v>
      </c>
      <c r="F93" t="inlineStr">
        <is>
          <t>HALLANDS LÄN</t>
        </is>
      </c>
      <c r="G93" t="inlineStr">
        <is>
          <t>LAHOLM</t>
        </is>
      </c>
      <c r="I93" t="n">
        <v>0.9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2</v>
      </c>
      <c r="T93" t="n">
        <v>2</v>
      </c>
      <c r="U93" t="n">
        <v>0</v>
      </c>
      <c r="V93" s="2" t="inlineStr">
        <is>
          <t>Bokvårtlav
Platt fjädermossa</t>
        </is>
      </c>
      <c r="W93">
        <f>HYPERLINK("https://klasma.github.io/Logging_1381/artfynd/A 45733-2022 artfynd.xlsx", "A 45733-2022")</f>
        <v/>
      </c>
      <c r="X93">
        <f>HYPERLINK("https://klasma.github.io/Logging_1381/kartor/A 45733-2022 karta.png", "A 45733-2022")</f>
        <v/>
      </c>
      <c r="Y93">
        <f>HYPERLINK("https://klasma.github.io/Logging_1381/kartor_geotiff/A 45733-2022 georefererad karta.tif", "A 45733-2022")</f>
        <v/>
      </c>
      <c r="AA93">
        <f>HYPERLINK("https://klasma.github.io/Logging_1381/klagomål/A 45733-2022 FSC-klagomål.docx", "A 45733-2022")</f>
        <v/>
      </c>
      <c r="AB93">
        <f>HYPERLINK("https://klasma.github.io/Logging_1381/klagomålsmail/A 45733-2022 FSC-klagomål mail.docx", "A 45733-2022")</f>
        <v/>
      </c>
      <c r="AC93">
        <f>HYPERLINK("https://klasma.github.io/Logging_1381/tillsyn/A 45733-2022 tillsynsbegäran.docx", "A 45733-2022")</f>
        <v/>
      </c>
      <c r="AD93">
        <f>HYPERLINK("https://klasma.github.io/Logging_1381/tillsynsmail/A 45733-2022 tillsynsbegäran mail.docx", "A 45733-2022")</f>
        <v/>
      </c>
    </row>
    <row r="94" ht="15" customHeight="1">
      <c r="A94" t="inlineStr">
        <is>
          <t>A 61519-2023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45265</v>
      </c>
      <c r="E94" s="1" t="n">
        <v>46315</v>
      </c>
      <c r="F94" t="inlineStr">
        <is>
          <t>HALLANDS LÄN</t>
        </is>
      </c>
      <c r="G94" t="inlineStr">
        <is>
          <t>LAHOLM</t>
        </is>
      </c>
      <c r="H94" t="inlineStr">
        <is>
          <t>Sveaskog</t>
        </is>
      </c>
      <c r="I94" t="n">
        <v>15.9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2</v>
      </c>
      <c r="U94" t="n">
        <v>1</v>
      </c>
      <c r="V94" s="2" t="inlineStr">
        <is>
          <t>Spillkråka
Kungsfågel</t>
        </is>
      </c>
      <c r="W94">
        <f>HYPERLINK("https://klasma.github.io/Logging_1381/artfynd/A 61519-2023 artfynd.xlsx", "A 61519-2023")</f>
        <v/>
      </c>
      <c r="X94">
        <f>HYPERLINK("https://klasma.github.io/Logging_1381/kartor/A 61519-2023 karta.png", "A 61519-2023")</f>
        <v/>
      </c>
      <c r="Y94">
        <f>HYPERLINK("https://klasma.github.io/Logging_1381/kartor_geotiff/A 61519-2023 georefererad karta.tif", "A 61519-2023")</f>
        <v/>
      </c>
      <c r="AA94">
        <f>HYPERLINK("https://klasma.github.io/Logging_1381/klagomål/A 61519-2023 FSC-klagomål.docx", "A 61519-2023")</f>
        <v/>
      </c>
      <c r="AB94">
        <f>HYPERLINK("https://klasma.github.io/Logging_1381/klagomålsmail/A 61519-2023 FSC-klagomål mail.docx", "A 61519-2023")</f>
        <v/>
      </c>
      <c r="AC94">
        <f>HYPERLINK("https://klasma.github.io/Logging_1381/tillsyn/A 61519-2023 tillsynsbegäran.docx", "A 61519-2023")</f>
        <v/>
      </c>
      <c r="AD94">
        <f>HYPERLINK("https://klasma.github.io/Logging_1381/tillsynsmail/A 61519-2023 tillsynsbegäran mail.docx", "A 61519-2023")</f>
        <v/>
      </c>
      <c r="AE94">
        <f>HYPERLINK("https://klasma.github.io/Logging_1381/fåglar/A 61519-2023 prioriterade fågelarter.docx", "A 61519-2023")</f>
        <v/>
      </c>
    </row>
    <row r="95" ht="15" customHeight="1">
      <c r="A95" t="inlineStr">
        <is>
          <t>A 33757-2023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45120</v>
      </c>
      <c r="E95" s="1" t="n">
        <v>46315</v>
      </c>
      <c r="F95" t="inlineStr">
        <is>
          <t>HALLANDS LÄN</t>
        </is>
      </c>
      <c r="G95" t="inlineStr">
        <is>
          <t>HALMSTAD</t>
        </is>
      </c>
      <c r="I95" t="n">
        <v>2.2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2</v>
      </c>
      <c r="U95" t="n">
        <v>0</v>
      </c>
      <c r="V95" s="2" t="inlineStr">
        <is>
          <t>Guldlockmossa
Vanlig snok</t>
        </is>
      </c>
      <c r="W95">
        <f>HYPERLINK("https://klasma.github.io/Logging_1380/artfynd/A 33757-2023 artfynd.xlsx", "A 33757-2023")</f>
        <v/>
      </c>
      <c r="X95">
        <f>HYPERLINK("https://klasma.github.io/Logging_1380/kartor/A 33757-2023 karta.png", "A 33757-2023")</f>
        <v/>
      </c>
      <c r="Y95">
        <f>HYPERLINK("https://klasma.github.io/Logging_1380/kartor_geotiff/A 33757-2023 georefererad karta.tif", "A 33757-2023")</f>
        <v/>
      </c>
      <c r="AA95">
        <f>HYPERLINK("https://klasma.github.io/Logging_1380/klagomål/A 33757-2023 FSC-klagomål.docx", "A 33757-2023")</f>
        <v/>
      </c>
      <c r="AB95">
        <f>HYPERLINK("https://klasma.github.io/Logging_1380/klagomålsmail/A 33757-2023 FSC-klagomål mail.docx", "A 33757-2023")</f>
        <v/>
      </c>
      <c r="AC95">
        <f>HYPERLINK("https://klasma.github.io/Logging_1380/tillsyn/A 33757-2023 tillsynsbegäran.docx", "A 33757-2023")</f>
        <v/>
      </c>
      <c r="AD95">
        <f>HYPERLINK("https://klasma.github.io/Logging_1380/tillsynsmail/A 33757-2023 tillsynsbegäran mail.docx", "A 33757-2023")</f>
        <v/>
      </c>
    </row>
    <row r="96" ht="15" customHeight="1">
      <c r="A96" t="inlineStr">
        <is>
          <t>A 13093-2025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45734</v>
      </c>
      <c r="E96" s="1" t="n">
        <v>46315</v>
      </c>
      <c r="F96" t="inlineStr">
        <is>
          <t>HALLANDS LÄN</t>
        </is>
      </c>
      <c r="G96" t="inlineStr">
        <is>
          <t>VARBERG</t>
        </is>
      </c>
      <c r="H96" t="inlineStr">
        <is>
          <t>Kyrkan</t>
        </is>
      </c>
      <c r="I96" t="n">
        <v>1.8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2</v>
      </c>
      <c r="U96" t="n">
        <v>0</v>
      </c>
      <c r="V96" s="2" t="inlineStr">
        <is>
          <t>Stor revmossa
Spillkråka</t>
        </is>
      </c>
      <c r="W96">
        <f>HYPERLINK("https://klasma.github.io/Logging_1383/artfynd/A 13093-2025 artfynd.xlsx", "A 13093-2025")</f>
        <v/>
      </c>
      <c r="X96">
        <f>HYPERLINK("https://klasma.github.io/Logging_1383/kartor/A 13093-2025 karta.png", "A 13093-2025")</f>
        <v/>
      </c>
      <c r="Y96">
        <f>HYPERLINK("https://klasma.github.io/Logging_1383/kartor_geotiff/A 13093-2025 georefererad karta.tif", "A 13093-2025")</f>
        <v/>
      </c>
      <c r="AA96">
        <f>HYPERLINK("https://klasma.github.io/Logging_1383/klagomål/A 13093-2025 FSC-klagomål.docx", "A 13093-2025")</f>
        <v/>
      </c>
      <c r="AB96">
        <f>HYPERLINK("https://klasma.github.io/Logging_1383/klagomålsmail/A 13093-2025 FSC-klagomål mail.docx", "A 13093-2025")</f>
        <v/>
      </c>
      <c r="AC96">
        <f>HYPERLINK("https://klasma.github.io/Logging_1383/tillsyn/A 13093-2025 tillsynsbegäran.docx", "A 13093-2025")</f>
        <v/>
      </c>
      <c r="AD96">
        <f>HYPERLINK("https://klasma.github.io/Logging_1383/tillsynsmail/A 13093-2025 tillsynsbegäran mail.docx", "A 13093-2025")</f>
        <v/>
      </c>
      <c r="AE96">
        <f>HYPERLINK("https://klasma.github.io/Logging_1383/fåglar/A 13093-2025 prioriterade fågelarter.docx", "A 13093-2025")</f>
        <v/>
      </c>
    </row>
    <row r="97" ht="15" customHeight="1">
      <c r="A97" t="inlineStr">
        <is>
          <t>A 9328-2022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44616</v>
      </c>
      <c r="E97" s="1" t="n">
        <v>46315</v>
      </c>
      <c r="F97" t="inlineStr">
        <is>
          <t>HALLANDS LÄN</t>
        </is>
      </c>
      <c r="G97" t="inlineStr">
        <is>
          <t>FALKENBERG</t>
        </is>
      </c>
      <c r="H97" t="inlineStr">
        <is>
          <t>Kommuner</t>
        </is>
      </c>
      <c r="I97" t="n">
        <v>1.2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2</v>
      </c>
      <c r="T97" t="n">
        <v>2</v>
      </c>
      <c r="U97" t="n">
        <v>2</v>
      </c>
      <c r="V97" s="2" t="inlineStr">
        <is>
          <t>Vedlavklubba
Skuggmossa</t>
        </is>
      </c>
      <c r="W97">
        <f>HYPERLINK("https://klasma.github.io/Logging_1382/artfynd/A 9328-2022 artfynd.xlsx", "A 9328-2022")</f>
        <v/>
      </c>
      <c r="X97">
        <f>HYPERLINK("https://klasma.github.io/Logging_1382/kartor/A 9328-2022 karta.png", "A 9328-2022")</f>
        <v/>
      </c>
      <c r="Y97">
        <f>HYPERLINK("https://klasma.github.io/Logging_1382/kartor_geotiff/A 9328-2022 georefererad karta.tif", "A 9328-2022")</f>
        <v/>
      </c>
      <c r="AA97">
        <f>HYPERLINK("https://klasma.github.io/Logging_1382/klagomål/A 9328-2022 FSC-klagomål.docx", "A 9328-2022")</f>
        <v/>
      </c>
      <c r="AB97">
        <f>HYPERLINK("https://klasma.github.io/Logging_1382/klagomålsmail/A 9328-2022 FSC-klagomål mail.docx", "A 9328-2022")</f>
        <v/>
      </c>
      <c r="AC97">
        <f>HYPERLINK("https://klasma.github.io/Logging_1382/tillsyn/A 9328-2022 tillsynsbegäran.docx", "A 9328-2022")</f>
        <v/>
      </c>
      <c r="AD97">
        <f>HYPERLINK("https://klasma.github.io/Logging_1382/tillsynsmail/A 9328-2022 tillsynsbegäran mail.docx", "A 9328-2022")</f>
        <v/>
      </c>
    </row>
    <row r="98" ht="15" customHeight="1">
      <c r="A98" t="inlineStr">
        <is>
          <t>A 23928-2025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45795</v>
      </c>
      <c r="E98" s="1" t="n">
        <v>46315</v>
      </c>
      <c r="F98" t="inlineStr">
        <is>
          <t>HALLANDS LÄN</t>
        </is>
      </c>
      <c r="G98" t="inlineStr">
        <is>
          <t>FALKENBERG</t>
        </is>
      </c>
      <c r="I98" t="n">
        <v>0.7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0</v>
      </c>
      <c r="V98" s="2" t="inlineStr">
        <is>
          <t>Grå skärelav
Rostfläck</t>
        </is>
      </c>
      <c r="W98">
        <f>HYPERLINK("https://klasma.github.io/Logging_1382/artfynd/A 23928-2025 artfynd.xlsx", "A 23928-2025")</f>
        <v/>
      </c>
      <c r="X98">
        <f>HYPERLINK("https://klasma.github.io/Logging_1382/kartor/A 23928-2025 karta.png", "A 23928-2025")</f>
        <v/>
      </c>
      <c r="Y98">
        <f>HYPERLINK("https://klasma.github.io/Logging_1382/kartor_geotiff/A 23928-2025 georefererad karta.tif", "A 23928-2025")</f>
        <v/>
      </c>
      <c r="AA98">
        <f>HYPERLINK("https://klasma.github.io/Logging_1382/klagomål/A 23928-2025 FSC-klagomål.docx", "A 23928-2025")</f>
        <v/>
      </c>
      <c r="AB98">
        <f>HYPERLINK("https://klasma.github.io/Logging_1382/klagomålsmail/A 23928-2025 FSC-klagomål mail.docx", "A 23928-2025")</f>
        <v/>
      </c>
      <c r="AC98">
        <f>HYPERLINK("https://klasma.github.io/Logging_1382/tillsyn/A 23928-2025 tillsynsbegäran.docx", "A 23928-2025")</f>
        <v/>
      </c>
      <c r="AD98">
        <f>HYPERLINK("https://klasma.github.io/Logging_1382/tillsynsmail/A 23928-2025 tillsynsbegäran mail.docx", "A 23928-2025")</f>
        <v/>
      </c>
    </row>
    <row r="99" ht="15" customHeight="1">
      <c r="A99" t="inlineStr">
        <is>
          <t>A 40716-2023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45168</v>
      </c>
      <c r="E99" s="1" t="n">
        <v>46315</v>
      </c>
      <c r="F99" t="inlineStr">
        <is>
          <t>HALLANDS LÄN</t>
        </is>
      </c>
      <c r="G99" t="inlineStr">
        <is>
          <t>HALMSTAD</t>
        </is>
      </c>
      <c r="H99" t="inlineStr">
        <is>
          <t>Kommuner</t>
        </is>
      </c>
      <c r="I99" t="n">
        <v>1.9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1</v>
      </c>
      <c r="V99" s="2" t="inlineStr">
        <is>
          <t>Kambräken
Vanlig groda</t>
        </is>
      </c>
      <c r="W99">
        <f>HYPERLINK("https://klasma.github.io/Logging_1380/artfynd/A 40716-2023 artfynd.xlsx", "A 40716-2023")</f>
        <v/>
      </c>
      <c r="X99">
        <f>HYPERLINK("https://klasma.github.io/Logging_1380/kartor/A 40716-2023 karta.png", "A 40716-2023")</f>
        <v/>
      </c>
      <c r="Y99">
        <f>HYPERLINK("https://klasma.github.io/Logging_1380/kartor_geotiff/A 40716-2023 georefererad karta.tif", "A 40716-2023")</f>
        <v/>
      </c>
      <c r="AA99">
        <f>HYPERLINK("https://klasma.github.io/Logging_1380/klagomål/A 40716-2023 FSC-klagomål.docx", "A 40716-2023")</f>
        <v/>
      </c>
      <c r="AB99">
        <f>HYPERLINK("https://klasma.github.io/Logging_1380/klagomålsmail/A 40716-2023 FSC-klagomål mail.docx", "A 40716-2023")</f>
        <v/>
      </c>
      <c r="AC99">
        <f>HYPERLINK("https://klasma.github.io/Logging_1380/tillsyn/A 40716-2023 tillsynsbegäran.docx", "A 40716-2023")</f>
        <v/>
      </c>
      <c r="AD99">
        <f>HYPERLINK("https://klasma.github.io/Logging_1380/tillsynsmail/A 40716-2023 tillsynsbegäran mail.docx", "A 40716-2023")</f>
        <v/>
      </c>
    </row>
    <row r="100" ht="15" customHeight="1">
      <c r="A100" t="inlineStr">
        <is>
          <t>A 40045-2025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45894</v>
      </c>
      <c r="E100" s="1" t="n">
        <v>46315</v>
      </c>
      <c r="F100" t="inlineStr">
        <is>
          <t>HALLANDS LÄN</t>
        </is>
      </c>
      <c r="G100" t="inlineStr">
        <is>
          <t>HALMSTAD</t>
        </is>
      </c>
      <c r="I100" t="n">
        <v>1.4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0</v>
      </c>
      <c r="V100" s="2" t="inlineStr">
        <is>
          <t>Kambräken
Platt fjädermossa</t>
        </is>
      </c>
      <c r="W100">
        <f>HYPERLINK("https://klasma.github.io/Logging_1380/artfynd/A 40045-2025 artfynd.xlsx", "A 40045-2025")</f>
        <v/>
      </c>
      <c r="X100">
        <f>HYPERLINK("https://klasma.github.io/Logging_1380/kartor/A 40045-2025 karta.png", "A 40045-2025")</f>
        <v/>
      </c>
      <c r="Y100">
        <f>HYPERLINK("https://klasma.github.io/Logging_1380/kartor_geotiff/A 40045-2025 georefererad karta.tif", "A 40045-2025")</f>
        <v/>
      </c>
      <c r="AA100">
        <f>HYPERLINK("https://klasma.github.io/Logging_1380/klagomål/A 40045-2025 FSC-klagomål.docx", "A 40045-2025")</f>
        <v/>
      </c>
      <c r="AB100">
        <f>HYPERLINK("https://klasma.github.io/Logging_1380/klagomålsmail/A 40045-2025 FSC-klagomål mail.docx", "A 40045-2025")</f>
        <v/>
      </c>
      <c r="AC100">
        <f>HYPERLINK("https://klasma.github.io/Logging_1380/tillsyn/A 40045-2025 tillsynsbegäran.docx", "A 40045-2025")</f>
        <v/>
      </c>
      <c r="AD100">
        <f>HYPERLINK("https://klasma.github.io/Logging_1380/tillsynsmail/A 40045-2025 tillsynsbegäran mail.docx", "A 40045-2025")</f>
        <v/>
      </c>
    </row>
    <row r="101" ht="15" customHeight="1">
      <c r="A101" t="inlineStr">
        <is>
          <t>A 25250-2026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46175</v>
      </c>
      <c r="E101" s="1" t="n">
        <v>46315</v>
      </c>
      <c r="F101" t="inlineStr">
        <is>
          <t>HALLANDS LÄN</t>
        </is>
      </c>
      <c r="G101" t="inlineStr">
        <is>
          <t>HALMSTAD</t>
        </is>
      </c>
      <c r="I101" t="n">
        <v>3.6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2</v>
      </c>
      <c r="T101" t="n">
        <v>2</v>
      </c>
      <c r="U101" t="n">
        <v>0</v>
      </c>
      <c r="V101" s="2" t="inlineStr">
        <is>
          <t>Skogsalm
Tibast</t>
        </is>
      </c>
      <c r="W101">
        <f>HYPERLINK("https://klasma.github.io/Logging_1380/artfynd/A 25250-2026 artfynd.xlsx", "A 25250-2026")</f>
        <v/>
      </c>
      <c r="X101">
        <f>HYPERLINK("https://klasma.github.io/Logging_1380/kartor/A 25250-2026 karta.png", "A 25250-2026")</f>
        <v/>
      </c>
      <c r="Y101">
        <f>HYPERLINK("https://klasma.github.io/Logging_1380/kartor_geotiff/A 25250-2026 georefererad karta.tif", "A 25250-2026")</f>
        <v/>
      </c>
      <c r="AA101">
        <f>HYPERLINK("https://klasma.github.io/Logging_1380/klagomål/A 25250-2026 FSC-klagomål.docx", "A 25250-2026")</f>
        <v/>
      </c>
      <c r="AB101">
        <f>HYPERLINK("https://klasma.github.io/Logging_1380/klagomålsmail/A 25250-2026 FSC-klagomål mail.docx", "A 25250-2026")</f>
        <v/>
      </c>
      <c r="AC101">
        <f>HYPERLINK("https://klasma.github.io/Logging_1380/tillsyn/A 25250-2026 tillsynsbegäran.docx", "A 25250-2026")</f>
        <v/>
      </c>
      <c r="AD101">
        <f>HYPERLINK("https://klasma.github.io/Logging_1380/tillsynsmail/A 25250-2026 tillsynsbegäran mail.docx", "A 25250-2026")</f>
        <v/>
      </c>
    </row>
    <row r="102" ht="15" customHeight="1">
      <c r="A102" t="inlineStr">
        <is>
          <t>A 2784-2026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46038</v>
      </c>
      <c r="E102" s="1" t="n">
        <v>46315</v>
      </c>
      <c r="F102" t="inlineStr">
        <is>
          <t>HALLANDS LÄN</t>
        </is>
      </c>
      <c r="G102" t="inlineStr">
        <is>
          <t>LAHOLM</t>
        </is>
      </c>
      <c r="I102" t="n">
        <v>4.1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2</v>
      </c>
      <c r="T102" t="n">
        <v>6</v>
      </c>
      <c r="U102" t="n">
        <v>0</v>
      </c>
      <c r="V102" s="2" t="inlineStr">
        <is>
          <t>Slåttergubbe
Nattviol</t>
        </is>
      </c>
      <c r="W102">
        <f>HYPERLINK("https://klasma.github.io/Logging_1381/artfynd/A 2784-2026 artfynd.xlsx", "A 2784-2026")</f>
        <v/>
      </c>
      <c r="X102">
        <f>HYPERLINK("https://klasma.github.io/Logging_1381/kartor/A 2784-2026 karta.png", "A 2784-2026")</f>
        <v/>
      </c>
      <c r="Y102">
        <f>HYPERLINK("https://klasma.github.io/Logging_1381/kartor_geotiff/A 2784-2026 georefererad karta.tif", "A 2784-2026")</f>
        <v/>
      </c>
      <c r="AA102">
        <f>HYPERLINK("https://klasma.github.io/Logging_1381/klagomål/A 2784-2026 FSC-klagomål.docx", "A 2784-2026")</f>
        <v/>
      </c>
      <c r="AB102">
        <f>HYPERLINK("https://klasma.github.io/Logging_1381/klagomålsmail/A 2784-2026 FSC-klagomål mail.docx", "A 2784-2026")</f>
        <v/>
      </c>
      <c r="AC102">
        <f>HYPERLINK("https://klasma.github.io/Logging_1381/tillsyn/A 2784-2026 tillsynsbegäran.docx", "A 2784-2026")</f>
        <v/>
      </c>
      <c r="AD102">
        <f>HYPERLINK("https://klasma.github.io/Logging_1381/tillsynsmail/A 2784-2026 tillsynsbegäran mail.docx", "A 2784-2026")</f>
        <v/>
      </c>
    </row>
    <row r="103" ht="15" customHeight="1">
      <c r="A103" t="inlineStr">
        <is>
          <t>A 2767-2026</t>
        </is>
      </c>
      <c r="B103" t="inlineStr">
        <is>
          <t>avverkningsanmälan</t>
        </is>
      </c>
      <c r="C103" t="inlineStr">
        <is>
          <t>Avverkning för annat ändamål</t>
        </is>
      </c>
      <c r="D103" s="1" t="n">
        <v>46038</v>
      </c>
      <c r="E103" s="1" t="n">
        <v>46315</v>
      </c>
      <c r="F103" t="inlineStr">
        <is>
          <t>HALLANDS LÄN</t>
        </is>
      </c>
      <c r="G103" t="inlineStr">
        <is>
          <t>LAHOLM</t>
        </is>
      </c>
      <c r="I103" t="n">
        <v>3.3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1</v>
      </c>
      <c r="S103" t="n">
        <v>2</v>
      </c>
      <c r="T103" t="n">
        <v>7</v>
      </c>
      <c r="U103" t="n">
        <v>0</v>
      </c>
      <c r="V103" s="2" t="inlineStr">
        <is>
          <t>Slåttergubbe
Svarttandad maskros</t>
        </is>
      </c>
      <c r="W103">
        <f>HYPERLINK("https://klasma.github.io/Logging_1381/artfynd/A 2767-2026 artfynd.xlsx", "A 2767-2026")</f>
        <v/>
      </c>
      <c r="X103">
        <f>HYPERLINK("https://klasma.github.io/Logging_1381/kartor/A 2767-2026 karta.png", "A 2767-2026")</f>
        <v/>
      </c>
      <c r="Y103">
        <f>HYPERLINK("https://klasma.github.io/Logging_1381/kartor_geotiff/A 2767-2026 georefererad karta.tif", "A 2767-2026")</f>
        <v/>
      </c>
      <c r="AA103">
        <f>HYPERLINK("https://klasma.github.io/Logging_1381/klagomål/A 2767-2026 FSC-klagomål.docx", "A 2767-2026")</f>
        <v/>
      </c>
      <c r="AB103">
        <f>HYPERLINK("https://klasma.github.io/Logging_1381/klagomålsmail/A 2767-2026 FSC-klagomål mail.docx", "A 2767-2026")</f>
        <v/>
      </c>
      <c r="AC103">
        <f>HYPERLINK("https://klasma.github.io/Logging_1381/tillsyn/A 2767-2026 tillsynsbegäran.docx", "A 2767-2026")</f>
        <v/>
      </c>
      <c r="AD103">
        <f>HYPERLINK("https://klasma.github.io/Logging_1381/tillsynsmail/A 2767-2026 tillsynsbegäran mail.docx", "A 2767-2026")</f>
        <v/>
      </c>
    </row>
    <row r="104" ht="15" customHeight="1">
      <c r="A104" t="inlineStr">
        <is>
          <t>A 5027-2026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46048</v>
      </c>
      <c r="E104" s="1" t="n">
        <v>46315</v>
      </c>
      <c r="F104" t="inlineStr">
        <is>
          <t>HALLANDS LÄN</t>
        </is>
      </c>
      <c r="G104" t="inlineStr">
        <is>
          <t>HYLTE</t>
        </is>
      </c>
      <c r="I104" t="n">
        <v>5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2</v>
      </c>
      <c r="U104" t="n">
        <v>0</v>
      </c>
      <c r="V104" s="2" t="inlineStr">
        <is>
          <t>Västlig hakmossa
Revlummer</t>
        </is>
      </c>
      <c r="W104">
        <f>HYPERLINK("https://klasma.github.io/Logging_1315/artfynd/A 5027-2026 artfynd.xlsx", "A 5027-2026")</f>
        <v/>
      </c>
      <c r="X104">
        <f>HYPERLINK("https://klasma.github.io/Logging_1315/kartor/A 5027-2026 karta.png", "A 5027-2026")</f>
        <v/>
      </c>
      <c r="Y104">
        <f>HYPERLINK("https://klasma.github.io/Logging_1315/kartor_geotiff/A 5027-2026 georefererad karta.tif", "A 5027-2026")</f>
        <v/>
      </c>
      <c r="AA104">
        <f>HYPERLINK("https://klasma.github.io/Logging_1315/klagomål/A 5027-2026 FSC-klagomål.docx", "A 5027-2026")</f>
        <v/>
      </c>
      <c r="AB104">
        <f>HYPERLINK("https://klasma.github.io/Logging_1315/klagomålsmail/A 5027-2026 FSC-klagomål mail.docx", "A 5027-2026")</f>
        <v/>
      </c>
      <c r="AC104">
        <f>HYPERLINK("https://klasma.github.io/Logging_1315/tillsyn/A 5027-2026 tillsynsbegäran.docx", "A 5027-2026")</f>
        <v/>
      </c>
      <c r="AD104">
        <f>HYPERLINK("https://klasma.github.io/Logging_1315/tillsynsmail/A 5027-2026 tillsynsbegäran mail.docx", "A 5027-2026")</f>
        <v/>
      </c>
    </row>
    <row r="105" ht="15" customHeight="1">
      <c r="A105" t="inlineStr">
        <is>
          <t>A 9049-2026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46069</v>
      </c>
      <c r="E105" s="1" t="n">
        <v>46315</v>
      </c>
      <c r="F105" t="inlineStr">
        <is>
          <t>HALLANDS LÄN</t>
        </is>
      </c>
      <c r="G105" t="inlineStr">
        <is>
          <t>HALMSTAD</t>
        </is>
      </c>
      <c r="I105" t="n">
        <v>2.4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2</v>
      </c>
      <c r="U105" t="n">
        <v>0</v>
      </c>
      <c r="V105" s="2" t="inlineStr">
        <is>
          <t>Sångsvan
Grönvit nattviol</t>
        </is>
      </c>
      <c r="W105">
        <f>HYPERLINK("https://klasma.github.io/Logging_1380/artfynd/A 9049-2026 artfynd.xlsx", "A 9049-2026")</f>
        <v/>
      </c>
      <c r="X105">
        <f>HYPERLINK("https://klasma.github.io/Logging_1380/kartor/A 9049-2026 karta.png", "A 9049-2026")</f>
        <v/>
      </c>
      <c r="Y105">
        <f>HYPERLINK("https://klasma.github.io/Logging_1380/kartor_geotiff/A 9049-2026 georefererad karta.tif", "A 9049-2026")</f>
        <v/>
      </c>
      <c r="AA105">
        <f>HYPERLINK("https://klasma.github.io/Logging_1380/klagomål/A 9049-2026 FSC-klagomål.docx", "A 9049-2026")</f>
        <v/>
      </c>
      <c r="AB105">
        <f>HYPERLINK("https://klasma.github.io/Logging_1380/klagomålsmail/A 9049-2026 FSC-klagomål mail.docx", "A 9049-2026")</f>
        <v/>
      </c>
      <c r="AC105">
        <f>HYPERLINK("https://klasma.github.io/Logging_1380/tillsyn/A 9049-2026 tillsynsbegäran.docx", "A 9049-2026")</f>
        <v/>
      </c>
      <c r="AD105">
        <f>HYPERLINK("https://klasma.github.io/Logging_1380/tillsynsmail/A 9049-2026 tillsynsbegäran mail.docx", "A 9049-2026")</f>
        <v/>
      </c>
      <c r="AE105">
        <f>HYPERLINK("https://klasma.github.io/Logging_1380/fåglar/A 9049-2026 prioriterade fågelarter.docx", "A 9049-2026")</f>
        <v/>
      </c>
    </row>
    <row r="106" ht="15" customHeight="1">
      <c r="A106" t="inlineStr">
        <is>
          <t>A 15096-2025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45744</v>
      </c>
      <c r="E106" s="1" t="n">
        <v>46315</v>
      </c>
      <c r="F106" t="inlineStr">
        <is>
          <t>HALLANDS LÄN</t>
        </is>
      </c>
      <c r="G106" t="inlineStr">
        <is>
          <t>KUNGSBACKA</t>
        </is>
      </c>
      <c r="I106" t="n">
        <v>3.3</v>
      </c>
      <c r="J106" t="n">
        <v>2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2</v>
      </c>
      <c r="T106" t="n">
        <v>2</v>
      </c>
      <c r="U106" t="n">
        <v>2</v>
      </c>
      <c r="V106" s="2" t="inlineStr">
        <is>
          <t>Nordfladdermus
Dvärgpipistrell</t>
        </is>
      </c>
      <c r="W106">
        <f>HYPERLINK("https://klasma.github.io/Logging_1384/artfynd/A 15096-2025 artfynd.xlsx", "A 15096-2025")</f>
        <v/>
      </c>
      <c r="X106">
        <f>HYPERLINK("https://klasma.github.io/Logging_1384/kartor/A 15096-2025 karta.png", "A 15096-2025")</f>
        <v/>
      </c>
      <c r="Y106">
        <f>HYPERLINK("https://klasma.github.io/Logging_1384/kartor_geotiff/A 15096-2025 georefererad karta.tif", "A 15096-2025")</f>
        <v/>
      </c>
      <c r="AA106">
        <f>HYPERLINK("https://klasma.github.io/Logging_1384/klagomål/A 15096-2025 FSC-klagomål.docx", "A 15096-2025")</f>
        <v/>
      </c>
      <c r="AB106">
        <f>HYPERLINK("https://klasma.github.io/Logging_1384/klagomålsmail/A 15096-2025 FSC-klagomål mail.docx", "A 15096-2025")</f>
        <v/>
      </c>
      <c r="AC106">
        <f>HYPERLINK("https://klasma.github.io/Logging_1384/tillsyn/A 15096-2025 tillsynsbegäran.docx", "A 15096-2025")</f>
        <v/>
      </c>
      <c r="AD106">
        <f>HYPERLINK("https://klasma.github.io/Logging_1384/tillsynsmail/A 15096-2025 tillsynsbegäran mail.docx", "A 15096-2025")</f>
        <v/>
      </c>
    </row>
    <row r="107" ht="15" customHeight="1">
      <c r="A107" t="inlineStr">
        <is>
          <t>A 61670-2023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45264</v>
      </c>
      <c r="E107" s="1" t="n">
        <v>46315</v>
      </c>
      <c r="F107" t="inlineStr">
        <is>
          <t>HALLANDS LÄN</t>
        </is>
      </c>
      <c r="G107" t="inlineStr">
        <is>
          <t>HALMSTAD</t>
        </is>
      </c>
      <c r="H107" t="inlineStr">
        <is>
          <t>Bergvik skog väst AB</t>
        </is>
      </c>
      <c r="I107" t="n">
        <v>1</v>
      </c>
      <c r="J107" t="n">
        <v>2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14</v>
      </c>
      <c r="U107" t="n">
        <v>0</v>
      </c>
      <c r="V107" s="2" t="inlineStr">
        <is>
          <t>Nordfladdermus
Dvärgpipistrell</t>
        </is>
      </c>
      <c r="W107">
        <f>HYPERLINK("https://klasma.github.io/Logging_1380/artfynd/A 61670-2023 artfynd.xlsx", "A 61670-2023")</f>
        <v/>
      </c>
      <c r="X107">
        <f>HYPERLINK("https://klasma.github.io/Logging_1380/kartor/A 61670-2023 karta.png", "A 61670-2023")</f>
        <v/>
      </c>
      <c r="Y107">
        <f>HYPERLINK("https://klasma.github.io/Logging_1380/kartor_geotiff/A 61670-2023 georefererad karta.tif", "A 61670-2023")</f>
        <v/>
      </c>
      <c r="AA107">
        <f>HYPERLINK("https://klasma.github.io/Logging_1380/klagomål/A 61670-2023 FSC-klagomål.docx", "A 61670-2023")</f>
        <v/>
      </c>
      <c r="AB107">
        <f>HYPERLINK("https://klasma.github.io/Logging_1380/klagomålsmail/A 61670-2023 FSC-klagomål mail.docx", "A 61670-2023")</f>
        <v/>
      </c>
      <c r="AC107">
        <f>HYPERLINK("https://klasma.github.io/Logging_1380/tillsyn/A 61670-2023 tillsynsbegäran.docx", "A 61670-2023")</f>
        <v/>
      </c>
      <c r="AD107">
        <f>HYPERLINK("https://klasma.github.io/Logging_1380/tillsynsmail/A 61670-2023 tillsynsbegäran mail.docx", "A 61670-2023")</f>
        <v/>
      </c>
    </row>
    <row r="108" ht="15" customHeight="1">
      <c r="A108" t="inlineStr">
        <is>
          <t>A 71731-2021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44539</v>
      </c>
      <c r="E108" s="1" t="n">
        <v>46315</v>
      </c>
      <c r="F108" t="inlineStr">
        <is>
          <t>HALLANDS LÄN</t>
        </is>
      </c>
      <c r="G108" t="inlineStr">
        <is>
          <t>FALKENBERG</t>
        </is>
      </c>
      <c r="I108" t="n">
        <v>1.2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2</v>
      </c>
      <c r="U108" t="n">
        <v>0</v>
      </c>
      <c r="V108" s="2" t="inlineStr">
        <is>
          <t>Platt fjädermossa
Trädporella</t>
        </is>
      </c>
      <c r="W108">
        <f>HYPERLINK("https://klasma.github.io/Logging_1382/artfynd/A 71731-2021 artfynd.xlsx", "A 71731-2021")</f>
        <v/>
      </c>
      <c r="X108">
        <f>HYPERLINK("https://klasma.github.io/Logging_1382/kartor/A 71731-2021 karta.png", "A 71731-2021")</f>
        <v/>
      </c>
      <c r="Y108">
        <f>HYPERLINK("https://klasma.github.io/Logging_1382/kartor_geotiff/A 71731-2021 georefererad karta.tif", "A 71731-2021")</f>
        <v/>
      </c>
      <c r="AA108">
        <f>HYPERLINK("https://klasma.github.io/Logging_1382/klagomål/A 71731-2021 FSC-klagomål.docx", "A 71731-2021")</f>
        <v/>
      </c>
      <c r="AB108">
        <f>HYPERLINK("https://klasma.github.io/Logging_1382/klagomålsmail/A 71731-2021 FSC-klagomål mail.docx", "A 71731-2021")</f>
        <v/>
      </c>
      <c r="AC108">
        <f>HYPERLINK("https://klasma.github.io/Logging_1382/tillsyn/A 71731-2021 tillsynsbegäran.docx", "A 71731-2021")</f>
        <v/>
      </c>
      <c r="AD108">
        <f>HYPERLINK("https://klasma.github.io/Logging_1382/tillsynsmail/A 71731-2021 tillsynsbegäran mail.docx", "A 71731-2021")</f>
        <v/>
      </c>
    </row>
    <row r="109" ht="15" customHeight="1">
      <c r="A109" t="inlineStr">
        <is>
          <t>A 18160-2026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46125</v>
      </c>
      <c r="E109" s="1" t="n">
        <v>46315</v>
      </c>
      <c r="F109" t="inlineStr">
        <is>
          <t>HALLANDS LÄN</t>
        </is>
      </c>
      <c r="G109" t="inlineStr">
        <is>
          <t>KUNGSBACKA</t>
        </is>
      </c>
      <c r="I109" t="n">
        <v>0.9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2</v>
      </c>
      <c r="R109" t="n">
        <v>2</v>
      </c>
      <c r="S109" t="n">
        <v>2</v>
      </c>
      <c r="T109" t="n">
        <v>2</v>
      </c>
      <c r="U109" t="n">
        <v>0</v>
      </c>
      <c r="V109" s="2" t="inlineStr">
        <is>
          <t>Järnek
Igelkott</t>
        </is>
      </c>
      <c r="W109">
        <f>HYPERLINK("https://klasma.github.io/Logging_1384/artfynd/A 18160-2026 artfynd.xlsx", "A 18160-2026")</f>
        <v/>
      </c>
      <c r="X109">
        <f>HYPERLINK("https://klasma.github.io/Logging_1384/kartor/A 18160-2026 karta.png", "A 18160-2026")</f>
        <v/>
      </c>
      <c r="Y109">
        <f>HYPERLINK("https://klasma.github.io/Logging_1384/kartor_geotiff/A 18160-2026 georefererad karta.tif", "A 18160-2026")</f>
        <v/>
      </c>
      <c r="AA109">
        <f>HYPERLINK("https://klasma.github.io/Logging_1384/klagomål/A 18160-2026 FSC-klagomål.docx", "A 18160-2026")</f>
        <v/>
      </c>
      <c r="AB109">
        <f>HYPERLINK("https://klasma.github.io/Logging_1384/klagomålsmail/A 18160-2026 FSC-klagomål mail.docx", "A 18160-2026")</f>
        <v/>
      </c>
      <c r="AC109">
        <f>HYPERLINK("https://klasma.github.io/Logging_1384/tillsyn/A 18160-2026 tillsynsbegäran.docx", "A 18160-2026")</f>
        <v/>
      </c>
      <c r="AD109">
        <f>HYPERLINK("https://klasma.github.io/Logging_1384/tillsynsmail/A 18160-2026 tillsynsbegäran mail.docx", "A 18160-2026")</f>
        <v/>
      </c>
    </row>
    <row r="110" ht="15" customHeight="1">
      <c r="A110" t="inlineStr">
        <is>
          <t>A 18427-2023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45042</v>
      </c>
      <c r="E110" s="1" t="n">
        <v>46315</v>
      </c>
      <c r="F110" t="inlineStr">
        <is>
          <t>HALLANDS LÄN</t>
        </is>
      </c>
      <c r="G110" t="inlineStr">
        <is>
          <t>HALMSTAD</t>
        </is>
      </c>
      <c r="I110" t="n">
        <v>18.2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2</v>
      </c>
      <c r="T110" t="n">
        <v>4</v>
      </c>
      <c r="U110" t="n">
        <v>4</v>
      </c>
      <c r="V110" s="2" t="inlineStr">
        <is>
          <t>Entita
Törnskata</t>
        </is>
      </c>
      <c r="W110">
        <f>HYPERLINK("https://klasma.github.io/Logging_1380/artfynd/A 18427-2023 artfynd.xlsx", "A 18427-2023")</f>
        <v/>
      </c>
      <c r="X110">
        <f>HYPERLINK("https://klasma.github.io/Logging_1380/kartor/A 18427-2023 karta.png", "A 18427-2023")</f>
        <v/>
      </c>
      <c r="Y110">
        <f>HYPERLINK("https://klasma.github.io/Logging_1380/kartor_geotiff/A 18427-2023 georefererad karta.tif", "A 18427-2023")</f>
        <v/>
      </c>
      <c r="AA110">
        <f>HYPERLINK("https://klasma.github.io/Logging_1380/klagomål/A 18427-2023 FSC-klagomål.docx", "A 18427-2023")</f>
        <v/>
      </c>
      <c r="AB110">
        <f>HYPERLINK("https://klasma.github.io/Logging_1380/klagomålsmail/A 18427-2023 FSC-klagomål mail.docx", "A 18427-2023")</f>
        <v/>
      </c>
      <c r="AC110">
        <f>HYPERLINK("https://klasma.github.io/Logging_1380/tillsyn/A 18427-2023 tillsynsbegäran.docx", "A 18427-2023")</f>
        <v/>
      </c>
      <c r="AD110">
        <f>HYPERLINK("https://klasma.github.io/Logging_1380/tillsynsmail/A 18427-2023 tillsynsbegäran mail.docx", "A 18427-2023")</f>
        <v/>
      </c>
      <c r="AE110">
        <f>HYPERLINK("https://klasma.github.io/Logging_1380/fåglar/A 18427-2023 prioriterade fågelarter.docx", "A 18427-2023")</f>
        <v/>
      </c>
    </row>
    <row r="111" ht="15" customHeight="1">
      <c r="A111" t="inlineStr">
        <is>
          <t>A 42170-2025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45904</v>
      </c>
      <c r="E111" s="1" t="n">
        <v>46315</v>
      </c>
      <c r="F111" t="inlineStr">
        <is>
          <t>HALLANDS LÄN</t>
        </is>
      </c>
      <c r="G111" t="inlineStr">
        <is>
          <t>HYLTE</t>
        </is>
      </c>
      <c r="I111" t="n">
        <v>0.9</v>
      </c>
      <c r="J111" t="n">
        <v>2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2</v>
      </c>
      <c r="T111" t="n">
        <v>2</v>
      </c>
      <c r="U111" t="n">
        <v>0</v>
      </c>
      <c r="V111" s="2" t="inlineStr">
        <is>
          <t>Pärluggla
Orre</t>
        </is>
      </c>
      <c r="W111">
        <f>HYPERLINK("https://klasma.github.io/Logging_1315/artfynd/A 42170-2025 artfynd.xlsx", "A 42170-2025")</f>
        <v/>
      </c>
      <c r="X111">
        <f>HYPERLINK("https://klasma.github.io/Logging_1315/kartor/A 42170-2025 karta.png", "A 42170-2025")</f>
        <v/>
      </c>
      <c r="Y111">
        <f>HYPERLINK("https://klasma.github.io/Logging_1315/kartor_geotiff/A 42170-2025 georefererad karta.tif", "A 42170-2025")</f>
        <v/>
      </c>
      <c r="AA111">
        <f>HYPERLINK("https://klasma.github.io/Logging_1315/klagomål/A 42170-2025 FSC-klagomål.docx", "A 42170-2025")</f>
        <v/>
      </c>
      <c r="AB111">
        <f>HYPERLINK("https://klasma.github.io/Logging_1315/klagomålsmail/A 42170-2025 FSC-klagomål mail.docx", "A 42170-2025")</f>
        <v/>
      </c>
      <c r="AC111">
        <f>HYPERLINK("https://klasma.github.io/Logging_1315/tillsyn/A 42170-2025 tillsynsbegäran.docx", "A 42170-2025")</f>
        <v/>
      </c>
      <c r="AD111">
        <f>HYPERLINK("https://klasma.github.io/Logging_1315/tillsynsmail/A 42170-2025 tillsynsbegäran mail.docx", "A 42170-2025")</f>
        <v/>
      </c>
      <c r="AE111">
        <f>HYPERLINK("https://klasma.github.io/Logging_1315/fåglar/A 42170-2025 prioriterade fågelarter.docx", "A 42170-2025")</f>
        <v/>
      </c>
    </row>
    <row r="112" ht="15" customHeight="1">
      <c r="A112" t="inlineStr">
        <is>
          <t>A 19387-2026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46133</v>
      </c>
      <c r="E112" s="1" t="n">
        <v>46315</v>
      </c>
      <c r="F112" t="inlineStr">
        <is>
          <t>HALLANDS LÄN</t>
        </is>
      </c>
      <c r="G112" t="inlineStr">
        <is>
          <t>LAHOLM</t>
        </is>
      </c>
      <c r="H112" t="inlineStr">
        <is>
          <t>Sveaskog</t>
        </is>
      </c>
      <c r="I112" t="n">
        <v>1.7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2</v>
      </c>
      <c r="T112" t="n">
        <v>2</v>
      </c>
      <c r="U112" t="n">
        <v>0</v>
      </c>
      <c r="V112" s="2" t="inlineStr">
        <is>
          <t>Skirmossa
Safsa</t>
        </is>
      </c>
      <c r="W112">
        <f>HYPERLINK("https://klasma.github.io/Logging_1381/artfynd/A 19387-2026 artfynd.xlsx", "A 19387-2026")</f>
        <v/>
      </c>
      <c r="X112">
        <f>HYPERLINK("https://klasma.github.io/Logging_1381/kartor/A 19387-2026 karta.png", "A 19387-2026")</f>
        <v/>
      </c>
      <c r="Y112">
        <f>HYPERLINK("https://klasma.github.io/Logging_1381/kartor_geotiff/A 19387-2026 georefererad karta.tif", "A 19387-2026")</f>
        <v/>
      </c>
      <c r="AA112">
        <f>HYPERLINK("https://klasma.github.io/Logging_1381/klagomål/A 19387-2026 FSC-klagomål.docx", "A 19387-2026")</f>
        <v/>
      </c>
      <c r="AB112">
        <f>HYPERLINK("https://klasma.github.io/Logging_1381/klagomålsmail/A 19387-2026 FSC-klagomål mail.docx", "A 19387-2026")</f>
        <v/>
      </c>
      <c r="AC112">
        <f>HYPERLINK("https://klasma.github.io/Logging_1381/tillsyn/A 19387-2026 tillsynsbegäran.docx", "A 19387-2026")</f>
        <v/>
      </c>
      <c r="AD112">
        <f>HYPERLINK("https://klasma.github.io/Logging_1381/tillsynsmail/A 19387-2026 tillsynsbegäran mail.docx", "A 19387-2026")</f>
        <v/>
      </c>
    </row>
    <row r="113" ht="15" customHeight="1">
      <c r="A113" t="inlineStr">
        <is>
          <t>A 19811-2026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46135</v>
      </c>
      <c r="E113" s="1" t="n">
        <v>46315</v>
      </c>
      <c r="F113" t="inlineStr">
        <is>
          <t>HALLANDS LÄN</t>
        </is>
      </c>
      <c r="G113" t="inlineStr">
        <is>
          <t>LAHOLM</t>
        </is>
      </c>
      <c r="I113" t="n">
        <v>3.6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2</v>
      </c>
      <c r="U113" t="n">
        <v>0</v>
      </c>
      <c r="V113" s="2" t="inlineStr">
        <is>
          <t>Fällmossa
Guldlockmossa</t>
        </is>
      </c>
      <c r="W113">
        <f>HYPERLINK("https://klasma.github.io/Logging_1381/artfynd/A 19811-2026 artfynd.xlsx", "A 19811-2026")</f>
        <v/>
      </c>
      <c r="X113">
        <f>HYPERLINK("https://klasma.github.io/Logging_1381/kartor/A 19811-2026 karta.png", "A 19811-2026")</f>
        <v/>
      </c>
      <c r="Y113">
        <f>HYPERLINK("https://klasma.github.io/Logging_1381/kartor_geotiff/A 19811-2026 georefererad karta.tif", "A 19811-2026")</f>
        <v/>
      </c>
      <c r="AA113">
        <f>HYPERLINK("https://klasma.github.io/Logging_1381/klagomål/A 19811-2026 FSC-klagomål.docx", "A 19811-2026")</f>
        <v/>
      </c>
      <c r="AB113">
        <f>HYPERLINK("https://klasma.github.io/Logging_1381/klagomålsmail/A 19811-2026 FSC-klagomål mail.docx", "A 19811-2026")</f>
        <v/>
      </c>
      <c r="AC113">
        <f>HYPERLINK("https://klasma.github.io/Logging_1381/tillsyn/A 19811-2026 tillsynsbegäran.docx", "A 19811-2026")</f>
        <v/>
      </c>
      <c r="AD113">
        <f>HYPERLINK("https://klasma.github.io/Logging_1381/tillsynsmail/A 19811-2026 tillsynsbegäran mail.docx", "A 19811-2026")</f>
        <v/>
      </c>
    </row>
    <row r="114" ht="15" customHeight="1">
      <c r="A114" t="inlineStr">
        <is>
          <t>A 31950-2024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45510</v>
      </c>
      <c r="E114" s="1" t="n">
        <v>46315</v>
      </c>
      <c r="F114" t="inlineStr">
        <is>
          <t>HALLANDS LÄN</t>
        </is>
      </c>
      <c r="G114" t="inlineStr">
        <is>
          <t>VARBERG</t>
        </is>
      </c>
      <c r="I114" t="n">
        <v>0.5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2</v>
      </c>
      <c r="T114" t="n">
        <v>2</v>
      </c>
      <c r="U114" t="n">
        <v>0</v>
      </c>
      <c r="V114" s="2" t="inlineStr">
        <is>
          <t>Slätbjörnbär
Hasselmus</t>
        </is>
      </c>
      <c r="W114">
        <f>HYPERLINK("https://klasma.github.io/Logging_1383/artfynd/A 31950-2024 artfynd.xlsx", "A 31950-2024")</f>
        <v/>
      </c>
      <c r="X114">
        <f>HYPERLINK("https://klasma.github.io/Logging_1383/kartor/A 31950-2024 karta.png", "A 31950-2024")</f>
        <v/>
      </c>
      <c r="Y114">
        <f>HYPERLINK("https://klasma.github.io/Logging_1383/kartor_geotiff/A 31950-2024 georefererad karta.tif", "A 31950-2024")</f>
        <v/>
      </c>
      <c r="AA114">
        <f>HYPERLINK("https://klasma.github.io/Logging_1383/klagomål/A 31950-2024 FSC-klagomål.docx", "A 31950-2024")</f>
        <v/>
      </c>
      <c r="AB114">
        <f>HYPERLINK("https://klasma.github.io/Logging_1383/klagomålsmail/A 31950-2024 FSC-klagomål mail.docx", "A 31950-2024")</f>
        <v/>
      </c>
      <c r="AC114">
        <f>HYPERLINK("https://klasma.github.io/Logging_1383/tillsyn/A 31950-2024 tillsynsbegäran.docx", "A 31950-2024")</f>
        <v/>
      </c>
      <c r="AD114">
        <f>HYPERLINK("https://klasma.github.io/Logging_1383/tillsynsmail/A 31950-2024 tillsynsbegäran mail.docx", "A 31950-2024")</f>
        <v/>
      </c>
    </row>
    <row r="115" ht="15" customHeight="1">
      <c r="A115" t="inlineStr">
        <is>
          <t>A 36068-2023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45149</v>
      </c>
      <c r="E115" s="1" t="n">
        <v>46315</v>
      </c>
      <c r="F115" t="inlineStr">
        <is>
          <t>HALLANDS LÄN</t>
        </is>
      </c>
      <c r="G115" t="inlineStr">
        <is>
          <t>KUNGSBACKA</t>
        </is>
      </c>
      <c r="I115" t="n">
        <v>5.3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2</v>
      </c>
      <c r="V115" s="2" t="inlineStr">
        <is>
          <t>Tjäder
Kungsfågel</t>
        </is>
      </c>
      <c r="W115">
        <f>HYPERLINK("https://klasma.github.io/Logging_1384/artfynd/A 36068-2023 artfynd.xlsx", "A 36068-2023")</f>
        <v/>
      </c>
      <c r="X115">
        <f>HYPERLINK("https://klasma.github.io/Logging_1384/kartor/A 36068-2023 karta.png", "A 36068-2023")</f>
        <v/>
      </c>
      <c r="Y115">
        <f>HYPERLINK("https://klasma.github.io/Logging_1384/kartor_geotiff/A 36068-2023 georefererad karta.tif", "A 36068-2023")</f>
        <v/>
      </c>
      <c r="AA115">
        <f>HYPERLINK("https://klasma.github.io/Logging_1384/klagomål/A 36068-2023 FSC-klagomål.docx", "A 36068-2023")</f>
        <v/>
      </c>
      <c r="AB115">
        <f>HYPERLINK("https://klasma.github.io/Logging_1384/klagomålsmail/A 36068-2023 FSC-klagomål mail.docx", "A 36068-2023")</f>
        <v/>
      </c>
      <c r="AC115">
        <f>HYPERLINK("https://klasma.github.io/Logging_1384/tillsyn/A 36068-2023 tillsynsbegäran.docx", "A 36068-2023")</f>
        <v/>
      </c>
      <c r="AD115">
        <f>HYPERLINK("https://klasma.github.io/Logging_1384/tillsynsmail/A 36068-2023 tillsynsbegäran mail.docx", "A 36068-2023")</f>
        <v/>
      </c>
      <c r="AE115">
        <f>HYPERLINK("https://klasma.github.io/Logging_1384/fåglar/A 36068-2023 prioriterade fågelarter.docx", "A 36068-2023")</f>
        <v/>
      </c>
    </row>
    <row r="116" ht="15" customHeight="1">
      <c r="A116" t="inlineStr">
        <is>
          <t>A 38112-2026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46281</v>
      </c>
      <c r="E116" s="1" t="n">
        <v>46315</v>
      </c>
      <c r="F116" t="inlineStr">
        <is>
          <t>HALLANDS LÄN</t>
        </is>
      </c>
      <c r="G116" t="inlineStr">
        <is>
          <t>VARBERG</t>
        </is>
      </c>
      <c r="I116" t="n">
        <v>5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2</v>
      </c>
      <c r="U116" t="n">
        <v>0</v>
      </c>
      <c r="V116" s="2" t="inlineStr">
        <is>
          <t>Tjäder
Revlummer</t>
        </is>
      </c>
      <c r="W116">
        <f>HYPERLINK("https://klasma.github.io/Logging_1383/artfynd/A 38112-2026 artfynd.xlsx", "A 38112-2026")</f>
        <v/>
      </c>
      <c r="X116">
        <f>HYPERLINK("https://klasma.github.io/Logging_1383/kartor/A 38112-2026 karta.png", "A 38112-2026")</f>
        <v/>
      </c>
      <c r="Y116">
        <f>HYPERLINK("https://klasma.github.io/Logging_1383/kartor_geotiff/A 38112-2026 georefererad karta.tif", "A 38112-2026")</f>
        <v/>
      </c>
      <c r="AA116">
        <f>HYPERLINK("https://klasma.github.io/Logging_1383/klagomål/A 38112-2026 FSC-klagomål.docx", "A 38112-2026")</f>
        <v/>
      </c>
      <c r="AB116">
        <f>HYPERLINK("https://klasma.github.io/Logging_1383/klagomålsmail/A 38112-2026 FSC-klagomål mail.docx", "A 38112-2026")</f>
        <v/>
      </c>
      <c r="AC116">
        <f>HYPERLINK("https://klasma.github.io/Logging_1383/tillsyn/A 38112-2026 tillsynsbegäran.docx", "A 38112-2026")</f>
        <v/>
      </c>
      <c r="AD116">
        <f>HYPERLINK("https://klasma.github.io/Logging_1383/tillsynsmail/A 38112-2026 tillsynsbegäran mail.docx", "A 38112-2026")</f>
        <v/>
      </c>
      <c r="AE116">
        <f>HYPERLINK("https://klasma.github.io/Logging_1383/fåglar/A 38112-2026 prioriterade fågelarter.docx", "A 38112-2026")</f>
        <v/>
      </c>
    </row>
    <row r="117" ht="15" customHeight="1">
      <c r="A117" t="inlineStr">
        <is>
          <t>A 38079-2026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46281</v>
      </c>
      <c r="E117" s="1" t="n">
        <v>46315</v>
      </c>
      <c r="F117" t="inlineStr">
        <is>
          <t>HALLANDS LÄN</t>
        </is>
      </c>
      <c r="G117" t="inlineStr">
        <is>
          <t>VARBERG</t>
        </is>
      </c>
      <c r="I117" t="n">
        <v>7.4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0</v>
      </c>
      <c r="V117" s="2" t="inlineStr">
        <is>
          <t>Tjäder
Revlummer</t>
        </is>
      </c>
      <c r="W117">
        <f>HYPERLINK("https://klasma.github.io/Logging_1383/artfynd/A 38079-2026 artfynd.xlsx", "A 38079-2026")</f>
        <v/>
      </c>
      <c r="X117">
        <f>HYPERLINK("https://klasma.github.io/Logging_1383/kartor/A 38079-2026 karta.png", "A 38079-2026")</f>
        <v/>
      </c>
      <c r="Y117">
        <f>HYPERLINK("https://klasma.github.io/Logging_1383/kartor_geotiff/A 38079-2026 georefererad karta.tif", "A 38079-2026")</f>
        <v/>
      </c>
      <c r="AA117">
        <f>HYPERLINK("https://klasma.github.io/Logging_1383/klagomål/A 38079-2026 FSC-klagomål.docx", "A 38079-2026")</f>
        <v/>
      </c>
      <c r="AB117">
        <f>HYPERLINK("https://klasma.github.io/Logging_1383/klagomålsmail/A 38079-2026 FSC-klagomål mail.docx", "A 38079-2026")</f>
        <v/>
      </c>
      <c r="AC117">
        <f>HYPERLINK("https://klasma.github.io/Logging_1383/tillsyn/A 38079-2026 tillsynsbegäran.docx", "A 38079-2026")</f>
        <v/>
      </c>
      <c r="AD117">
        <f>HYPERLINK("https://klasma.github.io/Logging_1383/tillsynsmail/A 38079-2026 tillsynsbegäran mail.docx", "A 38079-2026")</f>
        <v/>
      </c>
      <c r="AE117">
        <f>HYPERLINK("https://klasma.github.io/Logging_1383/fåglar/A 38079-2026 prioriterade fågelarter.docx", "A 38079-2026")</f>
        <v/>
      </c>
    </row>
    <row r="118" ht="15" customHeight="1">
      <c r="A118" t="inlineStr">
        <is>
          <t>A 40589-2023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45168</v>
      </c>
      <c r="E118" s="1" t="n">
        <v>46315</v>
      </c>
      <c r="F118" t="inlineStr">
        <is>
          <t>HALLANDS LÄN</t>
        </is>
      </c>
      <c r="G118" t="inlineStr">
        <is>
          <t>HALMSTAD</t>
        </is>
      </c>
      <c r="H118" t="inlineStr">
        <is>
          <t>Kommuner</t>
        </is>
      </c>
      <c r="I118" t="n">
        <v>2.5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4</v>
      </c>
      <c r="U118" t="n">
        <v>2</v>
      </c>
      <c r="V118" s="2" t="inlineStr">
        <is>
          <t>Tofsmes
Kungsfågel</t>
        </is>
      </c>
      <c r="W118">
        <f>HYPERLINK("https://klasma.github.io/Logging_1380/artfynd/A 40589-2023 artfynd.xlsx", "A 40589-2023")</f>
        <v/>
      </c>
      <c r="X118">
        <f>HYPERLINK("https://klasma.github.io/Logging_1380/kartor/A 40589-2023 karta.png", "A 40589-2023")</f>
        <v/>
      </c>
      <c r="Y118">
        <f>HYPERLINK("https://klasma.github.io/Logging_1380/kartor_geotiff/A 40589-2023 georefererad karta.tif", "A 40589-2023")</f>
        <v/>
      </c>
      <c r="AA118">
        <f>HYPERLINK("https://klasma.github.io/Logging_1380/klagomål/A 40589-2023 FSC-klagomål.docx", "A 40589-2023")</f>
        <v/>
      </c>
      <c r="AB118">
        <f>HYPERLINK("https://klasma.github.io/Logging_1380/klagomålsmail/A 40589-2023 FSC-klagomål mail.docx", "A 40589-2023")</f>
        <v/>
      </c>
      <c r="AC118">
        <f>HYPERLINK("https://klasma.github.io/Logging_1380/tillsyn/A 40589-2023 tillsynsbegäran.docx", "A 40589-2023")</f>
        <v/>
      </c>
      <c r="AD118">
        <f>HYPERLINK("https://klasma.github.io/Logging_1380/tillsynsmail/A 40589-2023 tillsynsbegäran mail.docx", "A 40589-2023")</f>
        <v/>
      </c>
    </row>
    <row r="119" ht="15" customHeight="1">
      <c r="A119" t="inlineStr">
        <is>
          <t>A 42030-2026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46304</v>
      </c>
      <c r="E119" s="1" t="n">
        <v>46315</v>
      </c>
      <c r="F119" t="inlineStr">
        <is>
          <t>HALLANDS LÄN</t>
        </is>
      </c>
      <c r="G119" t="inlineStr">
        <is>
          <t>HYLTE</t>
        </is>
      </c>
      <c r="I119" t="n">
        <v>3.6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2</v>
      </c>
      <c r="U119" t="n">
        <v>0</v>
      </c>
      <c r="V119" s="2" t="inlineStr">
        <is>
          <t>Spillkråka
Revlummer</t>
        </is>
      </c>
      <c r="W119">
        <f>HYPERLINK("https://klasma.github.io/Logging_1315/artfynd/A 42030-2026 artfynd.xlsx", "A 42030-2026")</f>
        <v/>
      </c>
      <c r="X119">
        <f>HYPERLINK("https://klasma.github.io/Logging_1315/kartor/A 42030-2026 karta.png", "A 42030-2026")</f>
        <v/>
      </c>
      <c r="Y119">
        <f>HYPERLINK("https://klasma.github.io/Logging_1315/kartor_geotiff/A 42030-2026 georefererad karta.tif", "A 42030-2026")</f>
        <v/>
      </c>
      <c r="AA119">
        <f>HYPERLINK("https://klasma.github.io/Logging_1315/klagomål/A 42030-2026 FSC-klagomål.docx", "A 42030-2026")</f>
        <v/>
      </c>
      <c r="AB119">
        <f>HYPERLINK("https://klasma.github.io/Logging_1315/klagomålsmail/A 42030-2026 FSC-klagomål mail.docx", "A 42030-2026")</f>
        <v/>
      </c>
      <c r="AC119">
        <f>HYPERLINK("https://klasma.github.io/Logging_1315/tillsyn/A 42030-2026 tillsynsbegäran.docx", "A 42030-2026")</f>
        <v/>
      </c>
      <c r="AD119">
        <f>HYPERLINK("https://klasma.github.io/Logging_1315/tillsynsmail/A 42030-2026 tillsynsbegäran mail.docx", "A 42030-2026")</f>
        <v/>
      </c>
      <c r="AE119">
        <f>HYPERLINK("https://klasma.github.io/Logging_1315/fåglar/A 42030-2026 prioriterade fågelarter.docx", "A 42030-2026")</f>
        <v/>
      </c>
    </row>
    <row r="120" ht="15" customHeight="1">
      <c r="A120" t="inlineStr">
        <is>
          <t>A 50273-2024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45600</v>
      </c>
      <c r="E120" s="1" t="n">
        <v>46315</v>
      </c>
      <c r="F120" t="inlineStr">
        <is>
          <t>HALLANDS LÄN</t>
        </is>
      </c>
      <c r="G120" t="inlineStr">
        <is>
          <t>FALKENBERG</t>
        </is>
      </c>
      <c r="I120" t="n">
        <v>2.7</v>
      </c>
      <c r="J120" t="n">
        <v>2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2</v>
      </c>
      <c r="T120" t="n">
        <v>3</v>
      </c>
      <c r="U120" t="n">
        <v>1</v>
      </c>
      <c r="V120" s="2" t="inlineStr">
        <is>
          <t>Flytsvalting
Revlummer</t>
        </is>
      </c>
      <c r="W120">
        <f>HYPERLINK("https://klasma.github.io/Logging_1382/artfynd/A 50273-2024 artfynd.xlsx", "A 50273-2024")</f>
        <v/>
      </c>
      <c r="X120">
        <f>HYPERLINK("https://klasma.github.io/Logging_1382/kartor/A 50273-2024 karta.png", "A 50273-2024")</f>
        <v/>
      </c>
      <c r="Y120">
        <f>HYPERLINK("https://klasma.github.io/Logging_1382/kartor_geotiff/A 50273-2024 georefererad karta.tif", "A 50273-2024")</f>
        <v/>
      </c>
      <c r="AA120">
        <f>HYPERLINK("https://klasma.github.io/Logging_1382/klagomål/A 50273-2024 FSC-klagomål.docx", "A 50273-2024")</f>
        <v/>
      </c>
      <c r="AB120">
        <f>HYPERLINK("https://klasma.github.io/Logging_1382/klagomålsmail/A 50273-2024 FSC-klagomål mail.docx", "A 50273-2024")</f>
        <v/>
      </c>
      <c r="AC120">
        <f>HYPERLINK("https://klasma.github.io/Logging_1382/tillsyn/A 50273-2024 tillsynsbegäran.docx", "A 50273-2024")</f>
        <v/>
      </c>
      <c r="AD120">
        <f>HYPERLINK("https://klasma.github.io/Logging_1382/tillsynsmail/A 50273-2024 tillsynsbegäran mail.docx", "A 50273-2024")</f>
        <v/>
      </c>
    </row>
    <row r="121" ht="15" customHeight="1">
      <c r="A121" t="inlineStr">
        <is>
          <t>A 31507-2025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45832</v>
      </c>
      <c r="E121" s="1" t="n">
        <v>46315</v>
      </c>
      <c r="F121" t="inlineStr">
        <is>
          <t>HALLANDS LÄN</t>
        </is>
      </c>
      <c r="G121" t="inlineStr">
        <is>
          <t>LAHOLM</t>
        </is>
      </c>
      <c r="I121" t="n">
        <v>3.3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2</v>
      </c>
      <c r="U121" t="n">
        <v>0</v>
      </c>
      <c r="V121" s="2" t="inlineStr">
        <is>
          <t>Kambräken
Lopplummer (aggregat)</t>
        </is>
      </c>
      <c r="W121">
        <f>HYPERLINK("https://klasma.github.io/Logging_1381/artfynd/A 31507-2025 artfynd.xlsx", "A 31507-2025")</f>
        <v/>
      </c>
      <c r="X121">
        <f>HYPERLINK("https://klasma.github.io/Logging_1381/kartor/A 31507-2025 karta.png", "A 31507-2025")</f>
        <v/>
      </c>
      <c r="Y121">
        <f>HYPERLINK("https://klasma.github.io/Logging_1381/kartor_geotiff/A 31507-2025 georefererad karta.tif", "A 31507-2025")</f>
        <v/>
      </c>
      <c r="AA121">
        <f>HYPERLINK("https://klasma.github.io/Logging_1381/klagomål/A 31507-2025 FSC-klagomål.docx", "A 31507-2025")</f>
        <v/>
      </c>
      <c r="AB121">
        <f>HYPERLINK("https://klasma.github.io/Logging_1381/klagomålsmail/A 31507-2025 FSC-klagomål mail.docx", "A 31507-2025")</f>
        <v/>
      </c>
      <c r="AC121">
        <f>HYPERLINK("https://klasma.github.io/Logging_1381/tillsyn/A 31507-2025 tillsynsbegäran.docx", "A 31507-2025")</f>
        <v/>
      </c>
      <c r="AD121">
        <f>HYPERLINK("https://klasma.github.io/Logging_1381/tillsynsmail/A 31507-2025 tillsynsbegäran mail.docx", "A 31507-2025")</f>
        <v/>
      </c>
    </row>
    <row r="122" ht="15" customHeight="1">
      <c r="A122" t="inlineStr">
        <is>
          <t>A 33637-2025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45841</v>
      </c>
      <c r="E122" s="1" t="n">
        <v>46315</v>
      </c>
      <c r="F122" t="inlineStr">
        <is>
          <t>HALLANDS LÄN</t>
        </is>
      </c>
      <c r="G122" t="inlineStr">
        <is>
          <t>HYLTE</t>
        </is>
      </c>
      <c r="I122" t="n">
        <v>0.5</v>
      </c>
      <c r="J122" t="n">
        <v>2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2</v>
      </c>
      <c r="U122" t="n">
        <v>0</v>
      </c>
      <c r="V122" s="2" t="inlineStr">
        <is>
          <t>Knärot
Kopparödla</t>
        </is>
      </c>
      <c r="W122">
        <f>HYPERLINK("https://klasma.github.io/Logging_1315/artfynd/A 33637-2025 artfynd.xlsx", "A 33637-2025")</f>
        <v/>
      </c>
      <c r="X122">
        <f>HYPERLINK("https://klasma.github.io/Logging_1315/kartor/A 33637-2025 karta.png", "A 33637-2025")</f>
        <v/>
      </c>
      <c r="Y122">
        <f>HYPERLINK("https://klasma.github.io/Logging_1315/kartor_geotiff/A 33637-2025 georefererad karta.tif", "A 33637-2025")</f>
        <v/>
      </c>
      <c r="Z122">
        <f>HYPERLINK("https://klasma.github.io/Logging_1315/knärot/A 33637-2025 karta knärot.png", "A 33637-2025")</f>
        <v/>
      </c>
      <c r="AA122">
        <f>HYPERLINK("https://klasma.github.io/Logging_1315/klagomål/A 33637-2025 FSC-klagomål.docx", "A 33637-2025")</f>
        <v/>
      </c>
      <c r="AB122">
        <f>HYPERLINK("https://klasma.github.io/Logging_1315/klagomålsmail/A 33637-2025 FSC-klagomål mail.docx", "A 33637-2025")</f>
        <v/>
      </c>
      <c r="AC122">
        <f>HYPERLINK("https://klasma.github.io/Logging_1315/tillsyn/A 33637-2025 tillsynsbegäran.docx", "A 33637-2025")</f>
        <v/>
      </c>
      <c r="AD122">
        <f>HYPERLINK("https://klasma.github.io/Logging_1315/tillsynsmail/A 33637-2025 tillsynsbegäran mail.docx", "A 33637-2025")</f>
        <v/>
      </c>
    </row>
    <row r="123" ht="15" customHeight="1">
      <c r="A123" t="inlineStr">
        <is>
          <t>A 28111-2023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45099</v>
      </c>
      <c r="E123" s="1" t="n">
        <v>46315</v>
      </c>
      <c r="F123" t="inlineStr">
        <is>
          <t>HALLANDS LÄN</t>
        </is>
      </c>
      <c r="G123" t="inlineStr">
        <is>
          <t>HYLTE</t>
        </is>
      </c>
      <c r="I123" t="n">
        <v>1.2</v>
      </c>
      <c r="J123" t="n">
        <v>2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2</v>
      </c>
      <c r="T123" t="n">
        <v>2</v>
      </c>
      <c r="U123" t="n">
        <v>2</v>
      </c>
      <c r="V123" s="2" t="inlineStr">
        <is>
          <t>Pärluggla
Orre</t>
        </is>
      </c>
      <c r="W123">
        <f>HYPERLINK("https://klasma.github.io/Logging_1315/artfynd/A 28111-2023 artfynd.xlsx", "A 28111-2023")</f>
        <v/>
      </c>
      <c r="X123">
        <f>HYPERLINK("https://klasma.github.io/Logging_1315/kartor/A 28111-2023 karta.png", "A 28111-2023")</f>
        <v/>
      </c>
      <c r="Y123">
        <f>HYPERLINK("https://klasma.github.io/Logging_1315/kartor_geotiff/A 28111-2023 georefererad karta.tif", "A 28111-2023")</f>
        <v/>
      </c>
      <c r="AA123">
        <f>HYPERLINK("https://klasma.github.io/Logging_1315/klagomål/A 28111-2023 FSC-klagomål.docx", "A 28111-2023")</f>
        <v/>
      </c>
      <c r="AB123">
        <f>HYPERLINK("https://klasma.github.io/Logging_1315/klagomålsmail/A 28111-2023 FSC-klagomål mail.docx", "A 28111-2023")</f>
        <v/>
      </c>
      <c r="AC123">
        <f>HYPERLINK("https://klasma.github.io/Logging_1315/tillsyn/A 28111-2023 tillsynsbegäran.docx", "A 28111-2023")</f>
        <v/>
      </c>
      <c r="AD123">
        <f>HYPERLINK("https://klasma.github.io/Logging_1315/tillsynsmail/A 28111-2023 tillsynsbegäran mail.docx", "A 28111-2023")</f>
        <v/>
      </c>
      <c r="AE123">
        <f>HYPERLINK("https://klasma.github.io/Logging_1315/fåglar/A 28111-2023 prioriterade fågelarter.docx", "A 28111-2023")</f>
        <v/>
      </c>
    </row>
    <row r="124" ht="15" customHeight="1">
      <c r="A124" t="inlineStr">
        <is>
          <t>A 46251-2024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45581</v>
      </c>
      <c r="E124" s="1" t="n">
        <v>46315</v>
      </c>
      <c r="F124" t="inlineStr">
        <is>
          <t>HALLANDS LÄN</t>
        </is>
      </c>
      <c r="G124" t="inlineStr">
        <is>
          <t>KUNGSBACKA</t>
        </is>
      </c>
      <c r="I124" t="n">
        <v>2.3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0</v>
      </c>
      <c r="V124" s="2" t="inlineStr">
        <is>
          <t>Murgröna
Blåsippa</t>
        </is>
      </c>
      <c r="W124">
        <f>HYPERLINK("https://klasma.github.io/Logging_1384/artfynd/A 46251-2024 artfynd.xlsx", "A 46251-2024")</f>
        <v/>
      </c>
      <c r="X124">
        <f>HYPERLINK("https://klasma.github.io/Logging_1384/kartor/A 46251-2024 karta.png", "A 46251-2024")</f>
        <v/>
      </c>
      <c r="Y124">
        <f>HYPERLINK("https://klasma.github.io/Logging_1384/kartor_geotiff/A 46251-2024 georefererad karta.tif", "A 46251-2024")</f>
        <v/>
      </c>
      <c r="AA124">
        <f>HYPERLINK("https://klasma.github.io/Logging_1384/klagomål/A 46251-2024 FSC-klagomål.docx", "A 46251-2024")</f>
        <v/>
      </c>
      <c r="AB124">
        <f>HYPERLINK("https://klasma.github.io/Logging_1384/klagomålsmail/A 46251-2024 FSC-klagomål mail.docx", "A 46251-2024")</f>
        <v/>
      </c>
      <c r="AC124">
        <f>HYPERLINK("https://klasma.github.io/Logging_1384/tillsyn/A 46251-2024 tillsynsbegäran.docx", "A 46251-2024")</f>
        <v/>
      </c>
      <c r="AD124">
        <f>HYPERLINK("https://klasma.github.io/Logging_1384/tillsynsmail/A 46251-2024 tillsynsbegäran mail.docx", "A 46251-2024")</f>
        <v/>
      </c>
    </row>
    <row r="125" ht="15" customHeight="1">
      <c r="A125" t="inlineStr">
        <is>
          <t>A 24055-2024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45456</v>
      </c>
      <c r="E125" s="1" t="n">
        <v>46315</v>
      </c>
      <c r="F125" t="inlineStr">
        <is>
          <t>HALLANDS LÄN</t>
        </is>
      </c>
      <c r="G125" t="inlineStr">
        <is>
          <t>FALKENBERG</t>
        </is>
      </c>
      <c r="I125" t="n">
        <v>7.7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5</v>
      </c>
      <c r="U125" t="n">
        <v>4</v>
      </c>
      <c r="V125" s="2" t="inlineStr">
        <is>
          <t>Tjäder
Revlummer</t>
        </is>
      </c>
      <c r="W125">
        <f>HYPERLINK("https://klasma.github.io/Logging_1382/artfynd/A 24055-2024 artfynd.xlsx", "A 24055-2024")</f>
        <v/>
      </c>
      <c r="X125">
        <f>HYPERLINK("https://klasma.github.io/Logging_1382/kartor/A 24055-2024 karta.png", "A 24055-2024")</f>
        <v/>
      </c>
      <c r="Y125">
        <f>HYPERLINK("https://klasma.github.io/Logging_1382/kartor_geotiff/A 24055-2024 georefererad karta.tif", "A 24055-2024")</f>
        <v/>
      </c>
      <c r="AA125">
        <f>HYPERLINK("https://klasma.github.io/Logging_1382/klagomål/A 24055-2024 FSC-klagomål.docx", "A 24055-2024")</f>
        <v/>
      </c>
      <c r="AB125">
        <f>HYPERLINK("https://klasma.github.io/Logging_1382/klagomålsmail/A 24055-2024 FSC-klagomål mail.docx", "A 24055-2024")</f>
        <v/>
      </c>
      <c r="AC125">
        <f>HYPERLINK("https://klasma.github.io/Logging_1382/tillsyn/A 24055-2024 tillsynsbegäran.docx", "A 24055-2024")</f>
        <v/>
      </c>
      <c r="AD125">
        <f>HYPERLINK("https://klasma.github.io/Logging_1382/tillsynsmail/A 24055-2024 tillsynsbegäran mail.docx", "A 24055-2024")</f>
        <v/>
      </c>
      <c r="AE125">
        <f>HYPERLINK("https://klasma.github.io/Logging_1382/fåglar/A 24055-2024 prioriterade fågelarter.docx", "A 24055-2024")</f>
        <v/>
      </c>
    </row>
    <row r="126" ht="15" customHeight="1">
      <c r="A126" t="inlineStr">
        <is>
          <t>S 644-2024</t>
        </is>
      </c>
      <c r="B126" t="inlineStr">
        <is>
          <t>samrådsanmälan</t>
        </is>
      </c>
      <c r="C126" t="inlineStr">
        <is>
          <t>Askåterföring</t>
        </is>
      </c>
      <c r="D126" s="1" t="n">
        <v>45356</v>
      </c>
      <c r="E126" s="1" t="n">
        <v>46315</v>
      </c>
      <c r="F126" t="inlineStr">
        <is>
          <t>HALLANDS LÄN</t>
        </is>
      </c>
      <c r="G126" t="inlineStr">
        <is>
          <t>FALKENBERG</t>
        </is>
      </c>
      <c r="I126" t="n">
        <v>80.3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2</v>
      </c>
      <c r="T126" t="n">
        <v>2</v>
      </c>
      <c r="U126" t="n">
        <v>0</v>
      </c>
      <c r="V126" s="2" t="inlineStr">
        <is>
          <t>Nordfladdermus
Dvärgpipistrell</t>
        </is>
      </c>
      <c r="W126">
        <f>HYPERLINK("https://klasma.github.io/Logging_1382/artfynd/S 644-2024 artfynd.xlsx", "S 644-2024")</f>
        <v/>
      </c>
      <c r="X126">
        <f>HYPERLINK("https://klasma.github.io/Logging_1382/kartor/S 644-2024 karta.png", "S 644-2024")</f>
        <v/>
      </c>
      <c r="Y126">
        <f>HYPERLINK("https://klasma.github.io/Logging_1382/kartor_geotiff/S 644-2024 georefererad karta.tif", "S 644-2024")</f>
        <v/>
      </c>
      <c r="AA126">
        <f>HYPERLINK("https://klasma.github.io/Logging_1382/klagomål/S 644-2024 FSC-klagomål.docx", "S 644-2024")</f>
        <v/>
      </c>
      <c r="AB126">
        <f>HYPERLINK("https://klasma.github.io/Logging_1382/klagomålsmail/S 644-2024 FSC-klagomål mail.docx", "S 644-2024")</f>
        <v/>
      </c>
      <c r="AC126">
        <f>HYPERLINK("https://klasma.github.io/Logging_1382/tillsyn/S 644-2024 tillsynsbegäran.docx", "S 644-2024")</f>
        <v/>
      </c>
      <c r="AD126">
        <f>HYPERLINK("https://klasma.github.io/Logging_1382/tillsynsmail/S 644-2024 tillsynsbegäran mail.docx", "S 644-2024")</f>
        <v/>
      </c>
    </row>
    <row r="127" ht="15" customHeight="1">
      <c r="A127" t="inlineStr">
        <is>
          <t>S 5114-2022</t>
        </is>
      </c>
      <c r="B127" t="inlineStr">
        <is>
          <t>samrådsanmälan</t>
        </is>
      </c>
      <c r="C127" t="inlineStr">
        <is>
          <t>Annan skogsbruksåtgärd</t>
        </is>
      </c>
      <c r="D127" s="1" t="n">
        <v>44818</v>
      </c>
      <c r="E127" s="1" t="n">
        <v>46315</v>
      </c>
      <c r="F127" t="inlineStr">
        <is>
          <t>HALLANDS LÄN</t>
        </is>
      </c>
      <c r="G127" t="inlineStr">
        <is>
          <t>FALKENBERG</t>
        </is>
      </c>
      <c r="I127" t="n">
        <v>17.4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1</v>
      </c>
      <c r="S127" t="n">
        <v>2</v>
      </c>
      <c r="T127" t="n">
        <v>2</v>
      </c>
      <c r="U127" t="n">
        <v>1</v>
      </c>
      <c r="V127" s="2" t="inlineStr">
        <is>
          <t>Slåttergubbe
Åkerkål</t>
        </is>
      </c>
      <c r="W127">
        <f>HYPERLINK("https://klasma.github.io/Logging_1382/artfynd/S 5114-2022 artfynd.xlsx", "S 5114-2022")</f>
        <v/>
      </c>
      <c r="X127">
        <f>HYPERLINK("https://klasma.github.io/Logging_1382/kartor/S 5114-2022 karta.png", "S 5114-2022")</f>
        <v/>
      </c>
      <c r="Y127">
        <f>HYPERLINK("https://klasma.github.io/Logging_1382/kartor_geotiff/S 5114-2022 georefererad karta.tif", "S 5114-2022")</f>
        <v/>
      </c>
      <c r="AA127">
        <f>HYPERLINK("https://klasma.github.io/Logging_1382/klagomål/S 5114-2022 FSC-klagomål.docx", "S 5114-2022")</f>
        <v/>
      </c>
      <c r="AB127">
        <f>HYPERLINK("https://klasma.github.io/Logging_1382/klagomålsmail/S 5114-2022 FSC-klagomål mail.docx", "S 5114-2022")</f>
        <v/>
      </c>
      <c r="AC127">
        <f>HYPERLINK("https://klasma.github.io/Logging_1382/tillsyn/S 5114-2022 tillsynsbegäran.docx", "S 5114-2022")</f>
        <v/>
      </c>
      <c r="AD127">
        <f>HYPERLINK("https://klasma.github.io/Logging_1382/tillsynsmail/S 5114-2022 tillsynsbegäran mail.docx", "S 5114-2022")</f>
        <v/>
      </c>
    </row>
    <row r="128" ht="15" customHeight="1">
      <c r="A128" t="inlineStr">
        <is>
          <t>S 8972-2021</t>
        </is>
      </c>
      <c r="B128" t="inlineStr">
        <is>
          <t>samrådsanmälan</t>
        </is>
      </c>
      <c r="C128" t="inlineStr">
        <is>
          <t>Annan skogsbruksåtgärd</t>
        </is>
      </c>
      <c r="D128" s="1" t="n">
        <v>44507</v>
      </c>
      <c r="E128" s="1" t="n">
        <v>46315</v>
      </c>
      <c r="F128" t="inlineStr">
        <is>
          <t>HALLANDS LÄN</t>
        </is>
      </c>
      <c r="G128" t="inlineStr">
        <is>
          <t>FALKENBERG</t>
        </is>
      </c>
      <c r="I128" t="n">
        <v>1.9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  <c r="R128" t="n">
        <v>1</v>
      </c>
      <c r="S128" t="n">
        <v>2</v>
      </c>
      <c r="T128" t="n">
        <v>2</v>
      </c>
      <c r="U128" t="n">
        <v>1</v>
      </c>
      <c r="V128" s="2" t="inlineStr">
        <is>
          <t>Ask
Ängsskära</t>
        </is>
      </c>
      <c r="W128">
        <f>HYPERLINK("https://klasma.github.io/Logging_1382/artfynd/S 8972-2021 artfynd.xlsx", "S 8972-2021")</f>
        <v/>
      </c>
      <c r="X128">
        <f>HYPERLINK("https://klasma.github.io/Logging_1382/kartor/S 8972-2021 karta.png", "S 8972-2021")</f>
        <v/>
      </c>
      <c r="Y128">
        <f>HYPERLINK("https://klasma.github.io/Logging_1382/kartor_geotiff/S 8972-2021 georefererad karta.tif", "S 8972-2021")</f>
        <v/>
      </c>
      <c r="AA128">
        <f>HYPERLINK("https://klasma.github.io/Logging_1382/klagomål/S 8972-2021 FSC-klagomål.docx", "S 8972-2021")</f>
        <v/>
      </c>
      <c r="AB128">
        <f>HYPERLINK("https://klasma.github.io/Logging_1382/klagomålsmail/S 8972-2021 FSC-klagomål mail.docx", "S 8972-2021")</f>
        <v/>
      </c>
      <c r="AC128">
        <f>HYPERLINK("https://klasma.github.io/Logging_1382/tillsyn/S 8972-2021 tillsynsbegäran.docx", "S 8972-2021")</f>
        <v/>
      </c>
      <c r="AD128">
        <f>HYPERLINK("https://klasma.github.io/Logging_1382/tillsynsmail/S 8972-2021 tillsynsbegäran mail.docx", "S 8972-2021")</f>
        <v/>
      </c>
    </row>
    <row r="129" ht="15" customHeight="1">
      <c r="A129" t="inlineStr">
        <is>
          <t>S 72-2024</t>
        </is>
      </c>
      <c r="B129" t="inlineStr">
        <is>
          <t>samrådsanmälan</t>
        </is>
      </c>
      <c r="C129" t="inlineStr">
        <is>
          <t>Askåterföring</t>
        </is>
      </c>
      <c r="D129" s="1" t="n">
        <v>45300</v>
      </c>
      <c r="E129" s="1" t="n">
        <v>46315</v>
      </c>
      <c r="F129" t="inlineStr">
        <is>
          <t>HALLANDS LÄN</t>
        </is>
      </c>
      <c r="G129" t="inlineStr">
        <is>
          <t>VARBERG</t>
        </is>
      </c>
      <c r="I129" t="n">
        <v>37.2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2</v>
      </c>
      <c r="U129" t="n">
        <v>2</v>
      </c>
      <c r="V129" s="2" t="inlineStr">
        <is>
          <t>Spillkråka
Kungsfågel</t>
        </is>
      </c>
      <c r="W129">
        <f>HYPERLINK("https://klasma.github.io/Logging_1383/artfynd/S 72-2024 artfynd.xlsx", "S 72-2024")</f>
        <v/>
      </c>
      <c r="X129">
        <f>HYPERLINK("https://klasma.github.io/Logging_1383/kartor/S 72-2024 karta.png", "S 72-2024")</f>
        <v/>
      </c>
      <c r="Y129">
        <f>HYPERLINK("https://klasma.github.io/Logging_1383/kartor_geotiff/S 72-2024 georefererad karta.tif", "S 72-2024")</f>
        <v/>
      </c>
      <c r="AA129">
        <f>HYPERLINK("https://klasma.github.io/Logging_1383/klagomål/S 72-2024 FSC-klagomål.docx", "S 72-2024")</f>
        <v/>
      </c>
      <c r="AB129">
        <f>HYPERLINK("https://klasma.github.io/Logging_1383/klagomålsmail/S 72-2024 FSC-klagomål mail.docx", "S 72-2024")</f>
        <v/>
      </c>
      <c r="AC129">
        <f>HYPERLINK("https://klasma.github.io/Logging_1383/tillsyn/S 72-2024 tillsynsbegäran.docx", "S 72-2024")</f>
        <v/>
      </c>
      <c r="AD129">
        <f>HYPERLINK("https://klasma.github.io/Logging_1383/tillsynsmail/S 72-2024 tillsynsbegäran mail.docx", "S 72-2024")</f>
        <v/>
      </c>
      <c r="AE129">
        <f>HYPERLINK("https://klasma.github.io/Logging_1383/fåglar/S 72-2024 prioriterade fågelarter.docx", "S 72-2024")</f>
        <v/>
      </c>
    </row>
    <row r="130" ht="15" customHeight="1">
      <c r="A130" t="inlineStr">
        <is>
          <t>S 1924-2025</t>
        </is>
      </c>
      <c r="B130" t="inlineStr">
        <is>
          <t>samrådsanmälan</t>
        </is>
      </c>
      <c r="C130" t="inlineStr">
        <is>
          <t>Annan skogsbruksåtgärd</t>
        </is>
      </c>
      <c r="D130" s="1" t="n">
        <v>45827</v>
      </c>
      <c r="E130" s="1" t="n">
        <v>46315</v>
      </c>
      <c r="F130" t="inlineStr">
        <is>
          <t>HALLANDS LÄN</t>
        </is>
      </c>
      <c r="G130" t="inlineStr">
        <is>
          <t>LAHOLM</t>
        </is>
      </c>
      <c r="I130" t="n">
        <v>11.1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2</v>
      </c>
      <c r="U130" t="n">
        <v>0</v>
      </c>
      <c r="V130" s="2" t="inlineStr">
        <is>
          <t>Havstulpanlav
Stor knopplav</t>
        </is>
      </c>
      <c r="W130">
        <f>HYPERLINK("https://klasma.github.io/Logging_1381/artfynd/S 1924-2025 artfynd.xlsx", "S 1924-2025")</f>
        <v/>
      </c>
      <c r="X130">
        <f>HYPERLINK("https://klasma.github.io/Logging_1381/kartor/S 1924-2025 karta.png", "S 1924-2025")</f>
        <v/>
      </c>
      <c r="Y130">
        <f>HYPERLINK("https://klasma.github.io/Logging_1381/kartor_geotiff/S 1924-2025 georefererad karta.tif", "S 1924-2025")</f>
        <v/>
      </c>
      <c r="AA130">
        <f>HYPERLINK("https://klasma.github.io/Logging_1381/klagomål/S 1924-2025 FSC-klagomål.docx", "S 1924-2025")</f>
        <v/>
      </c>
      <c r="AB130">
        <f>HYPERLINK("https://klasma.github.io/Logging_1381/klagomålsmail/S 1924-2025 FSC-klagomål mail.docx", "S 1924-2025")</f>
        <v/>
      </c>
      <c r="AC130">
        <f>HYPERLINK("https://klasma.github.io/Logging_1381/tillsyn/S 1924-2025 tillsynsbegäran.docx", "S 1924-2025")</f>
        <v/>
      </c>
      <c r="AD130">
        <f>HYPERLINK("https://klasma.github.io/Logging_1381/tillsynsmail/S 1924-2025 tillsynsbegäran mail.docx", "S 1924-2025")</f>
        <v/>
      </c>
    </row>
    <row r="131" ht="15" customHeight="1">
      <c r="A131" t="inlineStr">
        <is>
          <t>S 142-2026</t>
        </is>
      </c>
      <c r="B131" t="inlineStr">
        <is>
          <t>samrådsanmälan</t>
        </is>
      </c>
      <c r="C131" t="inlineStr">
        <is>
          <t>Askåterföring</t>
        </is>
      </c>
      <c r="D131" s="1" t="n">
        <v>46042</v>
      </c>
      <c r="E131" s="1" t="n">
        <v>46315</v>
      </c>
      <c r="F131" t="inlineStr">
        <is>
          <t>HALLANDS LÄN</t>
        </is>
      </c>
      <c r="G131" t="inlineStr">
        <is>
          <t>VARBERG</t>
        </is>
      </c>
      <c r="I131" t="n">
        <v>81.3</v>
      </c>
      <c r="J131" t="n">
        <v>2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2</v>
      </c>
      <c r="U131" t="n">
        <v>0</v>
      </c>
      <c r="V131" s="2" t="inlineStr">
        <is>
          <t>Talltita
Grönsiska</t>
        </is>
      </c>
      <c r="W131">
        <f>HYPERLINK("https://klasma.github.io/Logging_1383/artfynd/S 142-2026 artfynd.xlsx", "S 142-2026")</f>
        <v/>
      </c>
      <c r="X131">
        <f>HYPERLINK("https://klasma.github.io/Logging_1383/kartor/S 142-2026 karta.png", "S 142-2026")</f>
        <v/>
      </c>
      <c r="Y131">
        <f>HYPERLINK("https://klasma.github.io/Logging_1383/kartor_geotiff/S 142-2026 georefererad karta.tif", "S 142-2026")</f>
        <v/>
      </c>
      <c r="AA131">
        <f>HYPERLINK("https://klasma.github.io/Logging_1383/klagomål/S 142-2026 FSC-klagomål.docx", "S 142-2026")</f>
        <v/>
      </c>
      <c r="AB131">
        <f>HYPERLINK("https://klasma.github.io/Logging_1383/klagomålsmail/S 142-2026 FSC-klagomål mail.docx", "S 142-2026")</f>
        <v/>
      </c>
      <c r="AC131">
        <f>HYPERLINK("https://klasma.github.io/Logging_1383/tillsyn/S 142-2026 tillsynsbegäran.docx", "S 142-2026")</f>
        <v/>
      </c>
      <c r="AD131">
        <f>HYPERLINK("https://klasma.github.io/Logging_1383/tillsynsmail/S 142-2026 tillsynsbegäran mail.docx", "S 142-2026")</f>
        <v/>
      </c>
      <c r="AE131">
        <f>HYPERLINK("https://klasma.github.io/Logging_1383/fåglar/S 142-2026 prioriterade fågelarter.docx", "S 142-2026")</f>
        <v/>
      </c>
    </row>
    <row r="132" ht="15" customHeight="1">
      <c r="A132" t="inlineStr">
        <is>
          <t>S 1082-2026</t>
        </is>
      </c>
      <c r="B132" t="inlineStr">
        <is>
          <t>samrådsanmälan</t>
        </is>
      </c>
      <c r="C132" t="inlineStr">
        <is>
          <t>Annan skogsbruksåtgärd</t>
        </is>
      </c>
      <c r="D132" s="1" t="n">
        <v>46130</v>
      </c>
      <c r="E132" s="1" t="n">
        <v>46315</v>
      </c>
      <c r="F132" t="inlineStr">
        <is>
          <t>HALLANDS LÄN</t>
        </is>
      </c>
      <c r="G132" t="inlineStr">
        <is>
          <t>HYLTE</t>
        </is>
      </c>
      <c r="I132" t="n">
        <v>0.4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2</v>
      </c>
      <c r="T132" t="n">
        <v>4</v>
      </c>
      <c r="U132" t="n">
        <v>0</v>
      </c>
      <c r="V132" s="2" t="inlineStr">
        <is>
          <t>Ask
Tibast</t>
        </is>
      </c>
      <c r="W132">
        <f>HYPERLINK("https://klasma.github.io/Logging_1315/artfynd/S 1082-2026 artfynd.xlsx", "S 1082-2026")</f>
        <v/>
      </c>
      <c r="X132">
        <f>HYPERLINK("https://klasma.github.io/Logging_1315/kartor/S 1082-2026 karta.png", "S 1082-2026")</f>
        <v/>
      </c>
      <c r="Y132">
        <f>HYPERLINK("https://klasma.github.io/Logging_1315/kartor_geotiff/S 1082-2026 georefererad karta.tif", "S 1082-2026")</f>
        <v/>
      </c>
      <c r="AA132">
        <f>HYPERLINK("https://klasma.github.io/Logging_1315/klagomål/S 1082-2026 FSC-klagomål.docx", "S 1082-2026")</f>
        <v/>
      </c>
      <c r="AB132">
        <f>HYPERLINK("https://klasma.github.io/Logging_1315/klagomålsmail/S 1082-2026 FSC-klagomål mail.docx", "S 1082-2026")</f>
        <v/>
      </c>
      <c r="AC132">
        <f>HYPERLINK("https://klasma.github.io/Logging_1315/tillsyn/S 1082-2026 tillsynsbegäran.docx", "S 1082-2026")</f>
        <v/>
      </c>
      <c r="AD132">
        <f>HYPERLINK("https://klasma.github.io/Logging_1315/tillsynsmail/S 1082-2026 tillsynsbegäran mail.docx", "S 1082-2026")</f>
        <v/>
      </c>
    </row>
    <row r="133" ht="15" customHeight="1">
      <c r="A133" t="inlineStr">
        <is>
          <t>S 1371-2026</t>
        </is>
      </c>
      <c r="B133" t="inlineStr">
        <is>
          <t>samrådsanmälan</t>
        </is>
      </c>
      <c r="C133" t="inlineStr">
        <is>
          <t>Askåterföring</t>
        </is>
      </c>
      <c r="D133" s="1" t="n">
        <v>46153</v>
      </c>
      <c r="E133" s="1" t="n">
        <v>46315</v>
      </c>
      <c r="F133" t="inlineStr">
        <is>
          <t>HALLANDS LÄN</t>
        </is>
      </c>
      <c r="G133" t="inlineStr">
        <is>
          <t>HALMSTAD</t>
        </is>
      </c>
      <c r="I133" t="n">
        <v>26.8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2</v>
      </c>
      <c r="T133" t="n">
        <v>4</v>
      </c>
      <c r="U133" t="n">
        <v>0</v>
      </c>
      <c r="V133" s="2" t="inlineStr">
        <is>
          <t>Hårginst
Källmossor</t>
        </is>
      </c>
      <c r="W133">
        <f>HYPERLINK("https://klasma.github.io/Logging_1380/artfynd/S 1371-2026 artfynd.xlsx", "S 1371-2026")</f>
        <v/>
      </c>
      <c r="X133">
        <f>HYPERLINK("https://klasma.github.io/Logging_1380/kartor/S 1371-2026 karta.png", "S 1371-2026")</f>
        <v/>
      </c>
      <c r="Y133">
        <f>HYPERLINK("https://klasma.github.io/Logging_1380/kartor_geotiff/S 1371-2026 georefererad karta.tif", "S 1371-2026")</f>
        <v/>
      </c>
      <c r="AA133">
        <f>HYPERLINK("https://klasma.github.io/Logging_1380/klagomål/S 1371-2026 FSC-klagomål.docx", "S 1371-2026")</f>
        <v/>
      </c>
      <c r="AB133">
        <f>HYPERLINK("https://klasma.github.io/Logging_1380/klagomålsmail/S 1371-2026 FSC-klagomål mail.docx", "S 1371-2026")</f>
        <v/>
      </c>
      <c r="AC133">
        <f>HYPERLINK("https://klasma.github.io/Logging_1380/tillsyn/S 1371-2026 tillsynsbegäran.docx", "S 1371-2026")</f>
        <v/>
      </c>
      <c r="AD133">
        <f>HYPERLINK("https://klasma.github.io/Logging_1380/tillsynsmail/S 1371-2026 tillsynsbegäran mail.docx", "S 1371-2026")</f>
        <v/>
      </c>
    </row>
    <row r="134" ht="15" customHeight="1">
      <c r="A134" t="inlineStr">
        <is>
          <t>A 52318-2022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44873</v>
      </c>
      <c r="E134" s="1" t="n">
        <v>46315</v>
      </c>
      <c r="F134" t="inlineStr">
        <is>
          <t>HALLANDS LÄN</t>
        </is>
      </c>
      <c r="G134" t="inlineStr">
        <is>
          <t>KUNGSBACKA</t>
        </is>
      </c>
      <c r="I134" t="n">
        <v>2.3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Fläcknycklar</t>
        </is>
      </c>
      <c r="W134">
        <f>HYPERLINK("https://klasma.github.io/Logging_1384/artfynd/A 52318-2022 artfynd.xlsx", "A 52318-2022")</f>
        <v/>
      </c>
      <c r="X134">
        <f>HYPERLINK("https://klasma.github.io/Logging_1384/kartor/A 52318-2022 karta.png", "A 52318-2022")</f>
        <v/>
      </c>
      <c r="Y134">
        <f>HYPERLINK("https://klasma.github.io/Logging_1384/kartor_geotiff/A 52318-2022 georefererad karta.tif", "A 52318-2022")</f>
        <v/>
      </c>
      <c r="AA134">
        <f>HYPERLINK("https://klasma.github.io/Logging_1384/klagomål/A 52318-2022 FSC-klagomål.docx", "A 52318-2022")</f>
        <v/>
      </c>
      <c r="AB134">
        <f>HYPERLINK("https://klasma.github.io/Logging_1384/klagomålsmail/A 52318-2022 FSC-klagomål mail.docx", "A 52318-2022")</f>
        <v/>
      </c>
      <c r="AC134">
        <f>HYPERLINK("https://klasma.github.io/Logging_1384/tillsyn/A 52318-2022 tillsynsbegäran.docx", "A 52318-2022")</f>
        <v/>
      </c>
      <c r="AD134">
        <f>HYPERLINK("https://klasma.github.io/Logging_1384/tillsynsmail/A 52318-2022 tillsynsbegäran mail.docx", "A 52318-2022")</f>
        <v/>
      </c>
    </row>
    <row r="135" ht="15" customHeight="1">
      <c r="A135" t="inlineStr">
        <is>
          <t>A 26240-2022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44735</v>
      </c>
      <c r="E135" s="1" t="n">
        <v>46315</v>
      </c>
      <c r="F135" t="inlineStr">
        <is>
          <t>HALLANDS LÄN</t>
        </is>
      </c>
      <c r="G135" t="inlineStr">
        <is>
          <t>LAHOLM</t>
        </is>
      </c>
      <c r="I135" t="n">
        <v>2.7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Tibast</t>
        </is>
      </c>
      <c r="W135">
        <f>HYPERLINK("https://klasma.github.io/Logging_1381/artfynd/A 26240-2022 artfynd.xlsx", "A 26240-2022")</f>
        <v/>
      </c>
      <c r="X135">
        <f>HYPERLINK("https://klasma.github.io/Logging_1381/kartor/A 26240-2022 karta.png", "A 26240-2022")</f>
        <v/>
      </c>
      <c r="Y135">
        <f>HYPERLINK("https://klasma.github.io/Logging_1381/kartor_geotiff/A 26240-2022 georefererad karta.tif", "A 26240-2022")</f>
        <v/>
      </c>
      <c r="AA135">
        <f>HYPERLINK("https://klasma.github.io/Logging_1381/klagomål/A 26240-2022 FSC-klagomål.docx", "A 26240-2022")</f>
        <v/>
      </c>
      <c r="AB135">
        <f>HYPERLINK("https://klasma.github.io/Logging_1381/klagomålsmail/A 26240-2022 FSC-klagomål mail.docx", "A 26240-2022")</f>
        <v/>
      </c>
      <c r="AC135">
        <f>HYPERLINK("https://klasma.github.io/Logging_1381/tillsyn/A 26240-2022 tillsynsbegäran.docx", "A 26240-2022")</f>
        <v/>
      </c>
      <c r="AD135">
        <f>HYPERLINK("https://klasma.github.io/Logging_1381/tillsynsmail/A 26240-2022 tillsynsbegäran mail.docx", "A 26240-2022")</f>
        <v/>
      </c>
    </row>
    <row r="136" ht="15" customHeight="1">
      <c r="A136" t="inlineStr">
        <is>
          <t>A 13697-2022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44648</v>
      </c>
      <c r="E136" s="1" t="n">
        <v>46315</v>
      </c>
      <c r="F136" t="inlineStr">
        <is>
          <t>HALLANDS LÄN</t>
        </is>
      </c>
      <c r="G136" t="inlineStr">
        <is>
          <t>HYLTE</t>
        </is>
      </c>
      <c r="I136" t="n">
        <v>0.4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s="2" t="inlineStr">
        <is>
          <t>Ask</t>
        </is>
      </c>
      <c r="W136">
        <f>HYPERLINK("https://klasma.github.io/Logging_1315/artfynd/A 13697-2022 artfynd.xlsx", "A 13697-2022")</f>
        <v/>
      </c>
      <c r="X136">
        <f>HYPERLINK("https://klasma.github.io/Logging_1315/kartor/A 13697-2022 karta.png", "A 13697-2022")</f>
        <v/>
      </c>
      <c r="Y136">
        <f>HYPERLINK("https://klasma.github.io/Logging_1315/kartor_geotiff/A 13697-2022 georefererad karta.tif", "A 13697-2022")</f>
        <v/>
      </c>
      <c r="AA136">
        <f>HYPERLINK("https://klasma.github.io/Logging_1315/klagomål/A 13697-2022 FSC-klagomål.docx", "A 13697-2022")</f>
        <v/>
      </c>
      <c r="AB136">
        <f>HYPERLINK("https://klasma.github.io/Logging_1315/klagomålsmail/A 13697-2022 FSC-klagomål mail.docx", "A 13697-2022")</f>
        <v/>
      </c>
      <c r="AC136">
        <f>HYPERLINK("https://klasma.github.io/Logging_1315/tillsyn/A 13697-2022 tillsynsbegäran.docx", "A 13697-2022")</f>
        <v/>
      </c>
      <c r="AD136">
        <f>HYPERLINK("https://klasma.github.io/Logging_1315/tillsynsmail/A 13697-2022 tillsynsbegäran mail.docx", "A 13697-2022")</f>
        <v/>
      </c>
    </row>
    <row r="137" ht="15" customHeight="1">
      <c r="A137" t="inlineStr">
        <is>
          <t>A 14176-2022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44651</v>
      </c>
      <c r="E137" s="1" t="n">
        <v>46315</v>
      </c>
      <c r="F137" t="inlineStr">
        <is>
          <t>HALLANDS LÄN</t>
        </is>
      </c>
      <c r="G137" t="inlineStr">
        <is>
          <t>HYLTE</t>
        </is>
      </c>
      <c r="I137" t="n">
        <v>0.4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Sotlav</t>
        </is>
      </c>
      <c r="W137">
        <f>HYPERLINK("https://klasma.github.io/Logging_1315/artfynd/A 14176-2022 artfynd.xlsx", "A 14176-2022")</f>
        <v/>
      </c>
      <c r="X137">
        <f>HYPERLINK("https://klasma.github.io/Logging_1315/kartor/A 14176-2022 karta.png", "A 14176-2022")</f>
        <v/>
      </c>
      <c r="Y137">
        <f>HYPERLINK("https://klasma.github.io/Logging_1315/kartor_geotiff/A 14176-2022 georefererad karta.tif", "A 14176-2022")</f>
        <v/>
      </c>
      <c r="AA137">
        <f>HYPERLINK("https://klasma.github.io/Logging_1315/klagomål/A 14176-2022 FSC-klagomål.docx", "A 14176-2022")</f>
        <v/>
      </c>
      <c r="AB137">
        <f>HYPERLINK("https://klasma.github.io/Logging_1315/klagomålsmail/A 14176-2022 FSC-klagomål mail.docx", "A 14176-2022")</f>
        <v/>
      </c>
      <c r="AC137">
        <f>HYPERLINK("https://klasma.github.io/Logging_1315/tillsyn/A 14176-2022 tillsynsbegäran.docx", "A 14176-2022")</f>
        <v/>
      </c>
      <c r="AD137">
        <f>HYPERLINK("https://klasma.github.io/Logging_1315/tillsynsmail/A 14176-2022 tillsynsbegäran mail.docx", "A 14176-2022")</f>
        <v/>
      </c>
    </row>
    <row r="138" ht="15" customHeight="1">
      <c r="A138" t="inlineStr">
        <is>
          <t>A 53267-2022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44876</v>
      </c>
      <c r="E138" s="1" t="n">
        <v>46315</v>
      </c>
      <c r="F138" t="inlineStr">
        <is>
          <t>HALLANDS LÄN</t>
        </is>
      </c>
      <c r="G138" t="inlineStr">
        <is>
          <t>HYLTE</t>
        </is>
      </c>
      <c r="I138" t="n">
        <v>4.2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s="2" t="inlineStr">
        <is>
          <t>Ask</t>
        </is>
      </c>
      <c r="W138">
        <f>HYPERLINK("https://klasma.github.io/Logging_1315/artfynd/A 53267-2022 artfynd.xlsx", "A 53267-2022")</f>
        <v/>
      </c>
      <c r="X138">
        <f>HYPERLINK("https://klasma.github.io/Logging_1315/kartor/A 53267-2022 karta.png", "A 53267-2022")</f>
        <v/>
      </c>
      <c r="Y138">
        <f>HYPERLINK("https://klasma.github.io/Logging_1315/kartor_geotiff/A 53267-2022 georefererad karta.tif", "A 53267-2022")</f>
        <v/>
      </c>
      <c r="AA138">
        <f>HYPERLINK("https://klasma.github.io/Logging_1315/klagomål/A 53267-2022 FSC-klagomål.docx", "A 53267-2022")</f>
        <v/>
      </c>
      <c r="AB138">
        <f>HYPERLINK("https://klasma.github.io/Logging_1315/klagomålsmail/A 53267-2022 FSC-klagomål mail.docx", "A 53267-2022")</f>
        <v/>
      </c>
      <c r="AC138">
        <f>HYPERLINK("https://klasma.github.io/Logging_1315/tillsyn/A 53267-2022 tillsynsbegäran.docx", "A 53267-2022")</f>
        <v/>
      </c>
      <c r="AD138">
        <f>HYPERLINK("https://klasma.github.io/Logging_1315/tillsynsmail/A 53267-2022 tillsynsbegäran mail.docx", "A 53267-2022")</f>
        <v/>
      </c>
    </row>
    <row r="139" ht="15" customHeight="1">
      <c r="A139" t="inlineStr">
        <is>
          <t>A 13434-2022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44645</v>
      </c>
      <c r="E139" s="1" t="n">
        <v>46315</v>
      </c>
      <c r="F139" t="inlineStr">
        <is>
          <t>HALLANDS LÄN</t>
        </is>
      </c>
      <c r="G139" t="inlineStr">
        <is>
          <t>KUNGSBACKA</t>
        </is>
      </c>
      <c r="I139" t="n">
        <v>4.6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2</v>
      </c>
      <c r="U139" t="n">
        <v>2</v>
      </c>
      <c r="V139" s="2" t="inlineStr">
        <is>
          <t>Revlummer</t>
        </is>
      </c>
      <c r="W139">
        <f>HYPERLINK("https://klasma.github.io/Logging_1384/artfynd/A 13434-2022 artfynd.xlsx", "A 13434-2022")</f>
        <v/>
      </c>
      <c r="X139">
        <f>HYPERLINK("https://klasma.github.io/Logging_1384/kartor/A 13434-2022 karta.png", "A 13434-2022")</f>
        <v/>
      </c>
      <c r="Y139">
        <f>HYPERLINK("https://klasma.github.io/Logging_1384/kartor_geotiff/A 13434-2022 georefererad karta.tif", "A 13434-2022")</f>
        <v/>
      </c>
      <c r="AA139">
        <f>HYPERLINK("https://klasma.github.io/Logging_1384/klagomål/A 13434-2022 FSC-klagomål.docx", "A 13434-2022")</f>
        <v/>
      </c>
      <c r="AB139">
        <f>HYPERLINK("https://klasma.github.io/Logging_1384/klagomålsmail/A 13434-2022 FSC-klagomål mail.docx", "A 13434-2022")</f>
        <v/>
      </c>
      <c r="AC139">
        <f>HYPERLINK("https://klasma.github.io/Logging_1384/tillsyn/A 13434-2022 tillsynsbegäran.docx", "A 13434-2022")</f>
        <v/>
      </c>
      <c r="AD139">
        <f>HYPERLINK("https://klasma.github.io/Logging_1384/tillsynsmail/A 13434-2022 tillsynsbegäran mail.docx", "A 13434-2022")</f>
        <v/>
      </c>
    </row>
    <row r="140" ht="15" customHeight="1">
      <c r="A140" t="inlineStr">
        <is>
          <t>A 71022-2021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44537</v>
      </c>
      <c r="E140" s="1" t="n">
        <v>46315</v>
      </c>
      <c r="F140" t="inlineStr">
        <is>
          <t>HALLANDS LÄN</t>
        </is>
      </c>
      <c r="G140" t="inlineStr">
        <is>
          <t>HALMSTAD</t>
        </is>
      </c>
      <c r="H140" t="inlineStr">
        <is>
          <t>Bergvik skog väst AB</t>
        </is>
      </c>
      <c r="I140" t="n">
        <v>11.4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s="2" t="inlineStr">
        <is>
          <t>Vanlig padda</t>
        </is>
      </c>
      <c r="W140">
        <f>HYPERLINK("https://klasma.github.io/Logging_1380/artfynd/A 71022-2021 artfynd.xlsx", "A 71022-2021")</f>
        <v/>
      </c>
      <c r="X140">
        <f>HYPERLINK("https://klasma.github.io/Logging_1380/kartor/A 71022-2021 karta.png", "A 71022-2021")</f>
        <v/>
      </c>
      <c r="Y140">
        <f>HYPERLINK("https://klasma.github.io/Logging_1380/kartor_geotiff/A 71022-2021 georefererad karta.tif", "A 71022-2021")</f>
        <v/>
      </c>
      <c r="AA140">
        <f>HYPERLINK("https://klasma.github.io/Logging_1380/klagomål/A 71022-2021 FSC-klagomål.docx", "A 71022-2021")</f>
        <v/>
      </c>
      <c r="AB140">
        <f>HYPERLINK("https://klasma.github.io/Logging_1380/klagomålsmail/A 71022-2021 FSC-klagomål mail.docx", "A 71022-2021")</f>
        <v/>
      </c>
      <c r="AC140">
        <f>HYPERLINK("https://klasma.github.io/Logging_1380/tillsyn/A 71022-2021 tillsynsbegäran.docx", "A 71022-2021")</f>
        <v/>
      </c>
      <c r="AD140">
        <f>HYPERLINK("https://klasma.github.io/Logging_1380/tillsynsmail/A 71022-2021 tillsynsbegäran mail.docx", "A 71022-2021")</f>
        <v/>
      </c>
    </row>
    <row r="141" ht="15" customHeight="1">
      <c r="A141" t="inlineStr">
        <is>
          <t>A 70769-2021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44537</v>
      </c>
      <c r="E141" s="1" t="n">
        <v>46315</v>
      </c>
      <c r="F141" t="inlineStr">
        <is>
          <t>HALLANDS LÄN</t>
        </is>
      </c>
      <c r="G141" t="inlineStr">
        <is>
          <t>HALMSTAD</t>
        </is>
      </c>
      <c r="H141" t="inlineStr">
        <is>
          <t>Kyrkan</t>
        </is>
      </c>
      <c r="I141" t="n">
        <v>1.2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Brandticka</t>
        </is>
      </c>
      <c r="W141">
        <f>HYPERLINK("https://klasma.github.io/Logging_1380/artfynd/A 70769-2021 artfynd.xlsx", "A 70769-2021")</f>
        <v/>
      </c>
      <c r="X141">
        <f>HYPERLINK("https://klasma.github.io/Logging_1380/kartor/A 70769-2021 karta.png", "A 70769-2021")</f>
        <v/>
      </c>
      <c r="Y141">
        <f>HYPERLINK("https://klasma.github.io/Logging_1380/kartor_geotiff/A 70769-2021 georefererad karta.tif", "A 70769-2021")</f>
        <v/>
      </c>
      <c r="AA141">
        <f>HYPERLINK("https://klasma.github.io/Logging_1380/klagomål/A 70769-2021 FSC-klagomål.docx", "A 70769-2021")</f>
        <v/>
      </c>
      <c r="AB141">
        <f>HYPERLINK("https://klasma.github.io/Logging_1380/klagomålsmail/A 70769-2021 FSC-klagomål mail.docx", "A 70769-2021")</f>
        <v/>
      </c>
      <c r="AC141">
        <f>HYPERLINK("https://klasma.github.io/Logging_1380/tillsyn/A 70769-2021 tillsynsbegäran.docx", "A 70769-2021")</f>
        <v/>
      </c>
      <c r="AD141">
        <f>HYPERLINK("https://klasma.github.io/Logging_1380/tillsynsmail/A 70769-2021 tillsynsbegäran mail.docx", "A 70769-2021")</f>
        <v/>
      </c>
    </row>
    <row r="142" ht="15" customHeight="1">
      <c r="A142" t="inlineStr">
        <is>
          <t>A 64129-2021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44510</v>
      </c>
      <c r="E142" s="1" t="n">
        <v>46315</v>
      </c>
      <c r="F142" t="inlineStr">
        <is>
          <t>HALLANDS LÄN</t>
        </is>
      </c>
      <c r="G142" t="inlineStr">
        <is>
          <t>KUNGSBACKA</t>
        </is>
      </c>
      <c r="I142" t="n">
        <v>1.8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s="2" t="inlineStr">
        <is>
          <t>Revlummer</t>
        </is>
      </c>
      <c r="W142">
        <f>HYPERLINK("https://klasma.github.io/Logging_1384/artfynd/A 64129-2021 artfynd.xlsx", "A 64129-2021")</f>
        <v/>
      </c>
      <c r="X142">
        <f>HYPERLINK("https://klasma.github.io/Logging_1384/kartor/A 64129-2021 karta.png", "A 64129-2021")</f>
        <v/>
      </c>
      <c r="Y142">
        <f>HYPERLINK("https://klasma.github.io/Logging_1384/kartor_geotiff/A 64129-2021 georefererad karta.tif", "A 64129-2021")</f>
        <v/>
      </c>
      <c r="AA142">
        <f>HYPERLINK("https://klasma.github.io/Logging_1384/klagomål/A 64129-2021 FSC-klagomål.docx", "A 64129-2021")</f>
        <v/>
      </c>
      <c r="AB142">
        <f>HYPERLINK("https://klasma.github.io/Logging_1384/klagomålsmail/A 64129-2021 FSC-klagomål mail.docx", "A 64129-2021")</f>
        <v/>
      </c>
      <c r="AC142">
        <f>HYPERLINK("https://klasma.github.io/Logging_1384/tillsyn/A 64129-2021 tillsynsbegäran.docx", "A 64129-2021")</f>
        <v/>
      </c>
      <c r="AD142">
        <f>HYPERLINK("https://klasma.github.io/Logging_1384/tillsynsmail/A 64129-2021 tillsynsbegäran mail.docx", "A 64129-2021")</f>
        <v/>
      </c>
    </row>
    <row r="143" ht="15" customHeight="1">
      <c r="A143" t="inlineStr">
        <is>
          <t>A 66137-2021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44517</v>
      </c>
      <c r="E143" s="1" t="n">
        <v>46315</v>
      </c>
      <c r="F143" t="inlineStr">
        <is>
          <t>HALLANDS LÄN</t>
        </is>
      </c>
      <c r="G143" t="inlineStr">
        <is>
          <t>FALKENBERG</t>
        </is>
      </c>
      <c r="I143" t="n">
        <v>1.7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s="2" t="inlineStr">
        <is>
          <t>Hasselmus</t>
        </is>
      </c>
      <c r="W143">
        <f>HYPERLINK("https://klasma.github.io/Logging_1382/artfynd/A 66137-2021 artfynd.xlsx", "A 66137-2021")</f>
        <v/>
      </c>
      <c r="X143">
        <f>HYPERLINK("https://klasma.github.io/Logging_1382/kartor/A 66137-2021 karta.png", "A 66137-2021")</f>
        <v/>
      </c>
      <c r="Y143">
        <f>HYPERLINK("https://klasma.github.io/Logging_1382/kartor_geotiff/A 66137-2021 georefererad karta.tif", "A 66137-2021")</f>
        <v/>
      </c>
      <c r="AA143">
        <f>HYPERLINK("https://klasma.github.io/Logging_1382/klagomål/A 66137-2021 FSC-klagomål.docx", "A 66137-2021")</f>
        <v/>
      </c>
      <c r="AB143">
        <f>HYPERLINK("https://klasma.github.io/Logging_1382/klagomålsmail/A 66137-2021 FSC-klagomål mail.docx", "A 66137-2021")</f>
        <v/>
      </c>
      <c r="AC143">
        <f>HYPERLINK("https://klasma.github.io/Logging_1382/tillsyn/A 66137-2021 tillsynsbegäran.docx", "A 66137-2021")</f>
        <v/>
      </c>
      <c r="AD143">
        <f>HYPERLINK("https://klasma.github.io/Logging_1382/tillsynsmail/A 66137-2021 tillsynsbegäran mail.docx", "A 66137-2021")</f>
        <v/>
      </c>
    </row>
    <row r="144" ht="15" customHeight="1">
      <c r="A144" t="inlineStr">
        <is>
          <t>A 14779-2022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44656</v>
      </c>
      <c r="E144" s="1" t="n">
        <v>46315</v>
      </c>
      <c r="F144" t="inlineStr">
        <is>
          <t>HALLANDS LÄN</t>
        </is>
      </c>
      <c r="G144" t="inlineStr">
        <is>
          <t>HALMSTAD</t>
        </is>
      </c>
      <c r="I144" t="n">
        <v>5.3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0</v>
      </c>
      <c r="V144" s="2" t="inlineStr">
        <is>
          <t>Slätbjörnbär</t>
        </is>
      </c>
      <c r="W144">
        <f>HYPERLINK("https://klasma.github.io/Logging_1380/artfynd/A 14779-2022 artfynd.xlsx", "A 14779-2022")</f>
        <v/>
      </c>
      <c r="X144">
        <f>HYPERLINK("https://klasma.github.io/Logging_1380/kartor/A 14779-2022 karta.png", "A 14779-2022")</f>
        <v/>
      </c>
      <c r="Y144">
        <f>HYPERLINK("https://klasma.github.io/Logging_1380/kartor_geotiff/A 14779-2022 georefererad karta.tif", "A 14779-2022")</f>
        <v/>
      </c>
      <c r="AA144">
        <f>HYPERLINK("https://klasma.github.io/Logging_1380/klagomål/A 14779-2022 FSC-klagomål.docx", "A 14779-2022")</f>
        <v/>
      </c>
      <c r="AB144">
        <f>HYPERLINK("https://klasma.github.io/Logging_1380/klagomålsmail/A 14779-2022 FSC-klagomål mail.docx", "A 14779-2022")</f>
        <v/>
      </c>
      <c r="AC144">
        <f>HYPERLINK("https://klasma.github.io/Logging_1380/tillsyn/A 14779-2022 tillsynsbegäran.docx", "A 14779-2022")</f>
        <v/>
      </c>
      <c r="AD144">
        <f>HYPERLINK("https://klasma.github.io/Logging_1380/tillsynsmail/A 14779-2022 tillsynsbegäran mail.docx", "A 14779-2022")</f>
        <v/>
      </c>
    </row>
    <row r="145" ht="15" customHeight="1">
      <c r="A145" t="inlineStr">
        <is>
          <t>A 42551-2024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45565</v>
      </c>
      <c r="E145" s="1" t="n">
        <v>46315</v>
      </c>
      <c r="F145" t="inlineStr">
        <is>
          <t>HALLANDS LÄN</t>
        </is>
      </c>
      <c r="G145" t="inlineStr">
        <is>
          <t>FALKENBERG</t>
        </is>
      </c>
      <c r="I145" t="n">
        <v>2.2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s="2" t="inlineStr">
        <is>
          <t>Röd glada</t>
        </is>
      </c>
      <c r="W145">
        <f>HYPERLINK("https://klasma.github.io/Logging_1382/artfynd/A 42551-2024 artfynd.xlsx", "A 42551-2024")</f>
        <v/>
      </c>
      <c r="X145">
        <f>HYPERLINK("https://klasma.github.io/Logging_1382/kartor/A 42551-2024 karta.png", "A 42551-2024")</f>
        <v/>
      </c>
      <c r="Y145">
        <f>HYPERLINK("https://klasma.github.io/Logging_1382/kartor_geotiff/A 42551-2024 georefererad karta.tif", "A 42551-2024")</f>
        <v/>
      </c>
      <c r="AA145">
        <f>HYPERLINK("https://klasma.github.io/Logging_1382/klagomål/A 42551-2024 FSC-klagomål.docx", "A 42551-2024")</f>
        <v/>
      </c>
      <c r="AB145">
        <f>HYPERLINK("https://klasma.github.io/Logging_1382/klagomålsmail/A 42551-2024 FSC-klagomål mail.docx", "A 42551-2024")</f>
        <v/>
      </c>
      <c r="AC145">
        <f>HYPERLINK("https://klasma.github.io/Logging_1382/tillsyn/A 42551-2024 tillsynsbegäran.docx", "A 42551-2024")</f>
        <v/>
      </c>
      <c r="AD145">
        <f>HYPERLINK("https://klasma.github.io/Logging_1382/tillsynsmail/A 42551-2024 tillsynsbegäran mail.docx", "A 42551-2024")</f>
        <v/>
      </c>
      <c r="AE145">
        <f>HYPERLINK("https://klasma.github.io/Logging_1382/fåglar/A 42551-2024 prioriterade fågelarter.docx", "A 42551-2024")</f>
        <v/>
      </c>
    </row>
    <row r="146" ht="15" customHeight="1">
      <c r="A146" t="inlineStr">
        <is>
          <t>A 7038-2024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45343</v>
      </c>
      <c r="E146" s="1" t="n">
        <v>46315</v>
      </c>
      <c r="F146" t="inlineStr">
        <is>
          <t>HALLANDS LÄN</t>
        </is>
      </c>
      <c r="G146" t="inlineStr">
        <is>
          <t>VARBERG</t>
        </is>
      </c>
      <c r="I146" t="n">
        <v>2.6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2</v>
      </c>
      <c r="U146" t="n">
        <v>1</v>
      </c>
      <c r="V146" s="2" t="inlineStr">
        <is>
          <t>Dvärgjohannesört</t>
        </is>
      </c>
      <c r="W146">
        <f>HYPERLINK("https://klasma.github.io/Logging_1383/artfynd/A 7038-2024 artfynd.xlsx", "A 7038-2024")</f>
        <v/>
      </c>
      <c r="X146">
        <f>HYPERLINK("https://klasma.github.io/Logging_1383/kartor/A 7038-2024 karta.png", "A 7038-2024")</f>
        <v/>
      </c>
      <c r="Y146">
        <f>HYPERLINK("https://klasma.github.io/Logging_1383/kartor_geotiff/A 7038-2024 georefererad karta.tif", "A 7038-2024")</f>
        <v/>
      </c>
      <c r="AA146">
        <f>HYPERLINK("https://klasma.github.io/Logging_1383/klagomål/A 7038-2024 FSC-klagomål.docx", "A 7038-2024")</f>
        <v/>
      </c>
      <c r="AB146">
        <f>HYPERLINK("https://klasma.github.io/Logging_1383/klagomålsmail/A 7038-2024 FSC-klagomål mail.docx", "A 7038-2024")</f>
        <v/>
      </c>
      <c r="AC146">
        <f>HYPERLINK("https://klasma.github.io/Logging_1383/tillsyn/A 7038-2024 tillsynsbegäran.docx", "A 7038-2024")</f>
        <v/>
      </c>
      <c r="AD146">
        <f>HYPERLINK("https://klasma.github.io/Logging_1383/tillsynsmail/A 7038-2024 tillsynsbegäran mail.docx", "A 7038-2024")</f>
        <v/>
      </c>
    </row>
    <row r="147" ht="15" customHeight="1">
      <c r="A147" t="inlineStr">
        <is>
          <t>A 42421-2022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44831</v>
      </c>
      <c r="E147" s="1" t="n">
        <v>46315</v>
      </c>
      <c r="F147" t="inlineStr">
        <is>
          <t>HALLANDS LÄN</t>
        </is>
      </c>
      <c r="G147" t="inlineStr">
        <is>
          <t>LAHOLM</t>
        </is>
      </c>
      <c r="I147" t="n">
        <v>1.8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s="2" t="inlineStr">
        <is>
          <t>Småvänderot</t>
        </is>
      </c>
      <c r="W147">
        <f>HYPERLINK("https://klasma.github.io/Logging_1381/artfynd/A 42421-2022 artfynd.xlsx", "A 42421-2022")</f>
        <v/>
      </c>
      <c r="X147">
        <f>HYPERLINK("https://klasma.github.io/Logging_1381/kartor/A 42421-2022 karta.png", "A 42421-2022")</f>
        <v/>
      </c>
      <c r="Y147">
        <f>HYPERLINK("https://klasma.github.io/Logging_1381/kartor_geotiff/A 42421-2022 georefererad karta.tif", "A 42421-2022")</f>
        <v/>
      </c>
      <c r="AA147">
        <f>HYPERLINK("https://klasma.github.io/Logging_1381/klagomål/A 42421-2022 FSC-klagomål.docx", "A 42421-2022")</f>
        <v/>
      </c>
      <c r="AB147">
        <f>HYPERLINK("https://klasma.github.io/Logging_1381/klagomålsmail/A 42421-2022 FSC-klagomål mail.docx", "A 42421-2022")</f>
        <v/>
      </c>
      <c r="AC147">
        <f>HYPERLINK("https://klasma.github.io/Logging_1381/tillsyn/A 42421-2022 tillsynsbegäran.docx", "A 42421-2022")</f>
        <v/>
      </c>
      <c r="AD147">
        <f>HYPERLINK("https://klasma.github.io/Logging_1381/tillsynsmail/A 42421-2022 tillsynsbegäran mail.docx", "A 42421-2022")</f>
        <v/>
      </c>
    </row>
    <row r="148" ht="15" customHeight="1">
      <c r="A148" t="inlineStr">
        <is>
          <t>A 59260-2022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44897</v>
      </c>
      <c r="E148" s="1" t="n">
        <v>46315</v>
      </c>
      <c r="F148" t="inlineStr">
        <is>
          <t>HALLANDS LÄN</t>
        </is>
      </c>
      <c r="G148" t="inlineStr">
        <is>
          <t>HALMSTAD</t>
        </is>
      </c>
      <c r="H148" t="inlineStr">
        <is>
          <t>Bergvik skog väst AB</t>
        </is>
      </c>
      <c r="I148" t="n">
        <v>9.800000000000001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s="2" t="inlineStr">
        <is>
          <t>Dunmossa</t>
        </is>
      </c>
      <c r="W148">
        <f>HYPERLINK("https://klasma.github.io/Logging_1380/artfynd/A 59260-2022 artfynd.xlsx", "A 59260-2022")</f>
        <v/>
      </c>
      <c r="X148">
        <f>HYPERLINK("https://klasma.github.io/Logging_1380/kartor/A 59260-2022 karta.png", "A 59260-2022")</f>
        <v/>
      </c>
      <c r="Y148">
        <f>HYPERLINK("https://klasma.github.io/Logging_1380/kartor_geotiff/A 59260-2022 georefererad karta.tif", "A 59260-2022")</f>
        <v/>
      </c>
      <c r="AA148">
        <f>HYPERLINK("https://klasma.github.io/Logging_1380/klagomål/A 59260-2022 FSC-klagomål.docx", "A 59260-2022")</f>
        <v/>
      </c>
      <c r="AB148">
        <f>HYPERLINK("https://klasma.github.io/Logging_1380/klagomålsmail/A 59260-2022 FSC-klagomål mail.docx", "A 59260-2022")</f>
        <v/>
      </c>
      <c r="AC148">
        <f>HYPERLINK("https://klasma.github.io/Logging_1380/tillsyn/A 59260-2022 tillsynsbegäran.docx", "A 59260-2022")</f>
        <v/>
      </c>
      <c r="AD148">
        <f>HYPERLINK("https://klasma.github.io/Logging_1380/tillsynsmail/A 59260-2022 tillsynsbegäran mail.docx", "A 59260-2022")</f>
        <v/>
      </c>
    </row>
    <row r="149" ht="15" customHeight="1">
      <c r="A149" t="inlineStr">
        <is>
          <t>A 49083-2022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44860</v>
      </c>
      <c r="E149" s="1" t="n">
        <v>46315</v>
      </c>
      <c r="F149" t="inlineStr">
        <is>
          <t>HALLANDS LÄN</t>
        </is>
      </c>
      <c r="G149" t="inlineStr">
        <is>
          <t>VARBERG</t>
        </is>
      </c>
      <c r="I149" t="n">
        <v>13.3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s="2" t="inlineStr">
        <is>
          <t>Kambräken</t>
        </is>
      </c>
      <c r="W149">
        <f>HYPERLINK("https://klasma.github.io/Logging_1383/artfynd/A 49083-2022 artfynd.xlsx", "A 49083-2022")</f>
        <v/>
      </c>
      <c r="X149">
        <f>HYPERLINK("https://klasma.github.io/Logging_1383/kartor/A 49083-2022 karta.png", "A 49083-2022")</f>
        <v/>
      </c>
      <c r="Y149">
        <f>HYPERLINK("https://klasma.github.io/Logging_1383/kartor_geotiff/A 49083-2022 georefererad karta.tif", "A 49083-2022")</f>
        <v/>
      </c>
      <c r="AA149">
        <f>HYPERLINK("https://klasma.github.io/Logging_1383/klagomål/A 49083-2022 FSC-klagomål.docx", "A 49083-2022")</f>
        <v/>
      </c>
      <c r="AB149">
        <f>HYPERLINK("https://klasma.github.io/Logging_1383/klagomålsmail/A 49083-2022 FSC-klagomål mail.docx", "A 49083-2022")</f>
        <v/>
      </c>
      <c r="AC149">
        <f>HYPERLINK("https://klasma.github.io/Logging_1383/tillsyn/A 49083-2022 tillsynsbegäran.docx", "A 49083-2022")</f>
        <v/>
      </c>
      <c r="AD149">
        <f>HYPERLINK("https://klasma.github.io/Logging_1383/tillsynsmail/A 49083-2022 tillsynsbegäran mail.docx", "A 49083-2022")</f>
        <v/>
      </c>
    </row>
    <row r="150" ht="15" customHeight="1">
      <c r="A150" t="inlineStr">
        <is>
          <t>A 3062-2023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44946</v>
      </c>
      <c r="E150" s="1" t="n">
        <v>46315</v>
      </c>
      <c r="F150" t="inlineStr">
        <is>
          <t>HALLANDS LÄN</t>
        </is>
      </c>
      <c r="G150" t="inlineStr">
        <is>
          <t>FALKENBERG</t>
        </is>
      </c>
      <c r="I150" t="n">
        <v>2.1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s="2" t="inlineStr">
        <is>
          <t>Loppstarr</t>
        </is>
      </c>
      <c r="W150">
        <f>HYPERLINK("https://klasma.github.io/Logging_1382/artfynd/A 3062-2023 artfynd.xlsx", "A 3062-2023")</f>
        <v/>
      </c>
      <c r="X150">
        <f>HYPERLINK("https://klasma.github.io/Logging_1382/kartor/A 3062-2023 karta.png", "A 3062-2023")</f>
        <v/>
      </c>
      <c r="Y150">
        <f>HYPERLINK("https://klasma.github.io/Logging_1382/kartor_geotiff/A 3062-2023 georefererad karta.tif", "A 3062-2023")</f>
        <v/>
      </c>
      <c r="AA150">
        <f>HYPERLINK("https://klasma.github.io/Logging_1382/klagomål/A 3062-2023 FSC-klagomål.docx", "A 3062-2023")</f>
        <v/>
      </c>
      <c r="AB150">
        <f>HYPERLINK("https://klasma.github.io/Logging_1382/klagomålsmail/A 3062-2023 FSC-klagomål mail.docx", "A 3062-2023")</f>
        <v/>
      </c>
      <c r="AC150">
        <f>HYPERLINK("https://klasma.github.io/Logging_1382/tillsyn/A 3062-2023 tillsynsbegäran.docx", "A 3062-2023")</f>
        <v/>
      </c>
      <c r="AD150">
        <f>HYPERLINK("https://klasma.github.io/Logging_1382/tillsynsmail/A 3062-2023 tillsynsbegäran mail.docx", "A 3062-2023")</f>
        <v/>
      </c>
    </row>
    <row r="151" ht="15" customHeight="1">
      <c r="A151" t="inlineStr">
        <is>
          <t>A 21488-2024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45441</v>
      </c>
      <c r="E151" s="1" t="n">
        <v>46315</v>
      </c>
      <c r="F151" t="inlineStr">
        <is>
          <t>HALLANDS LÄN</t>
        </is>
      </c>
      <c r="G151" t="inlineStr">
        <is>
          <t>HALMSTAD</t>
        </is>
      </c>
      <c r="I151" t="n">
        <v>0.5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</v>
      </c>
      <c r="V151" s="2" t="inlineStr">
        <is>
          <t>Hårginst</t>
        </is>
      </c>
      <c r="W151">
        <f>HYPERLINK("https://klasma.github.io/Logging_1380/artfynd/A 21488-2024 artfynd.xlsx", "A 21488-2024")</f>
        <v/>
      </c>
      <c r="X151">
        <f>HYPERLINK("https://klasma.github.io/Logging_1380/kartor/A 21488-2024 karta.png", "A 21488-2024")</f>
        <v/>
      </c>
      <c r="Y151">
        <f>HYPERLINK("https://klasma.github.io/Logging_1380/kartor_geotiff/A 21488-2024 georefererad karta.tif", "A 21488-2024")</f>
        <v/>
      </c>
      <c r="AA151">
        <f>HYPERLINK("https://klasma.github.io/Logging_1380/klagomål/A 21488-2024 FSC-klagomål.docx", "A 21488-2024")</f>
        <v/>
      </c>
      <c r="AB151">
        <f>HYPERLINK("https://klasma.github.io/Logging_1380/klagomålsmail/A 21488-2024 FSC-klagomål mail.docx", "A 21488-2024")</f>
        <v/>
      </c>
      <c r="AC151">
        <f>HYPERLINK("https://klasma.github.io/Logging_1380/tillsyn/A 21488-2024 tillsynsbegäran.docx", "A 21488-2024")</f>
        <v/>
      </c>
      <c r="AD151">
        <f>HYPERLINK("https://klasma.github.io/Logging_1380/tillsynsmail/A 21488-2024 tillsynsbegäran mail.docx", "A 21488-2024")</f>
        <v/>
      </c>
    </row>
    <row r="152" ht="15" customHeight="1">
      <c r="A152" t="inlineStr">
        <is>
          <t>A 62755-2022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44926</v>
      </c>
      <c r="E152" s="1" t="n">
        <v>46315</v>
      </c>
      <c r="F152" t="inlineStr">
        <is>
          <t>HALLANDS LÄN</t>
        </is>
      </c>
      <c r="G152" t="inlineStr">
        <is>
          <t>FALKENBERG</t>
        </is>
      </c>
      <c r="H152" t="inlineStr">
        <is>
          <t>Kyrkan</t>
        </is>
      </c>
      <c r="I152" t="n">
        <v>9.4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s="2" t="inlineStr">
        <is>
          <t>Stjärnstarr</t>
        </is>
      </c>
      <c r="W152">
        <f>HYPERLINK("https://klasma.github.io/Logging_1382/artfynd/A 62755-2022 artfynd.xlsx", "A 62755-2022")</f>
        <v/>
      </c>
      <c r="X152">
        <f>HYPERLINK("https://klasma.github.io/Logging_1382/kartor/A 62755-2022 karta.png", "A 62755-2022")</f>
        <v/>
      </c>
      <c r="Y152">
        <f>HYPERLINK("https://klasma.github.io/Logging_1382/kartor_geotiff/A 62755-2022 georefererad karta.tif", "A 62755-2022")</f>
        <v/>
      </c>
      <c r="AA152">
        <f>HYPERLINK("https://klasma.github.io/Logging_1382/klagomål/A 62755-2022 FSC-klagomål.docx", "A 62755-2022")</f>
        <v/>
      </c>
      <c r="AB152">
        <f>HYPERLINK("https://klasma.github.io/Logging_1382/klagomålsmail/A 62755-2022 FSC-klagomål mail.docx", "A 62755-2022")</f>
        <v/>
      </c>
      <c r="AC152">
        <f>HYPERLINK("https://klasma.github.io/Logging_1382/tillsyn/A 62755-2022 tillsynsbegäran.docx", "A 62755-2022")</f>
        <v/>
      </c>
      <c r="AD152">
        <f>HYPERLINK("https://klasma.github.io/Logging_1382/tillsynsmail/A 62755-2022 tillsynsbegäran mail.docx", "A 62755-2022")</f>
        <v/>
      </c>
    </row>
    <row r="153" ht="15" customHeight="1">
      <c r="A153" t="inlineStr">
        <is>
          <t>A 40623-2023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45168</v>
      </c>
      <c r="E153" s="1" t="n">
        <v>46315</v>
      </c>
      <c r="F153" t="inlineStr">
        <is>
          <t>HALLANDS LÄN</t>
        </is>
      </c>
      <c r="G153" t="inlineStr">
        <is>
          <t>HALMSTAD</t>
        </is>
      </c>
      <c r="H153" t="inlineStr">
        <is>
          <t>Kommuner</t>
        </is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s="2" t="inlineStr">
        <is>
          <t>Hårginst</t>
        </is>
      </c>
      <c r="W153">
        <f>HYPERLINK("https://klasma.github.io/Logging_1380/artfynd/A 40623-2023 artfynd.xlsx", "A 40623-2023")</f>
        <v/>
      </c>
      <c r="X153">
        <f>HYPERLINK("https://klasma.github.io/Logging_1380/kartor/A 40623-2023 karta.png", "A 40623-2023")</f>
        <v/>
      </c>
      <c r="Y153">
        <f>HYPERLINK("https://klasma.github.io/Logging_1380/kartor_geotiff/A 40623-2023 georefererad karta.tif", "A 40623-2023")</f>
        <v/>
      </c>
      <c r="AA153">
        <f>HYPERLINK("https://klasma.github.io/Logging_1380/klagomål/A 40623-2023 FSC-klagomål.docx", "A 40623-2023")</f>
        <v/>
      </c>
      <c r="AB153">
        <f>HYPERLINK("https://klasma.github.io/Logging_1380/klagomålsmail/A 40623-2023 FSC-klagomål mail.docx", "A 40623-2023")</f>
        <v/>
      </c>
      <c r="AC153">
        <f>HYPERLINK("https://klasma.github.io/Logging_1380/tillsyn/A 40623-2023 tillsynsbegäran.docx", "A 40623-2023")</f>
        <v/>
      </c>
      <c r="AD153">
        <f>HYPERLINK("https://klasma.github.io/Logging_1380/tillsynsmail/A 40623-2023 tillsynsbegäran mail.docx", "A 40623-2023")</f>
        <v/>
      </c>
    </row>
    <row r="154" ht="15" customHeight="1">
      <c r="A154" t="inlineStr">
        <is>
          <t>A 40659-2023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45168</v>
      </c>
      <c r="E154" s="1" t="n">
        <v>46315</v>
      </c>
      <c r="F154" t="inlineStr">
        <is>
          <t>HALLANDS LÄN</t>
        </is>
      </c>
      <c r="G154" t="inlineStr">
        <is>
          <t>HALMSTAD</t>
        </is>
      </c>
      <c r="H154" t="inlineStr">
        <is>
          <t>Kommuner</t>
        </is>
      </c>
      <c r="I154" t="n">
        <v>3.1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s="2" t="inlineStr">
        <is>
          <t>Kambräken</t>
        </is>
      </c>
      <c r="W154">
        <f>HYPERLINK("https://klasma.github.io/Logging_1380/artfynd/A 40659-2023 artfynd.xlsx", "A 40659-2023")</f>
        <v/>
      </c>
      <c r="X154">
        <f>HYPERLINK("https://klasma.github.io/Logging_1380/kartor/A 40659-2023 karta.png", "A 40659-2023")</f>
        <v/>
      </c>
      <c r="Y154">
        <f>HYPERLINK("https://klasma.github.io/Logging_1380/kartor_geotiff/A 40659-2023 georefererad karta.tif", "A 40659-2023")</f>
        <v/>
      </c>
      <c r="AA154">
        <f>HYPERLINK("https://klasma.github.io/Logging_1380/klagomål/A 40659-2023 FSC-klagomål.docx", "A 40659-2023")</f>
        <v/>
      </c>
      <c r="AB154">
        <f>HYPERLINK("https://klasma.github.io/Logging_1380/klagomålsmail/A 40659-2023 FSC-klagomål mail.docx", "A 40659-2023")</f>
        <v/>
      </c>
      <c r="AC154">
        <f>HYPERLINK("https://klasma.github.io/Logging_1380/tillsyn/A 40659-2023 tillsynsbegäran.docx", "A 40659-2023")</f>
        <v/>
      </c>
      <c r="AD154">
        <f>HYPERLINK("https://klasma.github.io/Logging_1380/tillsynsmail/A 40659-2023 tillsynsbegäran mail.docx", "A 40659-2023")</f>
        <v/>
      </c>
    </row>
    <row r="155" ht="15" customHeight="1">
      <c r="A155" t="inlineStr">
        <is>
          <t>A 2994-2024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45315</v>
      </c>
      <c r="E155" s="1" t="n">
        <v>46315</v>
      </c>
      <c r="F155" t="inlineStr">
        <is>
          <t>HALLANDS LÄN</t>
        </is>
      </c>
      <c r="G155" t="inlineStr">
        <is>
          <t>HALMSTAD</t>
        </is>
      </c>
      <c r="I155" t="n">
        <v>7.9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s="2" t="inlineStr">
        <is>
          <t>Grönvit nattviol</t>
        </is>
      </c>
      <c r="W155">
        <f>HYPERLINK("https://klasma.github.io/Logging_1380/artfynd/A 2994-2024 artfynd.xlsx", "A 2994-2024")</f>
        <v/>
      </c>
      <c r="X155">
        <f>HYPERLINK("https://klasma.github.io/Logging_1380/kartor/A 2994-2024 karta.png", "A 2994-2024")</f>
        <v/>
      </c>
      <c r="Y155">
        <f>HYPERLINK("https://klasma.github.io/Logging_1380/kartor_geotiff/A 2994-2024 georefererad karta.tif", "A 2994-2024")</f>
        <v/>
      </c>
      <c r="AA155">
        <f>HYPERLINK("https://klasma.github.io/Logging_1380/klagomål/A 2994-2024 FSC-klagomål.docx", "A 2994-2024")</f>
        <v/>
      </c>
      <c r="AB155">
        <f>HYPERLINK("https://klasma.github.io/Logging_1380/klagomålsmail/A 2994-2024 FSC-klagomål mail.docx", "A 2994-2024")</f>
        <v/>
      </c>
      <c r="AC155">
        <f>HYPERLINK("https://klasma.github.io/Logging_1380/tillsyn/A 2994-2024 tillsynsbegäran.docx", "A 2994-2024")</f>
        <v/>
      </c>
      <c r="AD155">
        <f>HYPERLINK("https://klasma.github.io/Logging_1380/tillsynsmail/A 2994-2024 tillsynsbegäran mail.docx", "A 2994-2024")</f>
        <v/>
      </c>
    </row>
    <row r="156" ht="15" customHeight="1">
      <c r="A156" t="inlineStr">
        <is>
          <t>A 8483-2024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45355</v>
      </c>
      <c r="E156" s="1" t="n">
        <v>46315</v>
      </c>
      <c r="F156" t="inlineStr">
        <is>
          <t>HALLANDS LÄN</t>
        </is>
      </c>
      <c r="G156" t="inlineStr">
        <is>
          <t>FALKENBERG</t>
        </is>
      </c>
      <c r="I156" t="n">
        <v>2.7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s="2" t="inlineStr">
        <is>
          <t>Röd glada</t>
        </is>
      </c>
      <c r="W156">
        <f>HYPERLINK("https://klasma.github.io/Logging_1382/artfynd/A 8483-2024 artfynd.xlsx", "A 8483-2024")</f>
        <v/>
      </c>
      <c r="X156">
        <f>HYPERLINK("https://klasma.github.io/Logging_1382/kartor/A 8483-2024 karta.png", "A 8483-2024")</f>
        <v/>
      </c>
      <c r="Y156">
        <f>HYPERLINK("https://klasma.github.io/Logging_1382/kartor_geotiff/A 8483-2024 georefererad karta.tif", "A 8483-2024")</f>
        <v/>
      </c>
      <c r="AA156">
        <f>HYPERLINK("https://klasma.github.io/Logging_1382/klagomål/A 8483-2024 FSC-klagomål.docx", "A 8483-2024")</f>
        <v/>
      </c>
      <c r="AB156">
        <f>HYPERLINK("https://klasma.github.io/Logging_1382/klagomålsmail/A 8483-2024 FSC-klagomål mail.docx", "A 8483-2024")</f>
        <v/>
      </c>
      <c r="AC156">
        <f>HYPERLINK("https://klasma.github.io/Logging_1382/tillsyn/A 8483-2024 tillsynsbegäran.docx", "A 8483-2024")</f>
        <v/>
      </c>
      <c r="AD156">
        <f>HYPERLINK("https://klasma.github.io/Logging_1382/tillsynsmail/A 8483-2024 tillsynsbegäran mail.docx", "A 8483-2024")</f>
        <v/>
      </c>
      <c r="AE156">
        <f>HYPERLINK("https://klasma.github.io/Logging_1382/fåglar/A 8483-2024 prioriterade fågelarter.docx", "A 8483-2024")</f>
        <v/>
      </c>
    </row>
    <row r="157" ht="15" customHeight="1">
      <c r="A157" t="inlineStr">
        <is>
          <t>A 36722-2023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45153</v>
      </c>
      <c r="E157" s="1" t="n">
        <v>46315</v>
      </c>
      <c r="F157" t="inlineStr">
        <is>
          <t>HALLANDS LÄN</t>
        </is>
      </c>
      <c r="G157" t="inlineStr">
        <is>
          <t>HYLTE</t>
        </is>
      </c>
      <c r="H157" t="inlineStr">
        <is>
          <t>Bergvik skog väst AB</t>
        </is>
      </c>
      <c r="I157" t="n">
        <v>11.6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s="2" t="inlineStr">
        <is>
          <t>Talltita</t>
        </is>
      </c>
      <c r="W157">
        <f>HYPERLINK("https://klasma.github.io/Logging_1315/artfynd/A 36722-2023 artfynd.xlsx", "A 36722-2023")</f>
        <v/>
      </c>
      <c r="X157">
        <f>HYPERLINK("https://klasma.github.io/Logging_1315/kartor/A 36722-2023 karta.png", "A 36722-2023")</f>
        <v/>
      </c>
      <c r="Y157">
        <f>HYPERLINK("https://klasma.github.io/Logging_1315/kartor_geotiff/A 36722-2023 georefererad karta.tif", "A 36722-2023")</f>
        <v/>
      </c>
      <c r="AA157">
        <f>HYPERLINK("https://klasma.github.io/Logging_1315/klagomål/A 36722-2023 FSC-klagomål.docx", "A 36722-2023")</f>
        <v/>
      </c>
      <c r="AB157">
        <f>HYPERLINK("https://klasma.github.io/Logging_1315/klagomålsmail/A 36722-2023 FSC-klagomål mail.docx", "A 36722-2023")</f>
        <v/>
      </c>
      <c r="AC157">
        <f>HYPERLINK("https://klasma.github.io/Logging_1315/tillsyn/A 36722-2023 tillsynsbegäran.docx", "A 36722-2023")</f>
        <v/>
      </c>
      <c r="AD157">
        <f>HYPERLINK("https://klasma.github.io/Logging_1315/tillsynsmail/A 36722-2023 tillsynsbegäran mail.docx", "A 36722-2023")</f>
        <v/>
      </c>
      <c r="AE157">
        <f>HYPERLINK("https://klasma.github.io/Logging_1315/fåglar/A 36722-2023 prioriterade fågelarter.docx", "A 36722-2023")</f>
        <v/>
      </c>
    </row>
    <row r="158" ht="15" customHeight="1">
      <c r="A158" t="inlineStr">
        <is>
          <t>A 53797-2024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45615</v>
      </c>
      <c r="E158" s="1" t="n">
        <v>46315</v>
      </c>
      <c r="F158" t="inlineStr">
        <is>
          <t>HALLANDS LÄN</t>
        </is>
      </c>
      <c r="G158" t="inlineStr">
        <is>
          <t>HALMSTAD</t>
        </is>
      </c>
      <c r="I158" t="n">
        <v>3.5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s="2" t="inlineStr">
        <is>
          <t>Dvärglin</t>
        </is>
      </c>
      <c r="W158">
        <f>HYPERLINK("https://klasma.github.io/Logging_1380/artfynd/A 53797-2024 artfynd.xlsx", "A 53797-2024")</f>
        <v/>
      </c>
      <c r="X158">
        <f>HYPERLINK("https://klasma.github.io/Logging_1380/kartor/A 53797-2024 karta.png", "A 53797-2024")</f>
        <v/>
      </c>
      <c r="Y158">
        <f>HYPERLINK("https://klasma.github.io/Logging_1380/kartor_geotiff/A 53797-2024 georefererad karta.tif", "A 53797-2024")</f>
        <v/>
      </c>
      <c r="AA158">
        <f>HYPERLINK("https://klasma.github.io/Logging_1380/klagomål/A 53797-2024 FSC-klagomål.docx", "A 53797-2024")</f>
        <v/>
      </c>
      <c r="AB158">
        <f>HYPERLINK("https://klasma.github.io/Logging_1380/klagomålsmail/A 53797-2024 FSC-klagomål mail.docx", "A 53797-2024")</f>
        <v/>
      </c>
      <c r="AC158">
        <f>HYPERLINK("https://klasma.github.io/Logging_1380/tillsyn/A 53797-2024 tillsynsbegäran.docx", "A 53797-2024")</f>
        <v/>
      </c>
      <c r="AD158">
        <f>HYPERLINK("https://klasma.github.io/Logging_1380/tillsynsmail/A 53797-2024 tillsynsbegäran mail.docx", "A 53797-2024")</f>
        <v/>
      </c>
    </row>
    <row r="159" ht="15" customHeight="1">
      <c r="A159" t="inlineStr">
        <is>
          <t>A 50078-2024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45600</v>
      </c>
      <c r="E159" s="1" t="n">
        <v>46315</v>
      </c>
      <c r="F159" t="inlineStr">
        <is>
          <t>HALLANDS LÄN</t>
        </is>
      </c>
      <c r="G159" t="inlineStr">
        <is>
          <t>FALKENBERG</t>
        </is>
      </c>
      <c r="I159" t="n">
        <v>3.6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s="2" t="inlineStr">
        <is>
          <t>Slåttergubbe</t>
        </is>
      </c>
      <c r="W159">
        <f>HYPERLINK("https://klasma.github.io/Logging_1382/artfynd/A 50078-2024 artfynd.xlsx", "A 50078-2024")</f>
        <v/>
      </c>
      <c r="X159">
        <f>HYPERLINK("https://klasma.github.io/Logging_1382/kartor/A 50078-2024 karta.png", "A 50078-2024")</f>
        <v/>
      </c>
      <c r="Y159">
        <f>HYPERLINK("https://klasma.github.io/Logging_1382/kartor_geotiff/A 50078-2024 georefererad karta.tif", "A 50078-2024")</f>
        <v/>
      </c>
      <c r="AA159">
        <f>HYPERLINK("https://klasma.github.io/Logging_1382/klagomål/A 50078-2024 FSC-klagomål.docx", "A 50078-2024")</f>
        <v/>
      </c>
      <c r="AB159">
        <f>HYPERLINK("https://klasma.github.io/Logging_1382/klagomålsmail/A 50078-2024 FSC-klagomål mail.docx", "A 50078-2024")</f>
        <v/>
      </c>
      <c r="AC159">
        <f>HYPERLINK("https://klasma.github.io/Logging_1382/tillsyn/A 50078-2024 tillsynsbegäran.docx", "A 50078-2024")</f>
        <v/>
      </c>
      <c r="AD159">
        <f>HYPERLINK("https://klasma.github.io/Logging_1382/tillsynsmail/A 50078-2024 tillsynsbegäran mail.docx", "A 50078-2024")</f>
        <v/>
      </c>
    </row>
    <row r="160" ht="15" customHeight="1">
      <c r="A160" t="inlineStr">
        <is>
          <t>A 38854-2023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45163</v>
      </c>
      <c r="E160" s="1" t="n">
        <v>46315</v>
      </c>
      <c r="F160" t="inlineStr">
        <is>
          <t>HALLANDS LÄN</t>
        </is>
      </c>
      <c r="G160" t="inlineStr">
        <is>
          <t>HYLTE</t>
        </is>
      </c>
      <c r="I160" t="n">
        <v>1.3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s="2" t="inlineStr">
        <is>
          <t>Borsttåg</t>
        </is>
      </c>
      <c r="W160">
        <f>HYPERLINK("https://klasma.github.io/Logging_1315/artfynd/A 38854-2023 artfynd.xlsx", "A 38854-2023")</f>
        <v/>
      </c>
      <c r="X160">
        <f>HYPERLINK("https://klasma.github.io/Logging_1315/kartor/A 38854-2023 karta.png", "A 38854-2023")</f>
        <v/>
      </c>
      <c r="Y160">
        <f>HYPERLINK("https://klasma.github.io/Logging_1315/kartor_geotiff/A 38854-2023 georefererad karta.tif", "A 38854-2023")</f>
        <v/>
      </c>
      <c r="AA160">
        <f>HYPERLINK("https://klasma.github.io/Logging_1315/klagomål/A 38854-2023 FSC-klagomål.docx", "A 38854-2023")</f>
        <v/>
      </c>
      <c r="AB160">
        <f>HYPERLINK("https://klasma.github.io/Logging_1315/klagomålsmail/A 38854-2023 FSC-klagomål mail.docx", "A 38854-2023")</f>
        <v/>
      </c>
      <c r="AC160">
        <f>HYPERLINK("https://klasma.github.io/Logging_1315/tillsyn/A 38854-2023 tillsynsbegäran.docx", "A 38854-2023")</f>
        <v/>
      </c>
      <c r="AD160">
        <f>HYPERLINK("https://klasma.github.io/Logging_1315/tillsynsmail/A 38854-2023 tillsynsbegäran mail.docx", "A 38854-2023")</f>
        <v/>
      </c>
    </row>
    <row r="161" ht="15" customHeight="1">
      <c r="A161" t="inlineStr">
        <is>
          <t>A 11010-2025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45723</v>
      </c>
      <c r="E161" s="1" t="n">
        <v>46315</v>
      </c>
      <c r="F161" t="inlineStr">
        <is>
          <t>HALLANDS LÄN</t>
        </is>
      </c>
      <c r="G161" t="inlineStr">
        <is>
          <t>KUNGSBACKA</t>
        </is>
      </c>
      <c r="I161" t="n">
        <v>12.4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s="2" t="inlineStr">
        <is>
          <t>Kambräken</t>
        </is>
      </c>
      <c r="W161">
        <f>HYPERLINK("https://klasma.github.io/Logging_1384/artfynd/A 11010-2025 artfynd.xlsx", "A 11010-2025")</f>
        <v/>
      </c>
      <c r="X161">
        <f>HYPERLINK("https://klasma.github.io/Logging_1384/kartor/A 11010-2025 karta.png", "A 11010-2025")</f>
        <v/>
      </c>
      <c r="Y161">
        <f>HYPERLINK("https://klasma.github.io/Logging_1384/kartor_geotiff/A 11010-2025 georefererad karta.tif", "A 11010-2025")</f>
        <v/>
      </c>
      <c r="AA161">
        <f>HYPERLINK("https://klasma.github.io/Logging_1384/klagomål/A 11010-2025 FSC-klagomål.docx", "A 11010-2025")</f>
        <v/>
      </c>
      <c r="AB161">
        <f>HYPERLINK("https://klasma.github.io/Logging_1384/klagomålsmail/A 11010-2025 FSC-klagomål mail.docx", "A 11010-2025")</f>
        <v/>
      </c>
      <c r="AC161">
        <f>HYPERLINK("https://klasma.github.io/Logging_1384/tillsyn/A 11010-2025 tillsynsbegäran.docx", "A 11010-2025")</f>
        <v/>
      </c>
      <c r="AD161">
        <f>HYPERLINK("https://klasma.github.io/Logging_1384/tillsynsmail/A 11010-2025 tillsynsbegäran mail.docx", "A 11010-2025")</f>
        <v/>
      </c>
    </row>
    <row r="162" ht="15" customHeight="1">
      <c r="A162" t="inlineStr">
        <is>
          <t>A 38318-2025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45883</v>
      </c>
      <c r="E162" s="1" t="n">
        <v>46315</v>
      </c>
      <c r="F162" t="inlineStr">
        <is>
          <t>HALLANDS LÄN</t>
        </is>
      </c>
      <c r="G162" t="inlineStr">
        <is>
          <t>HALMSTAD</t>
        </is>
      </c>
      <c r="I162" t="n">
        <v>2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s="2" t="inlineStr">
        <is>
          <t>Kungsfågel</t>
        </is>
      </c>
      <c r="W162">
        <f>HYPERLINK("https://klasma.github.io/Logging_1380/artfynd/A 38318-2025 artfynd.xlsx", "A 38318-2025")</f>
        <v/>
      </c>
      <c r="X162">
        <f>HYPERLINK("https://klasma.github.io/Logging_1380/kartor/A 38318-2025 karta.png", "A 38318-2025")</f>
        <v/>
      </c>
      <c r="Y162">
        <f>HYPERLINK("https://klasma.github.io/Logging_1380/kartor_geotiff/A 38318-2025 georefererad karta.tif", "A 38318-2025")</f>
        <v/>
      </c>
      <c r="AA162">
        <f>HYPERLINK("https://klasma.github.io/Logging_1380/klagomål/A 38318-2025 FSC-klagomål.docx", "A 38318-2025")</f>
        <v/>
      </c>
      <c r="AB162">
        <f>HYPERLINK("https://klasma.github.io/Logging_1380/klagomålsmail/A 38318-2025 FSC-klagomål mail.docx", "A 38318-2025")</f>
        <v/>
      </c>
      <c r="AC162">
        <f>HYPERLINK("https://klasma.github.io/Logging_1380/tillsyn/A 38318-2025 tillsynsbegäran.docx", "A 38318-2025")</f>
        <v/>
      </c>
      <c r="AD162">
        <f>HYPERLINK("https://klasma.github.io/Logging_1380/tillsynsmail/A 38318-2025 tillsynsbegäran mail.docx", "A 38318-2025")</f>
        <v/>
      </c>
    </row>
    <row r="163" ht="15" customHeight="1">
      <c r="A163" t="inlineStr">
        <is>
          <t>A 46737-2023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45198</v>
      </c>
      <c r="E163" s="1" t="n">
        <v>46315</v>
      </c>
      <c r="F163" t="inlineStr">
        <is>
          <t>HALLANDS LÄN</t>
        </is>
      </c>
      <c r="G163" t="inlineStr">
        <is>
          <t>VARBERG</t>
        </is>
      </c>
      <c r="I163" t="n">
        <v>1.7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s="2" t="inlineStr">
        <is>
          <t>Ask</t>
        </is>
      </c>
      <c r="W163">
        <f>HYPERLINK("https://klasma.github.io/Logging_1383/artfynd/A 46737-2023 artfynd.xlsx", "A 46737-2023")</f>
        <v/>
      </c>
      <c r="X163">
        <f>HYPERLINK("https://klasma.github.io/Logging_1383/kartor/A 46737-2023 karta.png", "A 46737-2023")</f>
        <v/>
      </c>
      <c r="Y163">
        <f>HYPERLINK("https://klasma.github.io/Logging_1383/kartor_geotiff/A 46737-2023 georefererad karta.tif", "A 46737-2023")</f>
        <v/>
      </c>
      <c r="AA163">
        <f>HYPERLINK("https://klasma.github.io/Logging_1383/klagomål/A 46737-2023 FSC-klagomål.docx", "A 46737-2023")</f>
        <v/>
      </c>
      <c r="AB163">
        <f>HYPERLINK("https://klasma.github.io/Logging_1383/klagomålsmail/A 46737-2023 FSC-klagomål mail.docx", "A 46737-2023")</f>
        <v/>
      </c>
      <c r="AC163">
        <f>HYPERLINK("https://klasma.github.io/Logging_1383/tillsyn/A 46737-2023 tillsynsbegäran.docx", "A 46737-2023")</f>
        <v/>
      </c>
      <c r="AD163">
        <f>HYPERLINK("https://klasma.github.io/Logging_1383/tillsynsmail/A 46737-2023 tillsynsbegäran mail.docx", "A 46737-2023")</f>
        <v/>
      </c>
    </row>
    <row r="164" ht="15" customHeight="1">
      <c r="A164" t="inlineStr">
        <is>
          <t>A 652-2024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45299</v>
      </c>
      <c r="E164" s="1" t="n">
        <v>46315</v>
      </c>
      <c r="F164" t="inlineStr">
        <is>
          <t>HALLANDS LÄN</t>
        </is>
      </c>
      <c r="G164" t="inlineStr">
        <is>
          <t>HYLTE</t>
        </is>
      </c>
      <c r="I164" t="n">
        <v>2.5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s="2" t="inlineStr">
        <is>
          <t>Tjäder</t>
        </is>
      </c>
      <c r="W164">
        <f>HYPERLINK("https://klasma.github.io/Logging_1315/artfynd/A 652-2024 artfynd.xlsx", "A 652-2024")</f>
        <v/>
      </c>
      <c r="X164">
        <f>HYPERLINK("https://klasma.github.io/Logging_1315/kartor/A 652-2024 karta.png", "A 652-2024")</f>
        <v/>
      </c>
      <c r="Y164">
        <f>HYPERLINK("https://klasma.github.io/Logging_1315/kartor_geotiff/A 652-2024 georefererad karta.tif", "A 652-2024")</f>
        <v/>
      </c>
      <c r="AA164">
        <f>HYPERLINK("https://klasma.github.io/Logging_1315/klagomål/A 652-2024 FSC-klagomål.docx", "A 652-2024")</f>
        <v/>
      </c>
      <c r="AB164">
        <f>HYPERLINK("https://klasma.github.io/Logging_1315/klagomålsmail/A 652-2024 FSC-klagomål mail.docx", "A 652-2024")</f>
        <v/>
      </c>
      <c r="AC164">
        <f>HYPERLINK("https://klasma.github.io/Logging_1315/tillsyn/A 652-2024 tillsynsbegäran.docx", "A 652-2024")</f>
        <v/>
      </c>
      <c r="AD164">
        <f>HYPERLINK("https://klasma.github.io/Logging_1315/tillsynsmail/A 652-2024 tillsynsbegäran mail.docx", "A 652-2024")</f>
        <v/>
      </c>
      <c r="AE164">
        <f>HYPERLINK("https://klasma.github.io/Logging_1315/fåglar/A 652-2024 prioriterade fågelarter.docx", "A 652-2024")</f>
        <v/>
      </c>
    </row>
    <row r="165" ht="15" customHeight="1">
      <c r="A165" t="inlineStr">
        <is>
          <t>A 44638-2022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44840</v>
      </c>
      <c r="E165" s="1" t="n">
        <v>46315</v>
      </c>
      <c r="F165" t="inlineStr">
        <is>
          <t>HALLANDS LÄN</t>
        </is>
      </c>
      <c r="G165" t="inlineStr">
        <is>
          <t>KUNGSBACKA</t>
        </is>
      </c>
      <c r="H165" t="inlineStr">
        <is>
          <t>Kommuner</t>
        </is>
      </c>
      <c r="I165" t="n">
        <v>11.8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s="2" t="inlineStr">
        <is>
          <t>Spillkråka</t>
        </is>
      </c>
      <c r="W165">
        <f>HYPERLINK("https://klasma.github.io/Logging_1384/artfynd/A 44638-2022 artfynd.xlsx", "A 44638-2022")</f>
        <v/>
      </c>
      <c r="X165">
        <f>HYPERLINK("https://klasma.github.io/Logging_1384/kartor/A 44638-2022 karta.png", "A 44638-2022")</f>
        <v/>
      </c>
      <c r="Y165">
        <f>HYPERLINK("https://klasma.github.io/Logging_1384/kartor_geotiff/A 44638-2022 georefererad karta.tif", "A 44638-2022")</f>
        <v/>
      </c>
      <c r="AA165">
        <f>HYPERLINK("https://klasma.github.io/Logging_1384/klagomål/A 44638-2022 FSC-klagomål.docx", "A 44638-2022")</f>
        <v/>
      </c>
      <c r="AB165">
        <f>HYPERLINK("https://klasma.github.io/Logging_1384/klagomålsmail/A 44638-2022 FSC-klagomål mail.docx", "A 44638-2022")</f>
        <v/>
      </c>
      <c r="AC165">
        <f>HYPERLINK("https://klasma.github.io/Logging_1384/tillsyn/A 44638-2022 tillsynsbegäran.docx", "A 44638-2022")</f>
        <v/>
      </c>
      <c r="AD165">
        <f>HYPERLINK("https://klasma.github.io/Logging_1384/tillsynsmail/A 44638-2022 tillsynsbegäran mail.docx", "A 44638-2022")</f>
        <v/>
      </c>
      <c r="AE165">
        <f>HYPERLINK("https://klasma.github.io/Logging_1384/fåglar/A 44638-2022 prioriterade fågelarter.docx", "A 44638-2022")</f>
        <v/>
      </c>
    </row>
    <row r="166" ht="15" customHeight="1">
      <c r="A166" t="inlineStr">
        <is>
          <t>A 8906-2025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45713</v>
      </c>
      <c r="E166" s="1" t="n">
        <v>46315</v>
      </c>
      <c r="F166" t="inlineStr">
        <is>
          <t>HALLANDS LÄN</t>
        </is>
      </c>
      <c r="G166" t="inlineStr">
        <is>
          <t>VARBERG</t>
        </is>
      </c>
      <c r="I166" t="n">
        <v>1.5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s="2" t="inlineStr">
        <is>
          <t>Flytsvalting</t>
        </is>
      </c>
      <c r="W166">
        <f>HYPERLINK("https://klasma.github.io/Logging_1383/artfynd/A 8906-2025 artfynd.xlsx", "A 8906-2025")</f>
        <v/>
      </c>
      <c r="X166">
        <f>HYPERLINK("https://klasma.github.io/Logging_1383/kartor/A 8906-2025 karta.png", "A 8906-2025")</f>
        <v/>
      </c>
      <c r="Y166">
        <f>HYPERLINK("https://klasma.github.io/Logging_1383/kartor_geotiff/A 8906-2025 georefererad karta.tif", "A 8906-2025")</f>
        <v/>
      </c>
      <c r="AA166">
        <f>HYPERLINK("https://klasma.github.io/Logging_1383/klagomål/A 8906-2025 FSC-klagomål.docx", "A 8906-2025")</f>
        <v/>
      </c>
      <c r="AB166">
        <f>HYPERLINK("https://klasma.github.io/Logging_1383/klagomålsmail/A 8906-2025 FSC-klagomål mail.docx", "A 8906-2025")</f>
        <v/>
      </c>
      <c r="AC166">
        <f>HYPERLINK("https://klasma.github.io/Logging_1383/tillsyn/A 8906-2025 tillsynsbegäran.docx", "A 8906-2025")</f>
        <v/>
      </c>
      <c r="AD166">
        <f>HYPERLINK("https://klasma.github.io/Logging_1383/tillsynsmail/A 8906-2025 tillsynsbegäran mail.docx", "A 8906-2025")</f>
        <v/>
      </c>
    </row>
    <row r="167" ht="15" customHeight="1">
      <c r="A167" t="inlineStr">
        <is>
          <t>A 42724-2025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45908</v>
      </c>
      <c r="E167" s="1" t="n">
        <v>46315</v>
      </c>
      <c r="F167" t="inlineStr">
        <is>
          <t>HALLANDS LÄN</t>
        </is>
      </c>
      <c r="G167" t="inlineStr">
        <is>
          <t>VARBERG</t>
        </is>
      </c>
      <c r="I167" t="n">
        <v>4.2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3</v>
      </c>
      <c r="U167" t="n">
        <v>0</v>
      </c>
      <c r="V167" s="2" t="inlineStr">
        <is>
          <t>Hasselmus</t>
        </is>
      </c>
      <c r="W167">
        <f>HYPERLINK("https://klasma.github.io/Logging_1383/artfynd/A 42724-2025 artfynd.xlsx", "A 42724-2025")</f>
        <v/>
      </c>
      <c r="X167">
        <f>HYPERLINK("https://klasma.github.io/Logging_1383/kartor/A 42724-2025 karta.png", "A 42724-2025")</f>
        <v/>
      </c>
      <c r="Y167">
        <f>HYPERLINK("https://klasma.github.io/Logging_1383/kartor_geotiff/A 42724-2025 georefererad karta.tif", "A 42724-2025")</f>
        <v/>
      </c>
      <c r="AA167">
        <f>HYPERLINK("https://klasma.github.io/Logging_1383/klagomål/A 42724-2025 FSC-klagomål.docx", "A 42724-2025")</f>
        <v/>
      </c>
      <c r="AB167">
        <f>HYPERLINK("https://klasma.github.io/Logging_1383/klagomålsmail/A 42724-2025 FSC-klagomål mail.docx", "A 42724-2025")</f>
        <v/>
      </c>
      <c r="AC167">
        <f>HYPERLINK("https://klasma.github.io/Logging_1383/tillsyn/A 42724-2025 tillsynsbegäran.docx", "A 42724-2025")</f>
        <v/>
      </c>
      <c r="AD167">
        <f>HYPERLINK("https://klasma.github.io/Logging_1383/tillsynsmail/A 42724-2025 tillsynsbegäran mail.docx", "A 42724-2025")</f>
        <v/>
      </c>
    </row>
    <row r="168" ht="15" customHeight="1">
      <c r="A168" t="inlineStr">
        <is>
          <t>A 43912-2025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45914</v>
      </c>
      <c r="E168" s="1" t="n">
        <v>46315</v>
      </c>
      <c r="F168" t="inlineStr">
        <is>
          <t>HALLANDS LÄN</t>
        </is>
      </c>
      <c r="G168" t="inlineStr">
        <is>
          <t>FALKENBERG</t>
        </is>
      </c>
      <c r="I168" t="n">
        <v>5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s="2" t="inlineStr">
        <is>
          <t>Blåmossa</t>
        </is>
      </c>
      <c r="W168">
        <f>HYPERLINK("https://klasma.github.io/Logging_1382/artfynd/A 43912-2025 artfynd.xlsx", "A 43912-2025")</f>
        <v/>
      </c>
      <c r="X168">
        <f>HYPERLINK("https://klasma.github.io/Logging_1382/kartor/A 43912-2025 karta.png", "A 43912-2025")</f>
        <v/>
      </c>
      <c r="Y168">
        <f>HYPERLINK("https://klasma.github.io/Logging_1382/kartor_geotiff/A 43912-2025 georefererad karta.tif", "A 43912-2025")</f>
        <v/>
      </c>
      <c r="AA168">
        <f>HYPERLINK("https://klasma.github.io/Logging_1382/klagomål/A 43912-2025 FSC-klagomål.docx", "A 43912-2025")</f>
        <v/>
      </c>
      <c r="AB168">
        <f>HYPERLINK("https://klasma.github.io/Logging_1382/klagomålsmail/A 43912-2025 FSC-klagomål mail.docx", "A 43912-2025")</f>
        <v/>
      </c>
      <c r="AC168">
        <f>HYPERLINK("https://klasma.github.io/Logging_1382/tillsyn/A 43912-2025 tillsynsbegäran.docx", "A 43912-2025")</f>
        <v/>
      </c>
      <c r="AD168">
        <f>HYPERLINK("https://klasma.github.io/Logging_1382/tillsynsmail/A 43912-2025 tillsynsbegäran mail.docx", "A 43912-2025")</f>
        <v/>
      </c>
    </row>
    <row r="169" ht="15" customHeight="1">
      <c r="A169" t="inlineStr">
        <is>
          <t>A 9816-2025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45715</v>
      </c>
      <c r="E169" s="1" t="n">
        <v>46315</v>
      </c>
      <c r="F169" t="inlineStr">
        <is>
          <t>HALLANDS LÄN</t>
        </is>
      </c>
      <c r="G169" t="inlineStr">
        <is>
          <t>HALMSTAD</t>
        </is>
      </c>
      <c r="H169" t="inlineStr">
        <is>
          <t>Övriga statliga verk och myndigheter</t>
        </is>
      </c>
      <c r="I169" t="n">
        <v>9.4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s="2" t="inlineStr">
        <is>
          <t>Igelkott</t>
        </is>
      </c>
      <c r="W169">
        <f>HYPERLINK("https://klasma.github.io/Logging_1380/artfynd/A 9816-2025 artfynd.xlsx", "A 9816-2025")</f>
        <v/>
      </c>
      <c r="X169">
        <f>HYPERLINK("https://klasma.github.io/Logging_1380/kartor/A 9816-2025 karta.png", "A 9816-2025")</f>
        <v/>
      </c>
      <c r="Y169">
        <f>HYPERLINK("https://klasma.github.io/Logging_1380/kartor_geotiff/A 9816-2025 georefererad karta.tif", "A 9816-2025")</f>
        <v/>
      </c>
      <c r="AA169">
        <f>HYPERLINK("https://klasma.github.io/Logging_1380/klagomål/A 9816-2025 FSC-klagomål.docx", "A 9816-2025")</f>
        <v/>
      </c>
      <c r="AB169">
        <f>HYPERLINK("https://klasma.github.io/Logging_1380/klagomålsmail/A 9816-2025 FSC-klagomål mail.docx", "A 9816-2025")</f>
        <v/>
      </c>
      <c r="AC169">
        <f>HYPERLINK("https://klasma.github.io/Logging_1380/tillsyn/A 9816-2025 tillsynsbegäran.docx", "A 9816-2025")</f>
        <v/>
      </c>
      <c r="AD169">
        <f>HYPERLINK("https://klasma.github.io/Logging_1380/tillsynsmail/A 9816-2025 tillsynsbegäran mail.docx", "A 9816-2025")</f>
        <v/>
      </c>
    </row>
    <row r="170" ht="15" customHeight="1">
      <c r="A170" t="inlineStr">
        <is>
          <t>A 15066-2022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44657</v>
      </c>
      <c r="E170" s="1" t="n">
        <v>46315</v>
      </c>
      <c r="F170" t="inlineStr">
        <is>
          <t>HALLANDS LÄN</t>
        </is>
      </c>
      <c r="G170" t="inlineStr">
        <is>
          <t>VARBERG</t>
        </is>
      </c>
      <c r="I170" t="n">
        <v>4.8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s="2" t="inlineStr">
        <is>
          <t>Grönvit nattviol</t>
        </is>
      </c>
      <c r="W170">
        <f>HYPERLINK("https://klasma.github.io/Logging_1383/artfynd/A 15066-2022 artfynd.xlsx", "A 15066-2022")</f>
        <v/>
      </c>
      <c r="X170">
        <f>HYPERLINK("https://klasma.github.io/Logging_1383/kartor/A 15066-2022 karta.png", "A 15066-2022")</f>
        <v/>
      </c>
      <c r="Y170">
        <f>HYPERLINK("https://klasma.github.io/Logging_1383/kartor_geotiff/A 15066-2022 georefererad karta.tif", "A 15066-2022")</f>
        <v/>
      </c>
      <c r="AA170">
        <f>HYPERLINK("https://klasma.github.io/Logging_1383/klagomål/A 15066-2022 FSC-klagomål.docx", "A 15066-2022")</f>
        <v/>
      </c>
      <c r="AB170">
        <f>HYPERLINK("https://klasma.github.io/Logging_1383/klagomålsmail/A 15066-2022 FSC-klagomål mail.docx", "A 15066-2022")</f>
        <v/>
      </c>
      <c r="AC170">
        <f>HYPERLINK("https://klasma.github.io/Logging_1383/tillsyn/A 15066-2022 tillsynsbegäran.docx", "A 15066-2022")</f>
        <v/>
      </c>
      <c r="AD170">
        <f>HYPERLINK("https://klasma.github.io/Logging_1383/tillsynsmail/A 15066-2022 tillsynsbegäran mail.docx", "A 15066-2022")</f>
        <v/>
      </c>
    </row>
    <row r="171" ht="15" customHeight="1">
      <c r="A171" t="inlineStr">
        <is>
          <t>A 263-2023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44928</v>
      </c>
      <c r="E171" s="1" t="n">
        <v>46315</v>
      </c>
      <c r="F171" t="inlineStr">
        <is>
          <t>HALLANDS LÄN</t>
        </is>
      </c>
      <c r="G171" t="inlineStr">
        <is>
          <t>LAHOLM</t>
        </is>
      </c>
      <c r="H171" t="inlineStr">
        <is>
          <t>Kommuner</t>
        </is>
      </c>
      <c r="I171" t="n">
        <v>12.2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s="2" t="inlineStr">
        <is>
          <t>Ljungögontröst</t>
        </is>
      </c>
      <c r="W171">
        <f>HYPERLINK("https://klasma.github.io/Logging_1381/artfynd/A 263-2023 artfynd.xlsx", "A 263-2023")</f>
        <v/>
      </c>
      <c r="X171">
        <f>HYPERLINK("https://klasma.github.io/Logging_1381/kartor/A 263-2023 karta.png", "A 263-2023")</f>
        <v/>
      </c>
      <c r="Y171">
        <f>HYPERLINK("https://klasma.github.io/Logging_1381/kartor_geotiff/A 263-2023 georefererad karta.tif", "A 263-2023")</f>
        <v/>
      </c>
      <c r="AA171">
        <f>HYPERLINK("https://klasma.github.io/Logging_1381/klagomål/A 263-2023 FSC-klagomål.docx", "A 263-2023")</f>
        <v/>
      </c>
      <c r="AB171">
        <f>HYPERLINK("https://klasma.github.io/Logging_1381/klagomålsmail/A 263-2023 FSC-klagomål mail.docx", "A 263-2023")</f>
        <v/>
      </c>
      <c r="AC171">
        <f>HYPERLINK("https://klasma.github.io/Logging_1381/tillsyn/A 263-2023 tillsynsbegäran.docx", "A 263-2023")</f>
        <v/>
      </c>
      <c r="AD171">
        <f>HYPERLINK("https://klasma.github.io/Logging_1381/tillsynsmail/A 263-2023 tillsynsbegäran mail.docx", "A 263-2023")</f>
        <v/>
      </c>
    </row>
    <row r="172" ht="15" customHeight="1">
      <c r="A172" t="inlineStr">
        <is>
          <t>A 8254-2024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45352</v>
      </c>
      <c r="E172" s="1" t="n">
        <v>46315</v>
      </c>
      <c r="F172" t="inlineStr">
        <is>
          <t>HALLANDS LÄN</t>
        </is>
      </c>
      <c r="G172" t="inlineStr">
        <is>
          <t>VARBERG</t>
        </is>
      </c>
      <c r="I172" t="n">
        <v>0.5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s="2" t="inlineStr">
        <is>
          <t>Jättesvampmal</t>
        </is>
      </c>
      <c r="W172">
        <f>HYPERLINK("https://klasma.github.io/Logging_1383/artfynd/A 8254-2024 artfynd.xlsx", "A 8254-2024")</f>
        <v/>
      </c>
      <c r="X172">
        <f>HYPERLINK("https://klasma.github.io/Logging_1383/kartor/A 8254-2024 karta.png", "A 8254-2024")</f>
        <v/>
      </c>
      <c r="Y172">
        <f>HYPERLINK("https://klasma.github.io/Logging_1383/kartor_geotiff/A 8254-2024 georefererad karta.tif", "A 8254-2024")</f>
        <v/>
      </c>
      <c r="AA172">
        <f>HYPERLINK("https://klasma.github.io/Logging_1383/klagomål/A 8254-2024 FSC-klagomål.docx", "A 8254-2024")</f>
        <v/>
      </c>
      <c r="AB172">
        <f>HYPERLINK("https://klasma.github.io/Logging_1383/klagomålsmail/A 8254-2024 FSC-klagomål mail.docx", "A 8254-2024")</f>
        <v/>
      </c>
      <c r="AC172">
        <f>HYPERLINK("https://klasma.github.io/Logging_1383/tillsyn/A 8254-2024 tillsynsbegäran.docx", "A 8254-2024")</f>
        <v/>
      </c>
      <c r="AD172">
        <f>HYPERLINK("https://klasma.github.io/Logging_1383/tillsynsmail/A 8254-2024 tillsynsbegäran mail.docx", "A 8254-2024")</f>
        <v/>
      </c>
    </row>
    <row r="173" ht="15" customHeight="1">
      <c r="A173" t="inlineStr">
        <is>
          <t>A 61966-2022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44918</v>
      </c>
      <c r="E173" s="1" t="n">
        <v>46315</v>
      </c>
      <c r="F173" t="inlineStr">
        <is>
          <t>HALLANDS LÄN</t>
        </is>
      </c>
      <c r="G173" t="inlineStr">
        <is>
          <t>VARBERG</t>
        </is>
      </c>
      <c r="I173" t="n">
        <v>0.7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s="2" t="inlineStr">
        <is>
          <t>Åkersyska</t>
        </is>
      </c>
      <c r="W173">
        <f>HYPERLINK("https://klasma.github.io/Logging_1383/artfynd/A 61966-2022 artfynd.xlsx", "A 61966-2022")</f>
        <v/>
      </c>
      <c r="X173">
        <f>HYPERLINK("https://klasma.github.io/Logging_1383/kartor/A 61966-2022 karta.png", "A 61966-2022")</f>
        <v/>
      </c>
      <c r="Y173">
        <f>HYPERLINK("https://klasma.github.io/Logging_1383/kartor_geotiff/A 61966-2022 georefererad karta.tif", "A 61966-2022")</f>
        <v/>
      </c>
      <c r="AA173">
        <f>HYPERLINK("https://klasma.github.io/Logging_1383/klagomål/A 61966-2022 FSC-klagomål.docx", "A 61966-2022")</f>
        <v/>
      </c>
      <c r="AB173">
        <f>HYPERLINK("https://klasma.github.io/Logging_1383/klagomålsmail/A 61966-2022 FSC-klagomål mail.docx", "A 61966-2022")</f>
        <v/>
      </c>
      <c r="AC173">
        <f>HYPERLINK("https://klasma.github.io/Logging_1383/tillsyn/A 61966-2022 tillsynsbegäran.docx", "A 61966-2022")</f>
        <v/>
      </c>
      <c r="AD173">
        <f>HYPERLINK("https://klasma.github.io/Logging_1383/tillsynsmail/A 61966-2022 tillsynsbegäran mail.docx", "A 61966-2022")</f>
        <v/>
      </c>
    </row>
    <row r="174" ht="15" customHeight="1">
      <c r="A174" t="inlineStr">
        <is>
          <t>A 21626-2026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46149</v>
      </c>
      <c r="E174" s="1" t="n">
        <v>46315</v>
      </c>
      <c r="F174" t="inlineStr">
        <is>
          <t>HALLANDS LÄN</t>
        </is>
      </c>
      <c r="G174" t="inlineStr">
        <is>
          <t>HALMSTAD</t>
        </is>
      </c>
      <c r="I174" t="n">
        <v>9.6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s="2" t="inlineStr">
        <is>
          <t>Hårginst</t>
        </is>
      </c>
      <c r="W174">
        <f>HYPERLINK("https://klasma.github.io/Logging_1380/artfynd/A 21626-2026 artfynd.xlsx", "A 21626-2026")</f>
        <v/>
      </c>
      <c r="X174">
        <f>HYPERLINK("https://klasma.github.io/Logging_1380/kartor/A 21626-2026 karta.png", "A 21626-2026")</f>
        <v/>
      </c>
      <c r="Y174">
        <f>HYPERLINK("https://klasma.github.io/Logging_1380/kartor_geotiff/A 21626-2026 georefererad karta.tif", "A 21626-2026")</f>
        <v/>
      </c>
      <c r="AA174">
        <f>HYPERLINK("https://klasma.github.io/Logging_1380/klagomål/A 21626-2026 FSC-klagomål.docx", "A 21626-2026")</f>
        <v/>
      </c>
      <c r="AB174">
        <f>HYPERLINK("https://klasma.github.io/Logging_1380/klagomålsmail/A 21626-2026 FSC-klagomål mail.docx", "A 21626-2026")</f>
        <v/>
      </c>
      <c r="AC174">
        <f>HYPERLINK("https://klasma.github.io/Logging_1380/tillsyn/A 21626-2026 tillsynsbegäran.docx", "A 21626-2026")</f>
        <v/>
      </c>
      <c r="AD174">
        <f>HYPERLINK("https://klasma.github.io/Logging_1380/tillsynsmail/A 21626-2026 tillsynsbegäran mail.docx", "A 21626-2026")</f>
        <v/>
      </c>
    </row>
    <row r="175" ht="15" customHeight="1">
      <c r="A175" t="inlineStr">
        <is>
          <t>A 17266-2023</t>
        </is>
      </c>
      <c r="B175" t="inlineStr">
        <is>
          <t>avverkningsanmälan</t>
        </is>
      </c>
      <c r="C175" t="inlineStr">
        <is>
          <t>Avverkning för att bevara och utveckla /försöksver</t>
        </is>
      </c>
      <c r="D175" s="1" t="n">
        <v>45035</v>
      </c>
      <c r="E175" s="1" t="n">
        <v>46315</v>
      </c>
      <c r="F175" t="inlineStr">
        <is>
          <t>HALLANDS LÄN</t>
        </is>
      </c>
      <c r="G175" t="inlineStr">
        <is>
          <t>HALMSTAD</t>
        </is>
      </c>
      <c r="I175" t="n">
        <v>1.1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s="2" t="inlineStr">
        <is>
          <t>Tibast</t>
        </is>
      </c>
      <c r="W175">
        <f>HYPERLINK("https://klasma.github.io/Logging_1380/artfynd/A 17266-2023 artfynd.xlsx", "A 17266-2023")</f>
        <v/>
      </c>
      <c r="X175">
        <f>HYPERLINK("https://klasma.github.io/Logging_1380/kartor/A 17266-2023 karta.png", "A 17266-2023")</f>
        <v/>
      </c>
      <c r="Y175">
        <f>HYPERLINK("https://klasma.github.io/Logging_1380/kartor_geotiff/A 17266-2023 georefererad karta.tif", "A 17266-2023")</f>
        <v/>
      </c>
      <c r="AA175">
        <f>HYPERLINK("https://klasma.github.io/Logging_1380/klagomål/A 17266-2023 FSC-klagomål.docx", "A 17266-2023")</f>
        <v/>
      </c>
      <c r="AB175">
        <f>HYPERLINK("https://klasma.github.io/Logging_1380/klagomålsmail/A 17266-2023 FSC-klagomål mail.docx", "A 17266-2023")</f>
        <v/>
      </c>
      <c r="AC175">
        <f>HYPERLINK("https://klasma.github.io/Logging_1380/tillsyn/A 17266-2023 tillsynsbegäran.docx", "A 17266-2023")</f>
        <v/>
      </c>
      <c r="AD175">
        <f>HYPERLINK("https://klasma.github.io/Logging_1380/tillsynsmail/A 17266-2023 tillsynsbegäran mail.docx", "A 17266-2023")</f>
        <v/>
      </c>
    </row>
    <row r="176" ht="15" customHeight="1">
      <c r="A176" t="inlineStr">
        <is>
          <t>A 7696-2023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44972</v>
      </c>
      <c r="E176" s="1" t="n">
        <v>46315</v>
      </c>
      <c r="F176" t="inlineStr">
        <is>
          <t>HALLANDS LÄN</t>
        </is>
      </c>
      <c r="G176" t="inlineStr">
        <is>
          <t>FALKENBERG</t>
        </is>
      </c>
      <c r="I176" t="n">
        <v>6.3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s="2" t="inlineStr">
        <is>
          <t>Utter</t>
        </is>
      </c>
      <c r="W176">
        <f>HYPERLINK("https://klasma.github.io/Logging_1382/artfynd/A 7696-2023 artfynd.xlsx", "A 7696-2023")</f>
        <v/>
      </c>
      <c r="X176">
        <f>HYPERLINK("https://klasma.github.io/Logging_1382/kartor/A 7696-2023 karta.png", "A 7696-2023")</f>
        <v/>
      </c>
      <c r="Y176">
        <f>HYPERLINK("https://klasma.github.io/Logging_1382/kartor_geotiff/A 7696-2023 georefererad karta.tif", "A 7696-2023")</f>
        <v/>
      </c>
      <c r="AA176">
        <f>HYPERLINK("https://klasma.github.io/Logging_1382/klagomål/A 7696-2023 FSC-klagomål.docx", "A 7696-2023")</f>
        <v/>
      </c>
      <c r="AB176">
        <f>HYPERLINK("https://klasma.github.io/Logging_1382/klagomålsmail/A 7696-2023 FSC-klagomål mail.docx", "A 7696-2023")</f>
        <v/>
      </c>
      <c r="AC176">
        <f>HYPERLINK("https://klasma.github.io/Logging_1382/tillsyn/A 7696-2023 tillsynsbegäran.docx", "A 7696-2023")</f>
        <v/>
      </c>
      <c r="AD176">
        <f>HYPERLINK("https://klasma.github.io/Logging_1382/tillsynsmail/A 7696-2023 tillsynsbegäran mail.docx", "A 7696-2023")</f>
        <v/>
      </c>
    </row>
    <row r="177" ht="15" customHeight="1">
      <c r="A177" t="inlineStr">
        <is>
          <t>A 23305-2026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46162</v>
      </c>
      <c r="E177" s="1" t="n">
        <v>46315</v>
      </c>
      <c r="F177" t="inlineStr">
        <is>
          <t>HALLANDS LÄN</t>
        </is>
      </c>
      <c r="G177" t="inlineStr">
        <is>
          <t>HALMSTAD</t>
        </is>
      </c>
      <c r="I177" t="n">
        <v>1.6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s="2" t="inlineStr">
        <is>
          <t>Kambräken</t>
        </is>
      </c>
      <c r="W177">
        <f>HYPERLINK("https://klasma.github.io/Logging_1380/artfynd/A 23305-2026 artfynd.xlsx", "A 23305-2026")</f>
        <v/>
      </c>
      <c r="X177">
        <f>HYPERLINK("https://klasma.github.io/Logging_1380/kartor/A 23305-2026 karta.png", "A 23305-2026")</f>
        <v/>
      </c>
      <c r="Y177">
        <f>HYPERLINK("https://klasma.github.io/Logging_1380/kartor_geotiff/A 23305-2026 georefererad karta.tif", "A 23305-2026")</f>
        <v/>
      </c>
      <c r="AA177">
        <f>HYPERLINK("https://klasma.github.io/Logging_1380/klagomål/A 23305-2026 FSC-klagomål.docx", "A 23305-2026")</f>
        <v/>
      </c>
      <c r="AB177">
        <f>HYPERLINK("https://klasma.github.io/Logging_1380/klagomålsmail/A 23305-2026 FSC-klagomål mail.docx", "A 23305-2026")</f>
        <v/>
      </c>
      <c r="AC177">
        <f>HYPERLINK("https://klasma.github.io/Logging_1380/tillsyn/A 23305-2026 tillsynsbegäran.docx", "A 23305-2026")</f>
        <v/>
      </c>
      <c r="AD177">
        <f>HYPERLINK("https://klasma.github.io/Logging_1380/tillsynsmail/A 23305-2026 tillsynsbegäran mail.docx", "A 23305-2026")</f>
        <v/>
      </c>
    </row>
    <row r="178" ht="15" customHeight="1">
      <c r="A178" t="inlineStr">
        <is>
          <t>A 9045-2026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46069</v>
      </c>
      <c r="E178" s="1" t="n">
        <v>46315</v>
      </c>
      <c r="F178" t="inlineStr">
        <is>
          <t>HALLANDS LÄN</t>
        </is>
      </c>
      <c r="G178" t="inlineStr">
        <is>
          <t>HALMSTAD</t>
        </is>
      </c>
      <c r="I178" t="n">
        <v>3.8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s="2" t="inlineStr">
        <is>
          <t>Grönvit nattviol</t>
        </is>
      </c>
      <c r="W178">
        <f>HYPERLINK("https://klasma.github.io/Logging_1380/artfynd/A 9045-2026 artfynd.xlsx", "A 9045-2026")</f>
        <v/>
      </c>
      <c r="X178">
        <f>HYPERLINK("https://klasma.github.io/Logging_1380/kartor/A 9045-2026 karta.png", "A 9045-2026")</f>
        <v/>
      </c>
      <c r="Y178">
        <f>HYPERLINK("https://klasma.github.io/Logging_1380/kartor_geotiff/A 9045-2026 georefererad karta.tif", "A 9045-2026")</f>
        <v/>
      </c>
      <c r="AA178">
        <f>HYPERLINK("https://klasma.github.io/Logging_1380/klagomål/A 9045-2026 FSC-klagomål.docx", "A 9045-2026")</f>
        <v/>
      </c>
      <c r="AB178">
        <f>HYPERLINK("https://klasma.github.io/Logging_1380/klagomålsmail/A 9045-2026 FSC-klagomål mail.docx", "A 9045-2026")</f>
        <v/>
      </c>
      <c r="AC178">
        <f>HYPERLINK("https://klasma.github.io/Logging_1380/tillsyn/A 9045-2026 tillsynsbegäran.docx", "A 9045-2026")</f>
        <v/>
      </c>
      <c r="AD178">
        <f>HYPERLINK("https://klasma.github.io/Logging_1380/tillsynsmail/A 9045-2026 tillsynsbegäran mail.docx", "A 9045-2026")</f>
        <v/>
      </c>
    </row>
    <row r="179" ht="15" customHeight="1">
      <c r="A179" t="inlineStr">
        <is>
          <t>A 34833-2023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45141</v>
      </c>
      <c r="E179" s="1" t="n">
        <v>46315</v>
      </c>
      <c r="F179" t="inlineStr">
        <is>
          <t>HALLANDS LÄN</t>
        </is>
      </c>
      <c r="G179" t="inlineStr">
        <is>
          <t>VARBERG</t>
        </is>
      </c>
      <c r="I179" t="n">
        <v>0.9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s="2" t="inlineStr">
        <is>
          <t>Tibast</t>
        </is>
      </c>
      <c r="W179">
        <f>HYPERLINK("https://klasma.github.io/Logging_1383/artfynd/A 34833-2023 artfynd.xlsx", "A 34833-2023")</f>
        <v/>
      </c>
      <c r="X179">
        <f>HYPERLINK("https://klasma.github.io/Logging_1383/kartor/A 34833-2023 karta.png", "A 34833-2023")</f>
        <v/>
      </c>
      <c r="Y179">
        <f>HYPERLINK("https://klasma.github.io/Logging_1383/kartor_geotiff/A 34833-2023 georefererad karta.tif", "A 34833-2023")</f>
        <v/>
      </c>
      <c r="AA179">
        <f>HYPERLINK("https://klasma.github.io/Logging_1383/klagomål/A 34833-2023 FSC-klagomål.docx", "A 34833-2023")</f>
        <v/>
      </c>
      <c r="AB179">
        <f>HYPERLINK("https://klasma.github.io/Logging_1383/klagomålsmail/A 34833-2023 FSC-klagomål mail.docx", "A 34833-2023")</f>
        <v/>
      </c>
      <c r="AC179">
        <f>HYPERLINK("https://klasma.github.io/Logging_1383/tillsyn/A 34833-2023 tillsynsbegäran.docx", "A 34833-2023")</f>
        <v/>
      </c>
      <c r="AD179">
        <f>HYPERLINK("https://klasma.github.io/Logging_1383/tillsynsmail/A 34833-2023 tillsynsbegäran mail.docx", "A 34833-2023")</f>
        <v/>
      </c>
    </row>
    <row r="180" ht="15" customHeight="1">
      <c r="A180" t="inlineStr">
        <is>
          <t>A 7006-2024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45343</v>
      </c>
      <c r="E180" s="1" t="n">
        <v>46315</v>
      </c>
      <c r="F180" t="inlineStr">
        <is>
          <t>HALLANDS LÄN</t>
        </is>
      </c>
      <c r="G180" t="inlineStr">
        <is>
          <t>HYLTE</t>
        </is>
      </c>
      <c r="I180" t="n">
        <v>2.2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s="2" t="inlineStr">
        <is>
          <t>Fläcknycklar</t>
        </is>
      </c>
      <c r="W180">
        <f>HYPERLINK("https://klasma.github.io/Logging_1315/artfynd/A 7006-2024 artfynd.xlsx", "A 7006-2024")</f>
        <v/>
      </c>
      <c r="X180">
        <f>HYPERLINK("https://klasma.github.io/Logging_1315/kartor/A 7006-2024 karta.png", "A 7006-2024")</f>
        <v/>
      </c>
      <c r="Y180">
        <f>HYPERLINK("https://klasma.github.io/Logging_1315/kartor_geotiff/A 7006-2024 georefererad karta.tif", "A 7006-2024")</f>
        <v/>
      </c>
      <c r="AA180">
        <f>HYPERLINK("https://klasma.github.io/Logging_1315/klagomål/A 7006-2024 FSC-klagomål.docx", "A 7006-2024")</f>
        <v/>
      </c>
      <c r="AB180">
        <f>HYPERLINK("https://klasma.github.io/Logging_1315/klagomålsmail/A 7006-2024 FSC-klagomål mail.docx", "A 7006-2024")</f>
        <v/>
      </c>
      <c r="AC180">
        <f>HYPERLINK("https://klasma.github.io/Logging_1315/tillsyn/A 7006-2024 tillsynsbegäran.docx", "A 7006-2024")</f>
        <v/>
      </c>
      <c r="AD180">
        <f>HYPERLINK("https://klasma.github.io/Logging_1315/tillsynsmail/A 7006-2024 tillsynsbegäran mail.docx", "A 7006-2024")</f>
        <v/>
      </c>
    </row>
    <row r="181" ht="15" customHeight="1">
      <c r="A181" t="inlineStr">
        <is>
          <t>A 28009-2024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45476</v>
      </c>
      <c r="E181" s="1" t="n">
        <v>46315</v>
      </c>
      <c r="F181" t="inlineStr">
        <is>
          <t>HALLANDS LÄN</t>
        </is>
      </c>
      <c r="G181" t="inlineStr">
        <is>
          <t>HYLTE</t>
        </is>
      </c>
      <c r="H181" t="inlineStr">
        <is>
          <t>Bergvik skog väst AB</t>
        </is>
      </c>
      <c r="I181" t="n">
        <v>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s="2" t="inlineStr">
        <is>
          <t>Huggorm</t>
        </is>
      </c>
      <c r="W181">
        <f>HYPERLINK("https://klasma.github.io/Logging_1315/artfynd/A 28009-2024 artfynd.xlsx", "A 28009-2024")</f>
        <v/>
      </c>
      <c r="X181">
        <f>HYPERLINK("https://klasma.github.io/Logging_1315/kartor/A 28009-2024 karta.png", "A 28009-2024")</f>
        <v/>
      </c>
      <c r="Y181">
        <f>HYPERLINK("https://klasma.github.io/Logging_1315/kartor_geotiff/A 28009-2024 georefererad karta.tif", "A 28009-2024")</f>
        <v/>
      </c>
      <c r="AA181">
        <f>HYPERLINK("https://klasma.github.io/Logging_1315/klagomål/A 28009-2024 FSC-klagomål.docx", "A 28009-2024")</f>
        <v/>
      </c>
      <c r="AB181">
        <f>HYPERLINK("https://klasma.github.io/Logging_1315/klagomålsmail/A 28009-2024 FSC-klagomål mail.docx", "A 28009-2024")</f>
        <v/>
      </c>
      <c r="AC181">
        <f>HYPERLINK("https://klasma.github.io/Logging_1315/tillsyn/A 28009-2024 tillsynsbegäran.docx", "A 28009-2024")</f>
        <v/>
      </c>
      <c r="AD181">
        <f>HYPERLINK("https://klasma.github.io/Logging_1315/tillsynsmail/A 28009-2024 tillsynsbegäran mail.docx", "A 28009-2024")</f>
        <v/>
      </c>
    </row>
    <row r="182" ht="15" customHeight="1">
      <c r="A182" t="inlineStr">
        <is>
          <t>A 25055-2026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46174</v>
      </c>
      <c r="E182" s="1" t="n">
        <v>46315</v>
      </c>
      <c r="F182" t="inlineStr">
        <is>
          <t>HALLANDS LÄN</t>
        </is>
      </c>
      <c r="G182" t="inlineStr">
        <is>
          <t>VARBERG</t>
        </is>
      </c>
      <c r="I182" t="n">
        <v>2.3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s="2" t="inlineStr">
        <is>
          <t>Skogsödla</t>
        </is>
      </c>
      <c r="W182">
        <f>HYPERLINK("https://klasma.github.io/Logging_1383/artfynd/A 25055-2026 artfynd.xlsx", "A 25055-2026")</f>
        <v/>
      </c>
      <c r="X182">
        <f>HYPERLINK("https://klasma.github.io/Logging_1383/kartor/A 25055-2026 karta.png", "A 25055-2026")</f>
        <v/>
      </c>
      <c r="Y182">
        <f>HYPERLINK("https://klasma.github.io/Logging_1383/kartor_geotiff/A 25055-2026 georefererad karta.tif", "A 25055-2026")</f>
        <v/>
      </c>
      <c r="AA182">
        <f>HYPERLINK("https://klasma.github.io/Logging_1383/klagomål/A 25055-2026 FSC-klagomål.docx", "A 25055-2026")</f>
        <v/>
      </c>
      <c r="AB182">
        <f>HYPERLINK("https://klasma.github.io/Logging_1383/klagomålsmail/A 25055-2026 FSC-klagomål mail.docx", "A 25055-2026")</f>
        <v/>
      </c>
      <c r="AC182">
        <f>HYPERLINK("https://klasma.github.io/Logging_1383/tillsyn/A 25055-2026 tillsynsbegäran.docx", "A 25055-2026")</f>
        <v/>
      </c>
      <c r="AD182">
        <f>HYPERLINK("https://klasma.github.io/Logging_1383/tillsynsmail/A 25055-2026 tillsynsbegäran mail.docx", "A 25055-2026")</f>
        <v/>
      </c>
    </row>
    <row r="183" ht="15" customHeight="1">
      <c r="A183" t="inlineStr">
        <is>
          <t>A 25382-2026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46176</v>
      </c>
      <c r="E183" s="1" t="n">
        <v>46315</v>
      </c>
      <c r="F183" t="inlineStr">
        <is>
          <t>HALLANDS LÄN</t>
        </is>
      </c>
      <c r="G183" t="inlineStr">
        <is>
          <t>HALMSTAD</t>
        </is>
      </c>
      <c r="I183" t="n">
        <v>10.9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s="2" t="inlineStr">
        <is>
          <t>Svinrot</t>
        </is>
      </c>
      <c r="W183">
        <f>HYPERLINK("https://klasma.github.io/Logging_1380/artfynd/A 25382-2026 artfynd.xlsx", "A 25382-2026")</f>
        <v/>
      </c>
      <c r="X183">
        <f>HYPERLINK("https://klasma.github.io/Logging_1380/kartor/A 25382-2026 karta.png", "A 25382-2026")</f>
        <v/>
      </c>
      <c r="Y183">
        <f>HYPERLINK("https://klasma.github.io/Logging_1380/kartor_geotiff/A 25382-2026 georefererad karta.tif", "A 25382-2026")</f>
        <v/>
      </c>
      <c r="AA183">
        <f>HYPERLINK("https://klasma.github.io/Logging_1380/klagomål/A 25382-2026 FSC-klagomål.docx", "A 25382-2026")</f>
        <v/>
      </c>
      <c r="AB183">
        <f>HYPERLINK("https://klasma.github.io/Logging_1380/klagomålsmail/A 25382-2026 FSC-klagomål mail.docx", "A 25382-2026")</f>
        <v/>
      </c>
      <c r="AC183">
        <f>HYPERLINK("https://klasma.github.io/Logging_1380/tillsyn/A 25382-2026 tillsynsbegäran.docx", "A 25382-2026")</f>
        <v/>
      </c>
      <c r="AD183">
        <f>HYPERLINK("https://klasma.github.io/Logging_1380/tillsynsmail/A 25382-2026 tillsynsbegäran mail.docx", "A 25382-2026")</f>
        <v/>
      </c>
    </row>
    <row r="184" ht="15" customHeight="1">
      <c r="A184" t="inlineStr">
        <is>
          <t>A 7801-2025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45706</v>
      </c>
      <c r="E184" s="1" t="n">
        <v>46315</v>
      </c>
      <c r="F184" t="inlineStr">
        <is>
          <t>HALLANDS LÄN</t>
        </is>
      </c>
      <c r="G184" t="inlineStr">
        <is>
          <t>KUNGSBACKA</t>
        </is>
      </c>
      <c r="I184" t="n">
        <v>6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s="2" t="inlineStr">
        <is>
          <t>Hasselmus</t>
        </is>
      </c>
      <c r="W184">
        <f>HYPERLINK("https://klasma.github.io/Logging_1384/artfynd/A 7801-2025 artfynd.xlsx", "A 7801-2025")</f>
        <v/>
      </c>
      <c r="X184">
        <f>HYPERLINK("https://klasma.github.io/Logging_1384/kartor/A 7801-2025 karta.png", "A 7801-2025")</f>
        <v/>
      </c>
      <c r="Y184">
        <f>HYPERLINK("https://klasma.github.io/Logging_1384/kartor_geotiff/A 7801-2025 georefererad karta.tif", "A 7801-2025")</f>
        <v/>
      </c>
      <c r="AA184">
        <f>HYPERLINK("https://klasma.github.io/Logging_1384/klagomål/A 7801-2025 FSC-klagomål.docx", "A 7801-2025")</f>
        <v/>
      </c>
      <c r="AB184">
        <f>HYPERLINK("https://klasma.github.io/Logging_1384/klagomålsmail/A 7801-2025 FSC-klagomål mail.docx", "A 7801-2025")</f>
        <v/>
      </c>
      <c r="AC184">
        <f>HYPERLINK("https://klasma.github.io/Logging_1384/tillsyn/A 7801-2025 tillsynsbegäran.docx", "A 7801-2025")</f>
        <v/>
      </c>
      <c r="AD184">
        <f>HYPERLINK("https://klasma.github.io/Logging_1384/tillsynsmail/A 7801-2025 tillsynsbegäran mail.docx", "A 7801-2025")</f>
        <v/>
      </c>
    </row>
    <row r="185" ht="15" customHeight="1">
      <c r="A185" t="inlineStr">
        <is>
          <t>A 40650-2023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45168</v>
      </c>
      <c r="E185" s="1" t="n">
        <v>46315</v>
      </c>
      <c r="F185" t="inlineStr">
        <is>
          <t>HALLANDS LÄN</t>
        </is>
      </c>
      <c r="G185" t="inlineStr">
        <is>
          <t>HALMSTAD</t>
        </is>
      </c>
      <c r="H185" t="inlineStr">
        <is>
          <t>Kommuner</t>
        </is>
      </c>
      <c r="I185" t="n">
        <v>14.7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s="2" t="inlineStr">
        <is>
          <t>Slåttergubbe</t>
        </is>
      </c>
      <c r="W185">
        <f>HYPERLINK("https://klasma.github.io/Logging_1380/artfynd/A 40650-2023 artfynd.xlsx", "A 40650-2023")</f>
        <v/>
      </c>
      <c r="X185">
        <f>HYPERLINK("https://klasma.github.io/Logging_1380/kartor/A 40650-2023 karta.png", "A 40650-2023")</f>
        <v/>
      </c>
      <c r="Y185">
        <f>HYPERLINK("https://klasma.github.io/Logging_1380/kartor_geotiff/A 40650-2023 georefererad karta.tif", "A 40650-2023")</f>
        <v/>
      </c>
      <c r="AA185">
        <f>HYPERLINK("https://klasma.github.io/Logging_1380/klagomål/A 40650-2023 FSC-klagomål.docx", "A 40650-2023")</f>
        <v/>
      </c>
      <c r="AB185">
        <f>HYPERLINK("https://klasma.github.io/Logging_1380/klagomålsmail/A 40650-2023 FSC-klagomål mail.docx", "A 40650-2023")</f>
        <v/>
      </c>
      <c r="AC185">
        <f>HYPERLINK("https://klasma.github.io/Logging_1380/tillsyn/A 40650-2023 tillsynsbegäran.docx", "A 40650-2023")</f>
        <v/>
      </c>
      <c r="AD185">
        <f>HYPERLINK("https://klasma.github.io/Logging_1380/tillsynsmail/A 40650-2023 tillsynsbegäran mail.docx", "A 40650-2023")</f>
        <v/>
      </c>
    </row>
    <row r="186" ht="15" customHeight="1">
      <c r="A186" t="inlineStr">
        <is>
          <t>A 46505-2025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45925</v>
      </c>
      <c r="E186" s="1" t="n">
        <v>46315</v>
      </c>
      <c r="F186" t="inlineStr">
        <is>
          <t>HALLANDS LÄN</t>
        </is>
      </c>
      <c r="G186" t="inlineStr">
        <is>
          <t>HALMSTAD</t>
        </is>
      </c>
      <c r="I186" t="n">
        <v>9.1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s="2" t="inlineStr">
        <is>
          <t>Kambräken</t>
        </is>
      </c>
      <c r="W186">
        <f>HYPERLINK("https://klasma.github.io/Logging_1380/artfynd/A 46505-2025 artfynd.xlsx", "A 46505-2025")</f>
        <v/>
      </c>
      <c r="X186">
        <f>HYPERLINK("https://klasma.github.io/Logging_1380/kartor/A 46505-2025 karta.png", "A 46505-2025")</f>
        <v/>
      </c>
      <c r="Y186">
        <f>HYPERLINK("https://klasma.github.io/Logging_1380/kartor_geotiff/A 46505-2025 georefererad karta.tif", "A 46505-2025")</f>
        <v/>
      </c>
      <c r="AA186">
        <f>HYPERLINK("https://klasma.github.io/Logging_1380/klagomål/A 46505-2025 FSC-klagomål.docx", "A 46505-2025")</f>
        <v/>
      </c>
      <c r="AB186">
        <f>HYPERLINK("https://klasma.github.io/Logging_1380/klagomålsmail/A 46505-2025 FSC-klagomål mail.docx", "A 46505-2025")</f>
        <v/>
      </c>
      <c r="AC186">
        <f>HYPERLINK("https://klasma.github.io/Logging_1380/tillsyn/A 46505-2025 tillsynsbegäran.docx", "A 46505-2025")</f>
        <v/>
      </c>
      <c r="AD186">
        <f>HYPERLINK("https://klasma.github.io/Logging_1380/tillsynsmail/A 46505-2025 tillsynsbegäran mail.docx", "A 46505-2025")</f>
        <v/>
      </c>
    </row>
    <row r="187" ht="15" customHeight="1">
      <c r="A187" t="inlineStr">
        <is>
          <t>A 25887-2026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46178</v>
      </c>
      <c r="E187" s="1" t="n">
        <v>46315</v>
      </c>
      <c r="F187" t="inlineStr">
        <is>
          <t>HALLANDS LÄN</t>
        </is>
      </c>
      <c r="G187" t="inlineStr">
        <is>
          <t>HALMSTAD</t>
        </is>
      </c>
      <c r="I187" t="n">
        <v>14.9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s="2" t="inlineStr">
        <is>
          <t>Vanlig snok</t>
        </is>
      </c>
      <c r="W187">
        <f>HYPERLINK("https://klasma.github.io/Logging_1380/artfynd/A 25887-2026 artfynd.xlsx", "A 25887-2026")</f>
        <v/>
      </c>
      <c r="X187">
        <f>HYPERLINK("https://klasma.github.io/Logging_1380/kartor/A 25887-2026 karta.png", "A 25887-2026")</f>
        <v/>
      </c>
      <c r="Y187">
        <f>HYPERLINK("https://klasma.github.io/Logging_1380/kartor_geotiff/A 25887-2026 georefererad karta.tif", "A 25887-2026")</f>
        <v/>
      </c>
      <c r="AA187">
        <f>HYPERLINK("https://klasma.github.io/Logging_1380/klagomål/A 25887-2026 FSC-klagomål.docx", "A 25887-2026")</f>
        <v/>
      </c>
      <c r="AB187">
        <f>HYPERLINK("https://klasma.github.io/Logging_1380/klagomålsmail/A 25887-2026 FSC-klagomål mail.docx", "A 25887-2026")</f>
        <v/>
      </c>
      <c r="AC187">
        <f>HYPERLINK("https://klasma.github.io/Logging_1380/tillsyn/A 25887-2026 tillsynsbegäran.docx", "A 25887-2026")</f>
        <v/>
      </c>
      <c r="AD187">
        <f>HYPERLINK("https://klasma.github.io/Logging_1380/tillsynsmail/A 25887-2026 tillsynsbegäran mail.docx", "A 25887-2026")</f>
        <v/>
      </c>
    </row>
    <row r="188" ht="15" customHeight="1">
      <c r="A188" t="inlineStr">
        <is>
          <t>A 26330-2026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46182</v>
      </c>
      <c r="E188" s="1" t="n">
        <v>46315</v>
      </c>
      <c r="F188" t="inlineStr">
        <is>
          <t>HALLANDS LÄN</t>
        </is>
      </c>
      <c r="G188" t="inlineStr">
        <is>
          <t>HALMSTAD</t>
        </is>
      </c>
      <c r="I188" t="n">
        <v>9.1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s="2" t="inlineStr">
        <is>
          <t>Revlummer</t>
        </is>
      </c>
      <c r="W188">
        <f>HYPERLINK("https://klasma.github.io/Logging_1380/artfynd/A 26330-2026 artfynd.xlsx", "A 26330-2026")</f>
        <v/>
      </c>
      <c r="X188">
        <f>HYPERLINK("https://klasma.github.io/Logging_1380/kartor/A 26330-2026 karta.png", "A 26330-2026")</f>
        <v/>
      </c>
      <c r="Y188">
        <f>HYPERLINK("https://klasma.github.io/Logging_1380/kartor_geotiff/A 26330-2026 georefererad karta.tif", "A 26330-2026")</f>
        <v/>
      </c>
      <c r="AA188">
        <f>HYPERLINK("https://klasma.github.io/Logging_1380/klagomål/A 26330-2026 FSC-klagomål.docx", "A 26330-2026")</f>
        <v/>
      </c>
      <c r="AB188">
        <f>HYPERLINK("https://klasma.github.io/Logging_1380/klagomålsmail/A 26330-2026 FSC-klagomål mail.docx", "A 26330-2026")</f>
        <v/>
      </c>
      <c r="AC188">
        <f>HYPERLINK("https://klasma.github.io/Logging_1380/tillsyn/A 26330-2026 tillsynsbegäran.docx", "A 26330-2026")</f>
        <v/>
      </c>
      <c r="AD188">
        <f>HYPERLINK("https://klasma.github.io/Logging_1380/tillsynsmail/A 26330-2026 tillsynsbegäran mail.docx", "A 26330-2026")</f>
        <v/>
      </c>
    </row>
    <row r="189" ht="15" customHeight="1">
      <c r="A189" t="inlineStr">
        <is>
          <t>A 6361-2026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46051</v>
      </c>
      <c r="E189" s="1" t="n">
        <v>46315</v>
      </c>
      <c r="F189" t="inlineStr">
        <is>
          <t>HALLANDS LÄN</t>
        </is>
      </c>
      <c r="G189" t="inlineStr">
        <is>
          <t>LAHOLM</t>
        </is>
      </c>
      <c r="I189" t="n">
        <v>0.5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s="2" t="inlineStr">
        <is>
          <t>Flikbålmossa</t>
        </is>
      </c>
      <c r="W189">
        <f>HYPERLINK("https://klasma.github.io/Logging_1381/artfynd/A 6361-2026 artfynd.xlsx", "A 6361-2026")</f>
        <v/>
      </c>
      <c r="X189">
        <f>HYPERLINK("https://klasma.github.io/Logging_1381/kartor/A 6361-2026 karta.png", "A 6361-2026")</f>
        <v/>
      </c>
      <c r="Y189">
        <f>HYPERLINK("https://klasma.github.io/Logging_1381/kartor_geotiff/A 6361-2026 georefererad karta.tif", "A 6361-2026")</f>
        <v/>
      </c>
      <c r="AA189">
        <f>HYPERLINK("https://klasma.github.io/Logging_1381/klagomål/A 6361-2026 FSC-klagomål.docx", "A 6361-2026")</f>
        <v/>
      </c>
      <c r="AB189">
        <f>HYPERLINK("https://klasma.github.io/Logging_1381/klagomålsmail/A 6361-2026 FSC-klagomål mail.docx", "A 6361-2026")</f>
        <v/>
      </c>
      <c r="AC189">
        <f>HYPERLINK("https://klasma.github.io/Logging_1381/tillsyn/A 6361-2026 tillsynsbegäran.docx", "A 6361-2026")</f>
        <v/>
      </c>
      <c r="AD189">
        <f>HYPERLINK("https://klasma.github.io/Logging_1381/tillsynsmail/A 6361-2026 tillsynsbegäran mail.docx", "A 6361-2026")</f>
        <v/>
      </c>
    </row>
    <row r="190" ht="15" customHeight="1">
      <c r="A190" t="inlineStr">
        <is>
          <t>A 6767-2026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46057</v>
      </c>
      <c r="E190" s="1" t="n">
        <v>46315</v>
      </c>
      <c r="F190" t="inlineStr">
        <is>
          <t>HALLANDS LÄN</t>
        </is>
      </c>
      <c r="G190" t="inlineStr">
        <is>
          <t>HALMSTAD</t>
        </is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s="2" t="inlineStr">
        <is>
          <t>Kambräken</t>
        </is>
      </c>
      <c r="W190">
        <f>HYPERLINK("https://klasma.github.io/Logging_1380/artfynd/A 6767-2026 artfynd.xlsx", "A 6767-2026")</f>
        <v/>
      </c>
      <c r="X190">
        <f>HYPERLINK("https://klasma.github.io/Logging_1380/kartor/A 6767-2026 karta.png", "A 6767-2026")</f>
        <v/>
      </c>
      <c r="Y190">
        <f>HYPERLINK("https://klasma.github.io/Logging_1380/kartor_geotiff/A 6767-2026 georefererad karta.tif", "A 6767-2026")</f>
        <v/>
      </c>
      <c r="AA190">
        <f>HYPERLINK("https://klasma.github.io/Logging_1380/klagomål/A 6767-2026 FSC-klagomål.docx", "A 6767-2026")</f>
        <v/>
      </c>
      <c r="AB190">
        <f>HYPERLINK("https://klasma.github.io/Logging_1380/klagomålsmail/A 6767-2026 FSC-klagomål mail.docx", "A 6767-2026")</f>
        <v/>
      </c>
      <c r="AC190">
        <f>HYPERLINK("https://klasma.github.io/Logging_1380/tillsyn/A 6767-2026 tillsynsbegäran.docx", "A 6767-2026")</f>
        <v/>
      </c>
      <c r="AD190">
        <f>HYPERLINK("https://klasma.github.io/Logging_1380/tillsynsmail/A 6767-2026 tillsynsbegäran mail.docx", "A 6767-2026")</f>
        <v/>
      </c>
    </row>
    <row r="191" ht="15" customHeight="1">
      <c r="A191" t="inlineStr">
        <is>
          <t>A 36808-2023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45154</v>
      </c>
      <c r="E191" s="1" t="n">
        <v>46315</v>
      </c>
      <c r="F191" t="inlineStr">
        <is>
          <t>HALLANDS LÄN</t>
        </is>
      </c>
      <c r="G191" t="inlineStr">
        <is>
          <t>HALMSTAD</t>
        </is>
      </c>
      <c r="I191" t="n">
        <v>2.1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s="2" t="inlineStr">
        <is>
          <t>Ljungögontröst</t>
        </is>
      </c>
      <c r="W191">
        <f>HYPERLINK("https://klasma.github.io/Logging_1380/artfynd/A 36808-2023 artfynd.xlsx", "A 36808-2023")</f>
        <v/>
      </c>
      <c r="X191">
        <f>HYPERLINK("https://klasma.github.io/Logging_1380/kartor/A 36808-2023 karta.png", "A 36808-2023")</f>
        <v/>
      </c>
      <c r="Y191">
        <f>HYPERLINK("https://klasma.github.io/Logging_1380/kartor_geotiff/A 36808-2023 georefererad karta.tif", "A 36808-2023")</f>
        <v/>
      </c>
      <c r="AA191">
        <f>HYPERLINK("https://klasma.github.io/Logging_1380/klagomål/A 36808-2023 FSC-klagomål.docx", "A 36808-2023")</f>
        <v/>
      </c>
      <c r="AB191">
        <f>HYPERLINK("https://klasma.github.io/Logging_1380/klagomålsmail/A 36808-2023 FSC-klagomål mail.docx", "A 36808-2023")</f>
        <v/>
      </c>
      <c r="AC191">
        <f>HYPERLINK("https://klasma.github.io/Logging_1380/tillsyn/A 36808-2023 tillsynsbegäran.docx", "A 36808-2023")</f>
        <v/>
      </c>
      <c r="AD191">
        <f>HYPERLINK("https://klasma.github.io/Logging_1380/tillsynsmail/A 36808-2023 tillsynsbegäran mail.docx", "A 36808-2023")</f>
        <v/>
      </c>
    </row>
    <row r="192" ht="15" customHeight="1">
      <c r="A192" t="inlineStr">
        <is>
          <t>A 24939-2023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45085</v>
      </c>
      <c r="E192" s="1" t="n">
        <v>46315</v>
      </c>
      <c r="F192" t="inlineStr">
        <is>
          <t>HALLANDS LÄN</t>
        </is>
      </c>
      <c r="G192" t="inlineStr">
        <is>
          <t>HYLTE</t>
        </is>
      </c>
      <c r="I192" t="n">
        <v>0.9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s="2" t="inlineStr">
        <is>
          <t>Lappuggla</t>
        </is>
      </c>
      <c r="W192">
        <f>HYPERLINK("https://klasma.github.io/Logging_1315/artfynd/A 24939-2023 artfynd.xlsx", "A 24939-2023")</f>
        <v/>
      </c>
      <c r="X192">
        <f>HYPERLINK("https://klasma.github.io/Logging_1315/kartor/A 24939-2023 karta.png", "A 24939-2023")</f>
        <v/>
      </c>
      <c r="Y192">
        <f>HYPERLINK("https://klasma.github.io/Logging_1315/kartor_geotiff/A 24939-2023 georefererad karta.tif", "A 24939-2023")</f>
        <v/>
      </c>
      <c r="AA192">
        <f>HYPERLINK("https://klasma.github.io/Logging_1315/klagomål/A 24939-2023 FSC-klagomål.docx", "A 24939-2023")</f>
        <v/>
      </c>
      <c r="AB192">
        <f>HYPERLINK("https://klasma.github.io/Logging_1315/klagomålsmail/A 24939-2023 FSC-klagomål mail.docx", "A 24939-2023")</f>
        <v/>
      </c>
      <c r="AC192">
        <f>HYPERLINK("https://klasma.github.io/Logging_1315/tillsyn/A 24939-2023 tillsynsbegäran.docx", "A 24939-2023")</f>
        <v/>
      </c>
      <c r="AD192">
        <f>HYPERLINK("https://klasma.github.io/Logging_1315/tillsynsmail/A 24939-2023 tillsynsbegäran mail.docx", "A 24939-2023")</f>
        <v/>
      </c>
      <c r="AE192">
        <f>HYPERLINK("https://klasma.github.io/Logging_1315/fåglar/A 24939-2023 prioriterade fågelarter.docx", "A 24939-2023")</f>
        <v/>
      </c>
    </row>
    <row r="193" ht="15" customHeight="1">
      <c r="A193" t="inlineStr">
        <is>
          <t>A 52155-2023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45224</v>
      </c>
      <c r="E193" s="1" t="n">
        <v>46315</v>
      </c>
      <c r="F193" t="inlineStr">
        <is>
          <t>HALLANDS LÄN</t>
        </is>
      </c>
      <c r="G193" t="inlineStr">
        <is>
          <t>LAHOLM</t>
        </is>
      </c>
      <c r="I193" t="n">
        <v>2.6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s="2" t="inlineStr">
        <is>
          <t>Järnsparv</t>
        </is>
      </c>
      <c r="W193">
        <f>HYPERLINK("https://klasma.github.io/Logging_1381/artfynd/A 52155-2023 artfynd.xlsx", "A 52155-2023")</f>
        <v/>
      </c>
      <c r="X193">
        <f>HYPERLINK("https://klasma.github.io/Logging_1381/kartor/A 52155-2023 karta.png", "A 52155-2023")</f>
        <v/>
      </c>
      <c r="Y193">
        <f>HYPERLINK("https://klasma.github.io/Logging_1381/kartor_geotiff/A 52155-2023 georefererad karta.tif", "A 52155-2023")</f>
        <v/>
      </c>
      <c r="AA193">
        <f>HYPERLINK("https://klasma.github.io/Logging_1381/klagomål/A 52155-2023 FSC-klagomål.docx", "A 52155-2023")</f>
        <v/>
      </c>
      <c r="AB193">
        <f>HYPERLINK("https://klasma.github.io/Logging_1381/klagomålsmail/A 52155-2023 FSC-klagomål mail.docx", "A 52155-2023")</f>
        <v/>
      </c>
      <c r="AC193">
        <f>HYPERLINK("https://klasma.github.io/Logging_1381/tillsyn/A 52155-2023 tillsynsbegäran.docx", "A 52155-2023")</f>
        <v/>
      </c>
      <c r="AD193">
        <f>HYPERLINK("https://klasma.github.io/Logging_1381/tillsynsmail/A 52155-2023 tillsynsbegäran mail.docx", "A 52155-2023")</f>
        <v/>
      </c>
      <c r="AE193">
        <f>HYPERLINK("https://klasma.github.io/Logging_1381/fåglar/A 52155-2023 prioriterade fågelarter.docx", "A 52155-2023")</f>
        <v/>
      </c>
    </row>
    <row r="194" ht="15" customHeight="1">
      <c r="A194" t="inlineStr">
        <is>
          <t>A 42723-2023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45181</v>
      </c>
      <c r="E194" s="1" t="n">
        <v>46315</v>
      </c>
      <c r="F194" t="inlineStr">
        <is>
          <t>HALLANDS LÄN</t>
        </is>
      </c>
      <c r="G194" t="inlineStr">
        <is>
          <t>VARBERG</t>
        </is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s="2" t="inlineStr">
        <is>
          <t>Hasselmus</t>
        </is>
      </c>
      <c r="W194">
        <f>HYPERLINK("https://klasma.github.io/Logging_1383/artfynd/A 42723-2023 artfynd.xlsx", "A 42723-2023")</f>
        <v/>
      </c>
      <c r="X194">
        <f>HYPERLINK("https://klasma.github.io/Logging_1383/kartor/A 42723-2023 karta.png", "A 42723-2023")</f>
        <v/>
      </c>
      <c r="Y194">
        <f>HYPERLINK("https://klasma.github.io/Logging_1383/kartor_geotiff/A 42723-2023 georefererad karta.tif", "A 42723-2023")</f>
        <v/>
      </c>
      <c r="AA194">
        <f>HYPERLINK("https://klasma.github.io/Logging_1383/klagomål/A 42723-2023 FSC-klagomål.docx", "A 42723-2023")</f>
        <v/>
      </c>
      <c r="AB194">
        <f>HYPERLINK("https://klasma.github.io/Logging_1383/klagomålsmail/A 42723-2023 FSC-klagomål mail.docx", "A 42723-2023")</f>
        <v/>
      </c>
      <c r="AC194">
        <f>HYPERLINK("https://klasma.github.io/Logging_1383/tillsyn/A 42723-2023 tillsynsbegäran.docx", "A 42723-2023")</f>
        <v/>
      </c>
      <c r="AD194">
        <f>HYPERLINK("https://klasma.github.io/Logging_1383/tillsynsmail/A 42723-2023 tillsynsbegäran mail.docx", "A 42723-2023")</f>
        <v/>
      </c>
    </row>
    <row r="195" ht="15" customHeight="1">
      <c r="A195" t="inlineStr">
        <is>
          <t>A 27103-2026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46188</v>
      </c>
      <c r="E195" s="1" t="n">
        <v>46315</v>
      </c>
      <c r="F195" t="inlineStr">
        <is>
          <t>HALLANDS LÄN</t>
        </is>
      </c>
      <c r="G195" t="inlineStr">
        <is>
          <t>VARBERG</t>
        </is>
      </c>
      <c r="I195" t="n">
        <v>1.9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s="2" t="inlineStr">
        <is>
          <t>Skogsödla</t>
        </is>
      </c>
      <c r="W195">
        <f>HYPERLINK("https://klasma.github.io/Logging_1383/artfynd/A 27103-2026 artfynd.xlsx", "A 27103-2026")</f>
        <v/>
      </c>
      <c r="X195">
        <f>HYPERLINK("https://klasma.github.io/Logging_1383/kartor/A 27103-2026 karta.png", "A 27103-2026")</f>
        <v/>
      </c>
      <c r="Y195">
        <f>HYPERLINK("https://klasma.github.io/Logging_1383/kartor_geotiff/A 27103-2026 georefererad karta.tif", "A 27103-2026")</f>
        <v/>
      </c>
      <c r="AA195">
        <f>HYPERLINK("https://klasma.github.io/Logging_1383/klagomål/A 27103-2026 FSC-klagomål.docx", "A 27103-2026")</f>
        <v/>
      </c>
      <c r="AB195">
        <f>HYPERLINK("https://klasma.github.io/Logging_1383/klagomålsmail/A 27103-2026 FSC-klagomål mail.docx", "A 27103-2026")</f>
        <v/>
      </c>
      <c r="AC195">
        <f>HYPERLINK("https://klasma.github.io/Logging_1383/tillsyn/A 27103-2026 tillsynsbegäran.docx", "A 27103-2026")</f>
        <v/>
      </c>
      <c r="AD195">
        <f>HYPERLINK("https://klasma.github.io/Logging_1383/tillsynsmail/A 27103-2026 tillsynsbegäran mail.docx", "A 27103-2026")</f>
        <v/>
      </c>
    </row>
    <row r="196" ht="15" customHeight="1">
      <c r="A196" t="inlineStr">
        <is>
          <t>A 35897-2022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44802</v>
      </c>
      <c r="E196" s="1" t="n">
        <v>46315</v>
      </c>
      <c r="F196" t="inlineStr">
        <is>
          <t>HALLANDS LÄN</t>
        </is>
      </c>
      <c r="G196" t="inlineStr">
        <is>
          <t>LAHOLM</t>
        </is>
      </c>
      <c r="I196" t="n">
        <v>1.9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s="2" t="inlineStr">
        <is>
          <t>Ask</t>
        </is>
      </c>
      <c r="W196">
        <f>HYPERLINK("https://klasma.github.io/Logging_1381/artfynd/A 35897-2022 artfynd.xlsx", "A 35897-2022")</f>
        <v/>
      </c>
      <c r="X196">
        <f>HYPERLINK("https://klasma.github.io/Logging_1381/kartor/A 35897-2022 karta.png", "A 35897-2022")</f>
        <v/>
      </c>
      <c r="Y196">
        <f>HYPERLINK("https://klasma.github.io/Logging_1381/kartor_geotiff/A 35897-2022 georefererad karta.tif", "A 35897-2022")</f>
        <v/>
      </c>
      <c r="AA196">
        <f>HYPERLINK("https://klasma.github.io/Logging_1381/klagomål/A 35897-2022 FSC-klagomål.docx", "A 35897-2022")</f>
        <v/>
      </c>
      <c r="AB196">
        <f>HYPERLINK("https://klasma.github.io/Logging_1381/klagomålsmail/A 35897-2022 FSC-klagomål mail.docx", "A 35897-2022")</f>
        <v/>
      </c>
      <c r="AC196">
        <f>HYPERLINK("https://klasma.github.io/Logging_1381/tillsyn/A 35897-2022 tillsynsbegäran.docx", "A 35897-2022")</f>
        <v/>
      </c>
      <c r="AD196">
        <f>HYPERLINK("https://klasma.github.io/Logging_1381/tillsynsmail/A 35897-2022 tillsynsbegäran mail.docx", "A 35897-2022")</f>
        <v/>
      </c>
    </row>
    <row r="197" ht="15" customHeight="1">
      <c r="A197" t="inlineStr">
        <is>
          <t>A 55880-2023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45239</v>
      </c>
      <c r="E197" s="1" t="n">
        <v>46315</v>
      </c>
      <c r="F197" t="inlineStr">
        <is>
          <t>HALLANDS LÄN</t>
        </is>
      </c>
      <c r="G197" t="inlineStr">
        <is>
          <t>FALKENBERG</t>
        </is>
      </c>
      <c r="I197" t="n">
        <v>2.4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s="2" t="inlineStr">
        <is>
          <t>Kopparödla</t>
        </is>
      </c>
      <c r="W197">
        <f>HYPERLINK("https://klasma.github.io/Logging_1382/artfynd/A 55880-2023 artfynd.xlsx", "A 55880-2023")</f>
        <v/>
      </c>
      <c r="X197">
        <f>HYPERLINK("https://klasma.github.io/Logging_1382/kartor/A 55880-2023 karta.png", "A 55880-2023")</f>
        <v/>
      </c>
      <c r="Y197">
        <f>HYPERLINK("https://klasma.github.io/Logging_1382/kartor_geotiff/A 55880-2023 georefererad karta.tif", "A 55880-2023")</f>
        <v/>
      </c>
      <c r="AA197">
        <f>HYPERLINK("https://klasma.github.io/Logging_1382/klagomål/A 55880-2023 FSC-klagomål.docx", "A 55880-2023")</f>
        <v/>
      </c>
      <c r="AB197">
        <f>HYPERLINK("https://klasma.github.io/Logging_1382/klagomålsmail/A 55880-2023 FSC-klagomål mail.docx", "A 55880-2023")</f>
        <v/>
      </c>
      <c r="AC197">
        <f>HYPERLINK("https://klasma.github.io/Logging_1382/tillsyn/A 55880-2023 tillsynsbegäran.docx", "A 55880-2023")</f>
        <v/>
      </c>
      <c r="AD197">
        <f>HYPERLINK("https://klasma.github.io/Logging_1382/tillsynsmail/A 55880-2023 tillsynsbegäran mail.docx", "A 55880-2023")</f>
        <v/>
      </c>
    </row>
    <row r="198" ht="15" customHeight="1">
      <c r="A198" t="inlineStr">
        <is>
          <t>A 15579-2026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46106</v>
      </c>
      <c r="E198" s="1" t="n">
        <v>46315</v>
      </c>
      <c r="F198" t="inlineStr">
        <is>
          <t>HALLANDS LÄN</t>
        </is>
      </c>
      <c r="G198" t="inlineStr">
        <is>
          <t>HALMSTAD</t>
        </is>
      </c>
      <c r="I198" t="n">
        <v>3.7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s="2" t="inlineStr">
        <is>
          <t>Åkerrättika</t>
        </is>
      </c>
      <c r="W198">
        <f>HYPERLINK("https://klasma.github.io/Logging_1380/artfynd/A 15579-2026 artfynd.xlsx", "A 15579-2026")</f>
        <v/>
      </c>
      <c r="X198">
        <f>HYPERLINK("https://klasma.github.io/Logging_1380/kartor/A 15579-2026 karta.png", "A 15579-2026")</f>
        <v/>
      </c>
      <c r="Y198">
        <f>HYPERLINK("https://klasma.github.io/Logging_1380/kartor_geotiff/A 15579-2026 georefererad karta.tif", "A 15579-2026")</f>
        <v/>
      </c>
      <c r="AA198">
        <f>HYPERLINK("https://klasma.github.io/Logging_1380/klagomål/A 15579-2026 FSC-klagomål.docx", "A 15579-2026")</f>
        <v/>
      </c>
      <c r="AB198">
        <f>HYPERLINK("https://klasma.github.io/Logging_1380/klagomålsmail/A 15579-2026 FSC-klagomål mail.docx", "A 15579-2026")</f>
        <v/>
      </c>
      <c r="AC198">
        <f>HYPERLINK("https://klasma.github.io/Logging_1380/tillsyn/A 15579-2026 tillsynsbegäran.docx", "A 15579-2026")</f>
        <v/>
      </c>
      <c r="AD198">
        <f>HYPERLINK("https://klasma.github.io/Logging_1380/tillsynsmail/A 15579-2026 tillsynsbegäran mail.docx", "A 15579-2026")</f>
        <v/>
      </c>
    </row>
    <row r="199" ht="15" customHeight="1">
      <c r="A199" t="inlineStr">
        <is>
          <t>A 38226-2022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44812</v>
      </c>
      <c r="E199" s="1" t="n">
        <v>46315</v>
      </c>
      <c r="F199" t="inlineStr">
        <is>
          <t>HALLANDS LÄN</t>
        </is>
      </c>
      <c r="G199" t="inlineStr">
        <is>
          <t>VARBERG</t>
        </is>
      </c>
      <c r="I199" t="n">
        <v>1.7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s="2" t="inlineStr">
        <is>
          <t>Mindre vattensalamander</t>
        </is>
      </c>
      <c r="W199">
        <f>HYPERLINK("https://klasma.github.io/Logging_1383/artfynd/A 38226-2022 artfynd.xlsx", "A 38226-2022")</f>
        <v/>
      </c>
      <c r="X199">
        <f>HYPERLINK("https://klasma.github.io/Logging_1383/kartor/A 38226-2022 karta.png", "A 38226-2022")</f>
        <v/>
      </c>
      <c r="Y199">
        <f>HYPERLINK("https://klasma.github.io/Logging_1383/kartor_geotiff/A 38226-2022 georefererad karta.tif", "A 38226-2022")</f>
        <v/>
      </c>
      <c r="AA199">
        <f>HYPERLINK("https://klasma.github.io/Logging_1383/klagomål/A 38226-2022 FSC-klagomål.docx", "A 38226-2022")</f>
        <v/>
      </c>
      <c r="AB199">
        <f>HYPERLINK("https://klasma.github.io/Logging_1383/klagomålsmail/A 38226-2022 FSC-klagomål mail.docx", "A 38226-2022")</f>
        <v/>
      </c>
      <c r="AC199">
        <f>HYPERLINK("https://klasma.github.io/Logging_1383/tillsyn/A 38226-2022 tillsynsbegäran.docx", "A 38226-2022")</f>
        <v/>
      </c>
      <c r="AD199">
        <f>HYPERLINK("https://klasma.github.io/Logging_1383/tillsynsmail/A 38226-2022 tillsynsbegäran mail.docx", "A 38226-2022")</f>
        <v/>
      </c>
    </row>
    <row r="200" ht="15" customHeight="1">
      <c r="A200" t="inlineStr">
        <is>
          <t>A 15095-2025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45744</v>
      </c>
      <c r="E200" s="1" t="n">
        <v>46315</v>
      </c>
      <c r="F200" t="inlineStr">
        <is>
          <t>HALLANDS LÄN</t>
        </is>
      </c>
      <c r="G200" t="inlineStr">
        <is>
          <t>VARBERG</t>
        </is>
      </c>
      <c r="I200" t="n">
        <v>3.7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s="2" t="inlineStr">
        <is>
          <t>Sotvaxskivling</t>
        </is>
      </c>
      <c r="W200">
        <f>HYPERLINK("https://klasma.github.io/Logging_1383/artfynd/A 15095-2025 artfynd.xlsx", "A 15095-2025")</f>
        <v/>
      </c>
      <c r="X200">
        <f>HYPERLINK("https://klasma.github.io/Logging_1383/kartor/A 15095-2025 karta.png", "A 15095-2025")</f>
        <v/>
      </c>
      <c r="Y200">
        <f>HYPERLINK("https://klasma.github.io/Logging_1383/kartor_geotiff/A 15095-2025 georefererad karta.tif", "A 15095-2025")</f>
        <v/>
      </c>
      <c r="AA200">
        <f>HYPERLINK("https://klasma.github.io/Logging_1383/klagomål/A 15095-2025 FSC-klagomål.docx", "A 15095-2025")</f>
        <v/>
      </c>
      <c r="AB200">
        <f>HYPERLINK("https://klasma.github.io/Logging_1383/klagomålsmail/A 15095-2025 FSC-klagomål mail.docx", "A 15095-2025")</f>
        <v/>
      </c>
      <c r="AC200">
        <f>HYPERLINK("https://klasma.github.io/Logging_1383/tillsyn/A 15095-2025 tillsynsbegäran.docx", "A 15095-2025")</f>
        <v/>
      </c>
      <c r="AD200">
        <f>HYPERLINK("https://klasma.github.io/Logging_1383/tillsynsmail/A 15095-2025 tillsynsbegäran mail.docx", "A 15095-2025")</f>
        <v/>
      </c>
    </row>
    <row r="201" ht="15" customHeight="1">
      <c r="A201" t="inlineStr">
        <is>
          <t>A 17642-2026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46121</v>
      </c>
      <c r="E201" s="1" t="n">
        <v>46315</v>
      </c>
      <c r="F201" t="inlineStr">
        <is>
          <t>HALLANDS LÄN</t>
        </is>
      </c>
      <c r="G201" t="inlineStr">
        <is>
          <t>LAHOLM</t>
        </is>
      </c>
      <c r="I201" t="n">
        <v>3.8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s="2" t="inlineStr">
        <is>
          <t>Småvänderot</t>
        </is>
      </c>
      <c r="W201">
        <f>HYPERLINK("https://klasma.github.io/Logging_1381/artfynd/A 17642-2026 artfynd.xlsx", "A 17642-2026")</f>
        <v/>
      </c>
      <c r="X201">
        <f>HYPERLINK("https://klasma.github.io/Logging_1381/kartor/A 17642-2026 karta.png", "A 17642-2026")</f>
        <v/>
      </c>
      <c r="Y201">
        <f>HYPERLINK("https://klasma.github.io/Logging_1381/kartor_geotiff/A 17642-2026 georefererad karta.tif", "A 17642-2026")</f>
        <v/>
      </c>
      <c r="AA201">
        <f>HYPERLINK("https://klasma.github.io/Logging_1381/klagomål/A 17642-2026 FSC-klagomål.docx", "A 17642-2026")</f>
        <v/>
      </c>
      <c r="AB201">
        <f>HYPERLINK("https://klasma.github.io/Logging_1381/klagomålsmail/A 17642-2026 FSC-klagomål mail.docx", "A 17642-2026")</f>
        <v/>
      </c>
      <c r="AC201">
        <f>HYPERLINK("https://klasma.github.io/Logging_1381/tillsyn/A 17642-2026 tillsynsbegäran.docx", "A 17642-2026")</f>
        <v/>
      </c>
      <c r="AD201">
        <f>HYPERLINK("https://klasma.github.io/Logging_1381/tillsynsmail/A 17642-2026 tillsynsbegäran mail.docx", "A 17642-2026")</f>
        <v/>
      </c>
    </row>
    <row r="202" ht="15" customHeight="1">
      <c r="A202" t="inlineStr">
        <is>
          <t>A 18150-2026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46125</v>
      </c>
      <c r="E202" s="1" t="n">
        <v>46315</v>
      </c>
      <c r="F202" t="inlineStr">
        <is>
          <t>HALLANDS LÄN</t>
        </is>
      </c>
      <c r="G202" t="inlineStr">
        <is>
          <t>KUNGSBACKA</t>
        </is>
      </c>
      <c r="I202" t="n">
        <v>1.7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s="2" t="inlineStr">
        <is>
          <t>Järnek</t>
        </is>
      </c>
      <c r="W202">
        <f>HYPERLINK("https://klasma.github.io/Logging_1384/artfynd/A 18150-2026 artfynd.xlsx", "A 18150-2026")</f>
        <v/>
      </c>
      <c r="X202">
        <f>HYPERLINK("https://klasma.github.io/Logging_1384/kartor/A 18150-2026 karta.png", "A 18150-2026")</f>
        <v/>
      </c>
      <c r="Y202">
        <f>HYPERLINK("https://klasma.github.io/Logging_1384/kartor_geotiff/A 18150-2026 georefererad karta.tif", "A 18150-2026")</f>
        <v/>
      </c>
      <c r="AA202">
        <f>HYPERLINK("https://klasma.github.io/Logging_1384/klagomål/A 18150-2026 FSC-klagomål.docx", "A 18150-2026")</f>
        <v/>
      </c>
      <c r="AB202">
        <f>HYPERLINK("https://klasma.github.io/Logging_1384/klagomålsmail/A 18150-2026 FSC-klagomål mail.docx", "A 18150-2026")</f>
        <v/>
      </c>
      <c r="AC202">
        <f>HYPERLINK("https://klasma.github.io/Logging_1384/tillsyn/A 18150-2026 tillsynsbegäran.docx", "A 18150-2026")</f>
        <v/>
      </c>
      <c r="AD202">
        <f>HYPERLINK("https://klasma.github.io/Logging_1384/tillsynsmail/A 18150-2026 tillsynsbegäran mail.docx", "A 18150-2026")</f>
        <v/>
      </c>
    </row>
    <row r="203" ht="15" customHeight="1">
      <c r="A203" t="inlineStr">
        <is>
          <t>A 6775-2026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46057</v>
      </c>
      <c r="E203" s="1" t="n">
        <v>46315</v>
      </c>
      <c r="F203" t="inlineStr">
        <is>
          <t>HALLANDS LÄN</t>
        </is>
      </c>
      <c r="G203" t="inlineStr">
        <is>
          <t>HALMSTAD</t>
        </is>
      </c>
      <c r="I203" t="n">
        <v>8.199999999999999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s="2" t="inlineStr">
        <is>
          <t>Barbastell</t>
        </is>
      </c>
      <c r="W203">
        <f>HYPERLINK("https://klasma.github.io/Logging_1380/artfynd/A 6775-2026 artfynd.xlsx", "A 6775-2026")</f>
        <v/>
      </c>
      <c r="X203">
        <f>HYPERLINK("https://klasma.github.io/Logging_1380/kartor/A 6775-2026 karta.png", "A 6775-2026")</f>
        <v/>
      </c>
      <c r="Y203">
        <f>HYPERLINK("https://klasma.github.io/Logging_1380/kartor_geotiff/A 6775-2026 georefererad karta.tif", "A 6775-2026")</f>
        <v/>
      </c>
      <c r="AA203">
        <f>HYPERLINK("https://klasma.github.io/Logging_1380/klagomål/A 6775-2026 FSC-klagomål.docx", "A 6775-2026")</f>
        <v/>
      </c>
      <c r="AB203">
        <f>HYPERLINK("https://klasma.github.io/Logging_1380/klagomålsmail/A 6775-2026 FSC-klagomål mail.docx", "A 6775-2026")</f>
        <v/>
      </c>
      <c r="AC203">
        <f>HYPERLINK("https://klasma.github.io/Logging_1380/tillsyn/A 6775-2026 tillsynsbegäran.docx", "A 6775-2026")</f>
        <v/>
      </c>
      <c r="AD203">
        <f>HYPERLINK("https://klasma.github.io/Logging_1380/tillsynsmail/A 6775-2026 tillsynsbegäran mail.docx", "A 6775-2026")</f>
        <v/>
      </c>
    </row>
    <row r="204" ht="15" customHeight="1">
      <c r="A204" t="inlineStr">
        <is>
          <t>A 3281-2025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45679</v>
      </c>
      <c r="E204" s="1" t="n">
        <v>46315</v>
      </c>
      <c r="F204" t="inlineStr">
        <is>
          <t>HALLANDS LÄN</t>
        </is>
      </c>
      <c r="G204" t="inlineStr">
        <is>
          <t>KUNGSBACKA</t>
        </is>
      </c>
      <c r="I204" t="n">
        <v>10.8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s="2" t="inlineStr">
        <is>
          <t>Kambräken</t>
        </is>
      </c>
      <c r="W204">
        <f>HYPERLINK("https://klasma.github.io/Logging_1384/artfynd/A 3281-2025 artfynd.xlsx", "A 3281-2025")</f>
        <v/>
      </c>
      <c r="X204">
        <f>HYPERLINK("https://klasma.github.io/Logging_1384/kartor/A 3281-2025 karta.png", "A 3281-2025")</f>
        <v/>
      </c>
      <c r="Y204">
        <f>HYPERLINK("https://klasma.github.io/Logging_1384/kartor_geotiff/A 3281-2025 georefererad karta.tif", "A 3281-2025")</f>
        <v/>
      </c>
      <c r="AA204">
        <f>HYPERLINK("https://klasma.github.io/Logging_1384/klagomål/A 3281-2025 FSC-klagomål.docx", "A 3281-2025")</f>
        <v/>
      </c>
      <c r="AB204">
        <f>HYPERLINK("https://klasma.github.io/Logging_1384/klagomålsmail/A 3281-2025 FSC-klagomål mail.docx", "A 3281-2025")</f>
        <v/>
      </c>
      <c r="AC204">
        <f>HYPERLINK("https://klasma.github.io/Logging_1384/tillsyn/A 3281-2025 tillsynsbegäran.docx", "A 3281-2025")</f>
        <v/>
      </c>
      <c r="AD204">
        <f>HYPERLINK("https://klasma.github.io/Logging_1384/tillsynsmail/A 3281-2025 tillsynsbegäran mail.docx", "A 3281-2025")</f>
        <v/>
      </c>
    </row>
    <row r="205" ht="15" customHeight="1">
      <c r="A205" t="inlineStr">
        <is>
          <t>A 5677-2022</t>
        </is>
      </c>
      <c r="B205" t="inlineStr">
        <is>
          <t>avverkningsanmälan</t>
        </is>
      </c>
      <c r="C205" t="inlineStr">
        <is>
          <t>Avverkning för annat ändamål</t>
        </is>
      </c>
      <c r="D205" s="1" t="n">
        <v>44596</v>
      </c>
      <c r="E205" s="1" t="n">
        <v>46315</v>
      </c>
      <c r="F205" t="inlineStr">
        <is>
          <t>HALLANDS LÄN</t>
        </is>
      </c>
      <c r="G205" t="inlineStr">
        <is>
          <t>LAHOLM</t>
        </is>
      </c>
      <c r="I205" t="n">
        <v>0.2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0</v>
      </c>
      <c r="V205" s="2" t="inlineStr">
        <is>
          <t>Svinrot</t>
        </is>
      </c>
      <c r="W205">
        <f>HYPERLINK("https://klasma.github.io/Logging_1381/artfynd/A 5677-2022 artfynd.xlsx", "A 5677-2022")</f>
        <v/>
      </c>
      <c r="X205">
        <f>HYPERLINK("https://klasma.github.io/Logging_1381/kartor/A 5677-2022 karta.png", "A 5677-2022")</f>
        <v/>
      </c>
      <c r="Y205">
        <f>HYPERLINK("https://klasma.github.io/Logging_1381/kartor_geotiff/A 5677-2022 georefererad karta.tif", "A 5677-2022")</f>
        <v/>
      </c>
      <c r="AA205">
        <f>HYPERLINK("https://klasma.github.io/Logging_1381/klagomål/A 5677-2022 FSC-klagomål.docx", "A 5677-2022")</f>
        <v/>
      </c>
      <c r="AB205">
        <f>HYPERLINK("https://klasma.github.io/Logging_1381/klagomålsmail/A 5677-2022 FSC-klagomål mail.docx", "A 5677-2022")</f>
        <v/>
      </c>
      <c r="AC205">
        <f>HYPERLINK("https://klasma.github.io/Logging_1381/tillsyn/A 5677-2022 tillsynsbegäran.docx", "A 5677-2022")</f>
        <v/>
      </c>
      <c r="AD205">
        <f>HYPERLINK("https://klasma.github.io/Logging_1381/tillsynsmail/A 5677-2022 tillsynsbegäran mail.docx", "A 5677-2022")</f>
        <v/>
      </c>
    </row>
    <row r="206" ht="15" customHeight="1">
      <c r="A206" t="inlineStr">
        <is>
          <t>A 9527-2024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45359</v>
      </c>
      <c r="E206" s="1" t="n">
        <v>46315</v>
      </c>
      <c r="F206" t="inlineStr">
        <is>
          <t>HALLANDS LÄN</t>
        </is>
      </c>
      <c r="G206" t="inlineStr">
        <is>
          <t>KUNGSBACKA</t>
        </is>
      </c>
      <c r="H206" t="inlineStr">
        <is>
          <t>Kyrkan</t>
        </is>
      </c>
      <c r="I206" t="n">
        <v>0.6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s="2" t="inlineStr">
        <is>
          <t>Backsvala</t>
        </is>
      </c>
      <c r="W206">
        <f>HYPERLINK("https://klasma.github.io/Logging_1384/artfynd/A 9527-2024 artfynd.xlsx", "A 9527-2024")</f>
        <v/>
      </c>
      <c r="X206">
        <f>HYPERLINK("https://klasma.github.io/Logging_1384/kartor/A 9527-2024 karta.png", "A 9527-2024")</f>
        <v/>
      </c>
      <c r="Y206">
        <f>HYPERLINK("https://klasma.github.io/Logging_1384/kartor_geotiff/A 9527-2024 georefererad karta.tif", "A 9527-2024")</f>
        <v/>
      </c>
      <c r="AA206">
        <f>HYPERLINK("https://klasma.github.io/Logging_1384/klagomål/A 9527-2024 FSC-klagomål.docx", "A 9527-2024")</f>
        <v/>
      </c>
      <c r="AB206">
        <f>HYPERLINK("https://klasma.github.io/Logging_1384/klagomålsmail/A 9527-2024 FSC-klagomål mail.docx", "A 9527-2024")</f>
        <v/>
      </c>
      <c r="AC206">
        <f>HYPERLINK("https://klasma.github.io/Logging_1384/tillsyn/A 9527-2024 tillsynsbegäran.docx", "A 9527-2024")</f>
        <v/>
      </c>
      <c r="AD206">
        <f>HYPERLINK("https://klasma.github.io/Logging_1384/tillsynsmail/A 9527-2024 tillsynsbegäran mail.docx", "A 9527-2024")</f>
        <v/>
      </c>
    </row>
    <row r="207" ht="15" customHeight="1">
      <c r="A207" t="inlineStr">
        <is>
          <t>A 33144-2025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45840</v>
      </c>
      <c r="E207" s="1" t="n">
        <v>46315</v>
      </c>
      <c r="F207" t="inlineStr">
        <is>
          <t>HALLANDS LÄN</t>
        </is>
      </c>
      <c r="G207" t="inlineStr">
        <is>
          <t>VARBERG</t>
        </is>
      </c>
      <c r="I207" t="n">
        <v>2.4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s="2" t="inlineStr">
        <is>
          <t>Spillkråka</t>
        </is>
      </c>
      <c r="W207">
        <f>HYPERLINK("https://klasma.github.io/Logging_1383/artfynd/A 33144-2025 artfynd.xlsx", "A 33144-2025")</f>
        <v/>
      </c>
      <c r="X207">
        <f>HYPERLINK("https://klasma.github.io/Logging_1383/kartor/A 33144-2025 karta.png", "A 33144-2025")</f>
        <v/>
      </c>
      <c r="Y207">
        <f>HYPERLINK("https://klasma.github.io/Logging_1383/kartor_geotiff/A 33144-2025 georefererad karta.tif", "A 33144-2025")</f>
        <v/>
      </c>
      <c r="AA207">
        <f>HYPERLINK("https://klasma.github.io/Logging_1383/klagomål/A 33144-2025 FSC-klagomål.docx", "A 33144-2025")</f>
        <v/>
      </c>
      <c r="AB207">
        <f>HYPERLINK("https://klasma.github.io/Logging_1383/klagomålsmail/A 33144-2025 FSC-klagomål mail.docx", "A 33144-2025")</f>
        <v/>
      </c>
      <c r="AC207">
        <f>HYPERLINK("https://klasma.github.io/Logging_1383/tillsyn/A 33144-2025 tillsynsbegäran.docx", "A 33144-2025")</f>
        <v/>
      </c>
      <c r="AD207">
        <f>HYPERLINK("https://klasma.github.io/Logging_1383/tillsynsmail/A 33144-2025 tillsynsbegäran mail.docx", "A 33144-2025")</f>
        <v/>
      </c>
      <c r="AE207">
        <f>HYPERLINK("https://klasma.github.io/Logging_1383/fåglar/A 33144-2025 prioriterade fågelarter.docx", "A 33144-2025")</f>
        <v/>
      </c>
    </row>
    <row r="208" ht="15" customHeight="1">
      <c r="A208" t="inlineStr">
        <is>
          <t>A 58534-2022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44902</v>
      </c>
      <c r="E208" s="1" t="n">
        <v>46315</v>
      </c>
      <c r="F208" t="inlineStr">
        <is>
          <t>HALLANDS LÄN</t>
        </is>
      </c>
      <c r="G208" t="inlineStr">
        <is>
          <t>FALKENBERG</t>
        </is>
      </c>
      <c r="I208" t="n">
        <v>1.4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s="2" t="inlineStr">
        <is>
          <t>Hasselmus</t>
        </is>
      </c>
      <c r="W208">
        <f>HYPERLINK("https://klasma.github.io/Logging_1382/artfynd/A 58534-2022 artfynd.xlsx", "A 58534-2022")</f>
        <v/>
      </c>
      <c r="X208">
        <f>HYPERLINK("https://klasma.github.io/Logging_1382/kartor/A 58534-2022 karta.png", "A 58534-2022")</f>
        <v/>
      </c>
      <c r="Y208">
        <f>HYPERLINK("https://klasma.github.io/Logging_1382/kartor_geotiff/A 58534-2022 georefererad karta.tif", "A 58534-2022")</f>
        <v/>
      </c>
      <c r="AA208">
        <f>HYPERLINK("https://klasma.github.io/Logging_1382/klagomål/A 58534-2022 FSC-klagomål.docx", "A 58534-2022")</f>
        <v/>
      </c>
      <c r="AB208">
        <f>HYPERLINK("https://klasma.github.io/Logging_1382/klagomålsmail/A 58534-2022 FSC-klagomål mail.docx", "A 58534-2022")</f>
        <v/>
      </c>
      <c r="AC208">
        <f>HYPERLINK("https://klasma.github.io/Logging_1382/tillsyn/A 58534-2022 tillsynsbegäran.docx", "A 58534-2022")</f>
        <v/>
      </c>
      <c r="AD208">
        <f>HYPERLINK("https://klasma.github.io/Logging_1382/tillsynsmail/A 58534-2022 tillsynsbegäran mail.docx", "A 58534-2022")</f>
        <v/>
      </c>
    </row>
    <row r="209" ht="15" customHeight="1">
      <c r="A209" t="inlineStr">
        <is>
          <t>A 21721-2023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45065</v>
      </c>
      <c r="E209" s="1" t="n">
        <v>46315</v>
      </c>
      <c r="F209" t="inlineStr">
        <is>
          <t>HALLANDS LÄN</t>
        </is>
      </c>
      <c r="G209" t="inlineStr">
        <is>
          <t>KUNGSBACKA</t>
        </is>
      </c>
      <c r="I209" t="n">
        <v>1.7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s="2" t="inlineStr">
        <is>
          <t>Knärot</t>
        </is>
      </c>
      <c r="W209">
        <f>HYPERLINK("https://klasma.github.io/Logging_1384/artfynd/A 21721-2023 artfynd.xlsx", "A 21721-2023")</f>
        <v/>
      </c>
      <c r="X209">
        <f>HYPERLINK("https://klasma.github.io/Logging_1384/kartor/A 21721-2023 karta.png", "A 21721-2023")</f>
        <v/>
      </c>
      <c r="Y209">
        <f>HYPERLINK("https://klasma.github.io/Logging_1384/kartor_geotiff/A 21721-2023 georefererad karta.tif", "A 21721-2023")</f>
        <v/>
      </c>
      <c r="Z209">
        <f>HYPERLINK("https://klasma.github.io/Logging_1384/knärot/A 21721-2023 karta knärot.png", "A 21721-2023")</f>
        <v/>
      </c>
      <c r="AA209">
        <f>HYPERLINK("https://klasma.github.io/Logging_1384/klagomål/A 21721-2023 FSC-klagomål.docx", "A 21721-2023")</f>
        <v/>
      </c>
      <c r="AB209">
        <f>HYPERLINK("https://klasma.github.io/Logging_1384/klagomålsmail/A 21721-2023 FSC-klagomål mail.docx", "A 21721-2023")</f>
        <v/>
      </c>
      <c r="AC209">
        <f>HYPERLINK("https://klasma.github.io/Logging_1384/tillsyn/A 21721-2023 tillsynsbegäran.docx", "A 21721-2023")</f>
        <v/>
      </c>
      <c r="AD209">
        <f>HYPERLINK("https://klasma.github.io/Logging_1384/tillsynsmail/A 21721-2023 tillsynsbegäran mail.docx", "A 21721-2023")</f>
        <v/>
      </c>
    </row>
    <row r="210" ht="15" customHeight="1">
      <c r="A210" t="inlineStr">
        <is>
          <t>A 43634-2023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45186</v>
      </c>
      <c r="E210" s="1" t="n">
        <v>46315</v>
      </c>
      <c r="F210" t="inlineStr">
        <is>
          <t>HALLANDS LÄN</t>
        </is>
      </c>
      <c r="G210" t="inlineStr">
        <is>
          <t>HYLTE</t>
        </is>
      </c>
      <c r="I210" t="n">
        <v>1.7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2</v>
      </c>
      <c r="U210" t="n">
        <v>2</v>
      </c>
      <c r="V210" s="2" t="inlineStr">
        <is>
          <t>Åkerkulla</t>
        </is>
      </c>
      <c r="W210">
        <f>HYPERLINK("https://klasma.github.io/Logging_1315/artfynd/A 43634-2023 artfynd.xlsx", "A 43634-2023")</f>
        <v/>
      </c>
      <c r="X210">
        <f>HYPERLINK("https://klasma.github.io/Logging_1315/kartor/A 43634-2023 karta.png", "A 43634-2023")</f>
        <v/>
      </c>
      <c r="Y210">
        <f>HYPERLINK("https://klasma.github.io/Logging_1315/kartor_geotiff/A 43634-2023 georefererad karta.tif", "A 43634-2023")</f>
        <v/>
      </c>
      <c r="AA210">
        <f>HYPERLINK("https://klasma.github.io/Logging_1315/klagomål/A 43634-2023 FSC-klagomål.docx", "A 43634-2023")</f>
        <v/>
      </c>
      <c r="AB210">
        <f>HYPERLINK("https://klasma.github.io/Logging_1315/klagomålsmail/A 43634-2023 FSC-klagomål mail.docx", "A 43634-2023")</f>
        <v/>
      </c>
      <c r="AC210">
        <f>HYPERLINK("https://klasma.github.io/Logging_1315/tillsyn/A 43634-2023 tillsynsbegäran.docx", "A 43634-2023")</f>
        <v/>
      </c>
      <c r="AD210">
        <f>HYPERLINK("https://klasma.github.io/Logging_1315/tillsynsmail/A 43634-2023 tillsynsbegäran mail.docx", "A 43634-2023")</f>
        <v/>
      </c>
    </row>
    <row r="211" ht="15" customHeight="1">
      <c r="A211" t="inlineStr">
        <is>
          <t>A 58679-2023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45251</v>
      </c>
      <c r="E211" s="1" t="n">
        <v>46315</v>
      </c>
      <c r="F211" t="inlineStr">
        <is>
          <t>HALLANDS LÄN</t>
        </is>
      </c>
      <c r="G211" t="inlineStr">
        <is>
          <t>VARBERG</t>
        </is>
      </c>
      <c r="I211" t="n">
        <v>7.8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s="2" t="inlineStr">
        <is>
          <t>Hasselmus</t>
        </is>
      </c>
      <c r="W211">
        <f>HYPERLINK("https://klasma.github.io/Logging_1383/artfynd/A 58679-2023 artfynd.xlsx", "A 58679-2023")</f>
        <v/>
      </c>
      <c r="X211">
        <f>HYPERLINK("https://klasma.github.io/Logging_1383/kartor/A 58679-2023 karta.png", "A 58679-2023")</f>
        <v/>
      </c>
      <c r="Y211">
        <f>HYPERLINK("https://klasma.github.io/Logging_1383/kartor_geotiff/A 58679-2023 georefererad karta.tif", "A 58679-2023")</f>
        <v/>
      </c>
      <c r="AA211">
        <f>HYPERLINK("https://klasma.github.io/Logging_1383/klagomål/A 58679-2023 FSC-klagomål.docx", "A 58679-2023")</f>
        <v/>
      </c>
      <c r="AB211">
        <f>HYPERLINK("https://klasma.github.io/Logging_1383/klagomålsmail/A 58679-2023 FSC-klagomål mail.docx", "A 58679-2023")</f>
        <v/>
      </c>
      <c r="AC211">
        <f>HYPERLINK("https://klasma.github.io/Logging_1383/tillsyn/A 58679-2023 tillsynsbegäran.docx", "A 58679-2023")</f>
        <v/>
      </c>
      <c r="AD211">
        <f>HYPERLINK("https://klasma.github.io/Logging_1383/tillsynsmail/A 58679-2023 tillsynsbegäran mail.docx", "A 58679-2023")</f>
        <v/>
      </c>
    </row>
    <row r="212" ht="15" customHeight="1">
      <c r="A212" t="inlineStr">
        <is>
          <t>A 57230-2023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45245</v>
      </c>
      <c r="E212" s="1" t="n">
        <v>46315</v>
      </c>
      <c r="F212" t="inlineStr">
        <is>
          <t>HALLANDS LÄN</t>
        </is>
      </c>
      <c r="G212" t="inlineStr">
        <is>
          <t>HYLTE</t>
        </is>
      </c>
      <c r="I212" t="n">
        <v>0.5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s="2" t="inlineStr">
        <is>
          <t>Västlig hakmossa</t>
        </is>
      </c>
      <c r="W212">
        <f>HYPERLINK("https://klasma.github.io/Logging_1315/artfynd/A 57230-2023 artfynd.xlsx", "A 57230-2023")</f>
        <v/>
      </c>
      <c r="X212">
        <f>HYPERLINK("https://klasma.github.io/Logging_1315/kartor/A 57230-2023 karta.png", "A 57230-2023")</f>
        <v/>
      </c>
      <c r="Y212">
        <f>HYPERLINK("https://klasma.github.io/Logging_1315/kartor_geotiff/A 57230-2023 georefererad karta.tif", "A 57230-2023")</f>
        <v/>
      </c>
      <c r="AA212">
        <f>HYPERLINK("https://klasma.github.io/Logging_1315/klagomål/A 57230-2023 FSC-klagomål.docx", "A 57230-2023")</f>
        <v/>
      </c>
      <c r="AB212">
        <f>HYPERLINK("https://klasma.github.io/Logging_1315/klagomålsmail/A 57230-2023 FSC-klagomål mail.docx", "A 57230-2023")</f>
        <v/>
      </c>
      <c r="AC212">
        <f>HYPERLINK("https://klasma.github.io/Logging_1315/tillsyn/A 57230-2023 tillsynsbegäran.docx", "A 57230-2023")</f>
        <v/>
      </c>
      <c r="AD212">
        <f>HYPERLINK("https://klasma.github.io/Logging_1315/tillsynsmail/A 57230-2023 tillsynsbegäran mail.docx", "A 57230-2023")</f>
        <v/>
      </c>
    </row>
    <row r="213" ht="15" customHeight="1">
      <c r="A213" t="inlineStr">
        <is>
          <t>A 35453-2023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45146</v>
      </c>
      <c r="E213" s="1" t="n">
        <v>46315</v>
      </c>
      <c r="F213" t="inlineStr">
        <is>
          <t>HALLANDS LÄN</t>
        </is>
      </c>
      <c r="G213" t="inlineStr">
        <is>
          <t>LAHOLM</t>
        </is>
      </c>
      <c r="I213" t="n">
        <v>1.8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</v>
      </c>
      <c r="U213" t="n">
        <v>0</v>
      </c>
      <c r="V213" s="2" t="inlineStr">
        <is>
          <t>Svinrot</t>
        </is>
      </c>
      <c r="W213">
        <f>HYPERLINK("https://klasma.github.io/Logging_1381/artfynd/A 35453-2023 artfynd.xlsx", "A 35453-2023")</f>
        <v/>
      </c>
      <c r="X213">
        <f>HYPERLINK("https://klasma.github.io/Logging_1381/kartor/A 35453-2023 karta.png", "A 35453-2023")</f>
        <v/>
      </c>
      <c r="Y213">
        <f>HYPERLINK("https://klasma.github.io/Logging_1381/kartor_geotiff/A 35453-2023 georefererad karta.tif", "A 35453-2023")</f>
        <v/>
      </c>
      <c r="AA213">
        <f>HYPERLINK("https://klasma.github.io/Logging_1381/klagomål/A 35453-2023 FSC-klagomål.docx", "A 35453-2023")</f>
        <v/>
      </c>
      <c r="AB213">
        <f>HYPERLINK("https://klasma.github.io/Logging_1381/klagomålsmail/A 35453-2023 FSC-klagomål mail.docx", "A 35453-2023")</f>
        <v/>
      </c>
      <c r="AC213">
        <f>HYPERLINK("https://klasma.github.io/Logging_1381/tillsyn/A 35453-2023 tillsynsbegäran.docx", "A 35453-2023")</f>
        <v/>
      </c>
      <c r="AD213">
        <f>HYPERLINK("https://klasma.github.io/Logging_1381/tillsynsmail/A 35453-2023 tillsynsbegäran mail.docx", "A 35453-2023")</f>
        <v/>
      </c>
    </row>
    <row r="214" ht="15" customHeight="1">
      <c r="A214" t="inlineStr">
        <is>
          <t>A 3481-2025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45680</v>
      </c>
      <c r="E214" s="1" t="n">
        <v>46315</v>
      </c>
      <c r="F214" t="inlineStr">
        <is>
          <t>HALLANDS LÄN</t>
        </is>
      </c>
      <c r="G214" t="inlineStr">
        <is>
          <t>VARBERG</t>
        </is>
      </c>
      <c r="I214" t="n">
        <v>8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0</v>
      </c>
      <c r="V214" s="2" t="inlineStr">
        <is>
          <t>Bivråk</t>
        </is>
      </c>
      <c r="W214">
        <f>HYPERLINK("https://klasma.github.io/Logging_1383/artfynd/A 3481-2025 artfynd.xlsx", "A 3481-2025")</f>
        <v/>
      </c>
      <c r="X214">
        <f>HYPERLINK("https://klasma.github.io/Logging_1383/kartor/A 3481-2025 karta.png", "A 3481-2025")</f>
        <v/>
      </c>
      <c r="Y214">
        <f>HYPERLINK("https://klasma.github.io/Logging_1383/kartor_geotiff/A 3481-2025 georefererad karta.tif", "A 3481-2025")</f>
        <v/>
      </c>
      <c r="AA214">
        <f>HYPERLINK("https://klasma.github.io/Logging_1383/klagomål/A 3481-2025 FSC-klagomål.docx", "A 3481-2025")</f>
        <v/>
      </c>
      <c r="AB214">
        <f>HYPERLINK("https://klasma.github.io/Logging_1383/klagomålsmail/A 3481-2025 FSC-klagomål mail.docx", "A 3481-2025")</f>
        <v/>
      </c>
      <c r="AC214">
        <f>HYPERLINK("https://klasma.github.io/Logging_1383/tillsyn/A 3481-2025 tillsynsbegäran.docx", "A 3481-2025")</f>
        <v/>
      </c>
      <c r="AD214">
        <f>HYPERLINK("https://klasma.github.io/Logging_1383/tillsynsmail/A 3481-2025 tillsynsbegäran mail.docx", "A 3481-2025")</f>
        <v/>
      </c>
      <c r="AE214">
        <f>HYPERLINK("https://klasma.github.io/Logging_1383/fåglar/A 3481-2025 prioriterade fågelarter.docx", "A 3481-2025")</f>
        <v/>
      </c>
    </row>
    <row r="215" ht="15" customHeight="1">
      <c r="A215" t="inlineStr">
        <is>
          <t>A 1765-2023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44936</v>
      </c>
      <c r="E215" s="1" t="n">
        <v>46315</v>
      </c>
      <c r="F215" t="inlineStr">
        <is>
          <t>HALLANDS LÄN</t>
        </is>
      </c>
      <c r="G215" t="inlineStr">
        <is>
          <t>KUNGSBACKA</t>
        </is>
      </c>
      <c r="I215" t="n">
        <v>7.3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s="2" t="inlineStr">
        <is>
          <t>Blomkålssvamp</t>
        </is>
      </c>
      <c r="W215">
        <f>HYPERLINK("https://klasma.github.io/Logging_1384/artfynd/A 1765-2023 artfynd.xlsx", "A 1765-2023")</f>
        <v/>
      </c>
      <c r="X215">
        <f>HYPERLINK("https://klasma.github.io/Logging_1384/kartor/A 1765-2023 karta.png", "A 1765-2023")</f>
        <v/>
      </c>
      <c r="Y215">
        <f>HYPERLINK("https://klasma.github.io/Logging_1384/kartor_geotiff/A 1765-2023 georefererad karta.tif", "A 1765-2023")</f>
        <v/>
      </c>
      <c r="AA215">
        <f>HYPERLINK("https://klasma.github.io/Logging_1384/klagomål/A 1765-2023 FSC-klagomål.docx", "A 1765-2023")</f>
        <v/>
      </c>
      <c r="AB215">
        <f>HYPERLINK("https://klasma.github.io/Logging_1384/klagomålsmail/A 1765-2023 FSC-klagomål mail.docx", "A 1765-2023")</f>
        <v/>
      </c>
      <c r="AC215">
        <f>HYPERLINK("https://klasma.github.io/Logging_1384/tillsyn/A 1765-2023 tillsynsbegäran.docx", "A 1765-2023")</f>
        <v/>
      </c>
      <c r="AD215">
        <f>HYPERLINK("https://klasma.github.io/Logging_1384/tillsynsmail/A 1765-2023 tillsynsbegäran mail.docx", "A 1765-2023")</f>
        <v/>
      </c>
    </row>
    <row r="216" ht="15" customHeight="1">
      <c r="A216" t="inlineStr">
        <is>
          <t>A 9548-2024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45359</v>
      </c>
      <c r="E216" s="1" t="n">
        <v>46315</v>
      </c>
      <c r="F216" t="inlineStr">
        <is>
          <t>HALLANDS LÄN</t>
        </is>
      </c>
      <c r="G216" t="inlineStr">
        <is>
          <t>KUNGSBACKA</t>
        </is>
      </c>
      <c r="I216" t="n">
        <v>0.3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s="2" t="inlineStr">
        <is>
          <t>Stor aspticka</t>
        </is>
      </c>
      <c r="W216">
        <f>HYPERLINK("https://klasma.github.io/Logging_1384/artfynd/A 9548-2024 artfynd.xlsx", "A 9548-2024")</f>
        <v/>
      </c>
      <c r="X216">
        <f>HYPERLINK("https://klasma.github.io/Logging_1384/kartor/A 9548-2024 karta.png", "A 9548-2024")</f>
        <v/>
      </c>
      <c r="Y216">
        <f>HYPERLINK("https://klasma.github.io/Logging_1384/kartor_geotiff/A 9548-2024 georefererad karta.tif", "A 9548-2024")</f>
        <v/>
      </c>
      <c r="AA216">
        <f>HYPERLINK("https://klasma.github.io/Logging_1384/klagomål/A 9548-2024 FSC-klagomål.docx", "A 9548-2024")</f>
        <v/>
      </c>
      <c r="AB216">
        <f>HYPERLINK("https://klasma.github.io/Logging_1384/klagomålsmail/A 9548-2024 FSC-klagomål mail.docx", "A 9548-2024")</f>
        <v/>
      </c>
      <c r="AC216">
        <f>HYPERLINK("https://klasma.github.io/Logging_1384/tillsyn/A 9548-2024 tillsynsbegäran.docx", "A 9548-2024")</f>
        <v/>
      </c>
      <c r="AD216">
        <f>HYPERLINK("https://klasma.github.io/Logging_1384/tillsynsmail/A 9548-2024 tillsynsbegäran mail.docx", "A 9548-2024")</f>
        <v/>
      </c>
    </row>
    <row r="217" ht="15" customHeight="1">
      <c r="A217" t="inlineStr">
        <is>
          <t>A 37722-2026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46279</v>
      </c>
      <c r="E217" s="1" t="n">
        <v>46315</v>
      </c>
      <c r="F217" t="inlineStr">
        <is>
          <t>HALLANDS LÄN</t>
        </is>
      </c>
      <c r="G217" t="inlineStr">
        <is>
          <t>LAHOLM</t>
        </is>
      </c>
      <c r="I217" t="n">
        <v>4.5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s="2" t="inlineStr">
        <is>
          <t>Svinrot</t>
        </is>
      </c>
      <c r="W217">
        <f>HYPERLINK("https://klasma.github.io/Logging_1381/artfynd/A 37722-2026 artfynd.xlsx", "A 37722-2026")</f>
        <v/>
      </c>
      <c r="X217">
        <f>HYPERLINK("https://klasma.github.io/Logging_1381/kartor/A 37722-2026 karta.png", "A 37722-2026")</f>
        <v/>
      </c>
      <c r="Y217">
        <f>HYPERLINK("https://klasma.github.io/Logging_1381/kartor_geotiff/A 37722-2026 georefererad karta.tif", "A 37722-2026")</f>
        <v/>
      </c>
      <c r="AA217">
        <f>HYPERLINK("https://klasma.github.io/Logging_1381/klagomål/A 37722-2026 FSC-klagomål.docx", "A 37722-2026")</f>
        <v/>
      </c>
      <c r="AB217">
        <f>HYPERLINK("https://klasma.github.io/Logging_1381/klagomålsmail/A 37722-2026 FSC-klagomål mail.docx", "A 37722-2026")</f>
        <v/>
      </c>
      <c r="AC217">
        <f>HYPERLINK("https://klasma.github.io/Logging_1381/tillsyn/A 37722-2026 tillsynsbegäran.docx", "A 37722-2026")</f>
        <v/>
      </c>
      <c r="AD217">
        <f>HYPERLINK("https://klasma.github.io/Logging_1381/tillsynsmail/A 37722-2026 tillsynsbegäran mail.docx", "A 37722-2026")</f>
        <v/>
      </c>
    </row>
    <row r="218" ht="15" customHeight="1">
      <c r="A218" t="inlineStr">
        <is>
          <t>A 41802-2024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45561</v>
      </c>
      <c r="E218" s="1" t="n">
        <v>46315</v>
      </c>
      <c r="F218" t="inlineStr">
        <is>
          <t>HALLANDS LÄN</t>
        </is>
      </c>
      <c r="G218" t="inlineStr">
        <is>
          <t>FALKENBERG</t>
        </is>
      </c>
      <c r="I218" t="n">
        <v>1.6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s="2" t="inlineStr">
        <is>
          <t>Korallrot</t>
        </is>
      </c>
      <c r="W218">
        <f>HYPERLINK("https://klasma.github.io/Logging_1382/artfynd/A 41802-2024 artfynd.xlsx", "A 41802-2024")</f>
        <v/>
      </c>
      <c r="X218">
        <f>HYPERLINK("https://klasma.github.io/Logging_1382/kartor/A 41802-2024 karta.png", "A 41802-2024")</f>
        <v/>
      </c>
      <c r="Y218">
        <f>HYPERLINK("https://klasma.github.io/Logging_1382/kartor_geotiff/A 41802-2024 georefererad karta.tif", "A 41802-2024")</f>
        <v/>
      </c>
      <c r="AA218">
        <f>HYPERLINK("https://klasma.github.io/Logging_1382/klagomål/A 41802-2024 FSC-klagomål.docx", "A 41802-2024")</f>
        <v/>
      </c>
      <c r="AB218">
        <f>HYPERLINK("https://klasma.github.io/Logging_1382/klagomålsmail/A 41802-2024 FSC-klagomål mail.docx", "A 41802-2024")</f>
        <v/>
      </c>
      <c r="AC218">
        <f>HYPERLINK("https://klasma.github.io/Logging_1382/tillsyn/A 41802-2024 tillsynsbegäran.docx", "A 41802-2024")</f>
        <v/>
      </c>
      <c r="AD218">
        <f>HYPERLINK("https://klasma.github.io/Logging_1382/tillsynsmail/A 41802-2024 tillsynsbegäran mail.docx", "A 41802-2024")</f>
        <v/>
      </c>
    </row>
    <row r="219" ht="15" customHeight="1">
      <c r="A219" t="inlineStr">
        <is>
          <t>A 38094-2026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46281</v>
      </c>
      <c r="E219" s="1" t="n">
        <v>46315</v>
      </c>
      <c r="F219" t="inlineStr">
        <is>
          <t>HALLANDS LÄN</t>
        </is>
      </c>
      <c r="G219" t="inlineStr">
        <is>
          <t>VARBERG</t>
        </is>
      </c>
      <c r="I219" t="n">
        <v>8.800000000000001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s="2" t="inlineStr">
        <is>
          <t>Spillkråka</t>
        </is>
      </c>
      <c r="W219">
        <f>HYPERLINK("https://klasma.github.io/Logging_1383/artfynd/A 38094-2026 artfynd.xlsx", "A 38094-2026")</f>
        <v/>
      </c>
      <c r="X219">
        <f>HYPERLINK("https://klasma.github.io/Logging_1383/kartor/A 38094-2026 karta.png", "A 38094-2026")</f>
        <v/>
      </c>
      <c r="Y219">
        <f>HYPERLINK("https://klasma.github.io/Logging_1383/kartor_geotiff/A 38094-2026 georefererad karta.tif", "A 38094-2026")</f>
        <v/>
      </c>
      <c r="AA219">
        <f>HYPERLINK("https://klasma.github.io/Logging_1383/klagomål/A 38094-2026 FSC-klagomål.docx", "A 38094-2026")</f>
        <v/>
      </c>
      <c r="AB219">
        <f>HYPERLINK("https://klasma.github.io/Logging_1383/klagomålsmail/A 38094-2026 FSC-klagomål mail.docx", "A 38094-2026")</f>
        <v/>
      </c>
      <c r="AC219">
        <f>HYPERLINK("https://klasma.github.io/Logging_1383/tillsyn/A 38094-2026 tillsynsbegäran.docx", "A 38094-2026")</f>
        <v/>
      </c>
      <c r="AD219">
        <f>HYPERLINK("https://klasma.github.io/Logging_1383/tillsynsmail/A 38094-2026 tillsynsbegäran mail.docx", "A 38094-2026")</f>
        <v/>
      </c>
      <c r="AE219">
        <f>HYPERLINK("https://klasma.github.io/Logging_1383/fåglar/A 38094-2026 prioriterade fågelarter.docx", "A 38094-2026")</f>
        <v/>
      </c>
    </row>
    <row r="220" ht="15" customHeight="1">
      <c r="A220" t="inlineStr">
        <is>
          <t>A 1610-2024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45306</v>
      </c>
      <c r="E220" s="1" t="n">
        <v>46315</v>
      </c>
      <c r="F220" t="inlineStr">
        <is>
          <t>HALLANDS LÄN</t>
        </is>
      </c>
      <c r="G220" t="inlineStr">
        <is>
          <t>HALMSTAD</t>
        </is>
      </c>
      <c r="I220" t="n">
        <v>0.8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0</v>
      </c>
      <c r="V220" s="2" t="inlineStr">
        <is>
          <t>Månlåsbräken</t>
        </is>
      </c>
      <c r="W220">
        <f>HYPERLINK("https://klasma.github.io/Logging_1380/artfynd/A 1610-2024 artfynd.xlsx", "A 1610-2024")</f>
        <v/>
      </c>
      <c r="X220">
        <f>HYPERLINK("https://klasma.github.io/Logging_1380/kartor/A 1610-2024 karta.png", "A 1610-2024")</f>
        <v/>
      </c>
      <c r="Y220">
        <f>HYPERLINK("https://klasma.github.io/Logging_1380/kartor_geotiff/A 1610-2024 georefererad karta.tif", "A 1610-2024")</f>
        <v/>
      </c>
      <c r="AA220">
        <f>HYPERLINK("https://klasma.github.io/Logging_1380/klagomål/A 1610-2024 FSC-klagomål.docx", "A 1610-2024")</f>
        <v/>
      </c>
      <c r="AB220">
        <f>HYPERLINK("https://klasma.github.io/Logging_1380/klagomålsmail/A 1610-2024 FSC-klagomål mail.docx", "A 1610-2024")</f>
        <v/>
      </c>
      <c r="AC220">
        <f>HYPERLINK("https://klasma.github.io/Logging_1380/tillsyn/A 1610-2024 tillsynsbegäran.docx", "A 1610-2024")</f>
        <v/>
      </c>
      <c r="AD220">
        <f>HYPERLINK("https://klasma.github.io/Logging_1380/tillsynsmail/A 1610-2024 tillsynsbegäran mail.docx", "A 1610-2024")</f>
        <v/>
      </c>
    </row>
    <row r="221" ht="15" customHeight="1">
      <c r="A221" t="inlineStr">
        <is>
          <t>A 22842-2022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44715</v>
      </c>
      <c r="E221" s="1" t="n">
        <v>46315</v>
      </c>
      <c r="F221" t="inlineStr">
        <is>
          <t>HALLANDS LÄN</t>
        </is>
      </c>
      <c r="G221" t="inlineStr">
        <is>
          <t>HALMSTAD</t>
        </is>
      </c>
      <c r="I221" t="n">
        <v>6.1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4</v>
      </c>
      <c r="U221" t="n">
        <v>4</v>
      </c>
      <c r="V221" s="2" t="inlineStr">
        <is>
          <t>Spillkråka</t>
        </is>
      </c>
      <c r="W221">
        <f>HYPERLINK("https://klasma.github.io/Logging_1380/artfynd/A 22842-2022 artfynd.xlsx", "A 22842-2022")</f>
        <v/>
      </c>
      <c r="X221">
        <f>HYPERLINK("https://klasma.github.io/Logging_1380/kartor/A 22842-2022 karta.png", "A 22842-2022")</f>
        <v/>
      </c>
      <c r="Y221">
        <f>HYPERLINK("https://klasma.github.io/Logging_1380/kartor_geotiff/A 22842-2022 georefererad karta.tif", "A 22842-2022")</f>
        <v/>
      </c>
      <c r="AA221">
        <f>HYPERLINK("https://klasma.github.io/Logging_1380/klagomål/A 22842-2022 FSC-klagomål.docx", "A 22842-2022")</f>
        <v/>
      </c>
      <c r="AB221">
        <f>HYPERLINK("https://klasma.github.io/Logging_1380/klagomålsmail/A 22842-2022 FSC-klagomål mail.docx", "A 22842-2022")</f>
        <v/>
      </c>
      <c r="AC221">
        <f>HYPERLINK("https://klasma.github.io/Logging_1380/tillsyn/A 22842-2022 tillsynsbegäran.docx", "A 22842-2022")</f>
        <v/>
      </c>
      <c r="AD221">
        <f>HYPERLINK("https://klasma.github.io/Logging_1380/tillsynsmail/A 22842-2022 tillsynsbegäran mail.docx", "A 22842-2022")</f>
        <v/>
      </c>
      <c r="AE221">
        <f>HYPERLINK("https://klasma.github.io/Logging_1380/fåglar/A 22842-2022 prioriterade fågelarter.docx", "A 22842-2022")</f>
        <v/>
      </c>
    </row>
    <row r="222" ht="15" customHeight="1">
      <c r="A222" t="inlineStr">
        <is>
          <t>A 46059-2023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45196</v>
      </c>
      <c r="E222" s="1" t="n">
        <v>46315</v>
      </c>
      <c r="F222" t="inlineStr">
        <is>
          <t>HALLANDS LÄN</t>
        </is>
      </c>
      <c r="G222" t="inlineStr">
        <is>
          <t>FALKENBERG</t>
        </is>
      </c>
      <c r="I222" t="n">
        <v>1.7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0</v>
      </c>
      <c r="V222" s="2" t="inlineStr">
        <is>
          <t>Loppstarr</t>
        </is>
      </c>
      <c r="W222">
        <f>HYPERLINK("https://klasma.github.io/Logging_1382/artfynd/A 46059-2023 artfynd.xlsx", "A 46059-2023")</f>
        <v/>
      </c>
      <c r="X222">
        <f>HYPERLINK("https://klasma.github.io/Logging_1382/kartor/A 46059-2023 karta.png", "A 46059-2023")</f>
        <v/>
      </c>
      <c r="Y222">
        <f>HYPERLINK("https://klasma.github.io/Logging_1382/kartor_geotiff/A 46059-2023 georefererad karta.tif", "A 46059-2023")</f>
        <v/>
      </c>
      <c r="AA222">
        <f>HYPERLINK("https://klasma.github.io/Logging_1382/klagomål/A 46059-2023 FSC-klagomål.docx", "A 46059-2023")</f>
        <v/>
      </c>
      <c r="AB222">
        <f>HYPERLINK("https://klasma.github.io/Logging_1382/klagomålsmail/A 46059-2023 FSC-klagomål mail.docx", "A 46059-2023")</f>
        <v/>
      </c>
      <c r="AC222">
        <f>HYPERLINK("https://klasma.github.io/Logging_1382/tillsyn/A 46059-2023 tillsynsbegäran.docx", "A 46059-2023")</f>
        <v/>
      </c>
      <c r="AD222">
        <f>HYPERLINK("https://klasma.github.io/Logging_1382/tillsynsmail/A 46059-2023 tillsynsbegäran mail.docx", "A 46059-2023")</f>
        <v/>
      </c>
    </row>
    <row r="223" ht="15" customHeight="1">
      <c r="A223" t="inlineStr">
        <is>
          <t>A 33086-2026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46245</v>
      </c>
      <c r="E223" s="1" t="n">
        <v>46315</v>
      </c>
      <c r="F223" t="inlineStr">
        <is>
          <t>HALLANDS LÄN</t>
        </is>
      </c>
      <c r="G223" t="inlineStr">
        <is>
          <t>LAHOLM</t>
        </is>
      </c>
      <c r="I223" t="n">
        <v>2.1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0</v>
      </c>
      <c r="V223" s="2" t="inlineStr">
        <is>
          <t>Blå taggsvamp</t>
        </is>
      </c>
      <c r="W223">
        <f>HYPERLINK("https://klasma.github.io/Logging_1381/artfynd/A 33086-2026 artfynd.xlsx", "A 33086-2026")</f>
        <v/>
      </c>
      <c r="X223">
        <f>HYPERLINK("https://klasma.github.io/Logging_1381/kartor/A 33086-2026 karta.png", "A 33086-2026")</f>
        <v/>
      </c>
      <c r="Y223">
        <f>HYPERLINK("https://klasma.github.io/Logging_1381/kartor_geotiff/A 33086-2026 georefererad karta.tif", "A 33086-2026")</f>
        <v/>
      </c>
      <c r="AA223">
        <f>HYPERLINK("https://klasma.github.io/Logging_1381/klagomål/A 33086-2026 FSC-klagomål.docx", "A 33086-2026")</f>
        <v/>
      </c>
      <c r="AB223">
        <f>HYPERLINK("https://klasma.github.io/Logging_1381/klagomålsmail/A 33086-2026 FSC-klagomål mail.docx", "A 33086-2026")</f>
        <v/>
      </c>
      <c r="AC223">
        <f>HYPERLINK("https://klasma.github.io/Logging_1381/tillsyn/A 33086-2026 tillsynsbegäran.docx", "A 33086-2026")</f>
        <v/>
      </c>
      <c r="AD223">
        <f>HYPERLINK("https://klasma.github.io/Logging_1381/tillsynsmail/A 33086-2026 tillsynsbegäran mail.docx", "A 33086-2026")</f>
        <v/>
      </c>
    </row>
    <row r="224" ht="15" customHeight="1">
      <c r="A224" t="inlineStr">
        <is>
          <t>A 5530-2025</t>
        </is>
      </c>
      <c r="B224" t="inlineStr">
        <is>
          <t>avverkningsanmälan</t>
        </is>
      </c>
      <c r="C224" t="inlineStr">
        <is>
          <t>Avverkning för annat ändamål</t>
        </is>
      </c>
      <c r="D224" s="1" t="n">
        <v>45692</v>
      </c>
      <c r="E224" s="1" t="n">
        <v>46315</v>
      </c>
      <c r="F224" t="inlineStr">
        <is>
          <t>HALLANDS LÄN</t>
        </is>
      </c>
      <c r="G224" t="inlineStr">
        <is>
          <t>HALMSTAD</t>
        </is>
      </c>
      <c r="H224" t="inlineStr">
        <is>
          <t>Kommuner</t>
        </is>
      </c>
      <c r="I224" t="n">
        <v>2.5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3</v>
      </c>
      <c r="U224" t="n">
        <v>1</v>
      </c>
      <c r="V224" s="2" t="inlineStr">
        <is>
          <t>Igelkott</t>
        </is>
      </c>
      <c r="W224">
        <f>HYPERLINK("https://klasma.github.io/Logging_1380/artfynd/A 5530-2025 artfynd.xlsx", "A 5530-2025")</f>
        <v/>
      </c>
      <c r="X224">
        <f>HYPERLINK("https://klasma.github.io/Logging_1380/kartor/A 5530-2025 karta.png", "A 5530-2025")</f>
        <v/>
      </c>
      <c r="Y224">
        <f>HYPERLINK("https://klasma.github.io/Logging_1380/kartor_geotiff/A 5530-2025 georefererad karta.tif", "A 5530-2025")</f>
        <v/>
      </c>
      <c r="AA224">
        <f>HYPERLINK("https://klasma.github.io/Logging_1380/klagomål/A 5530-2025 FSC-klagomål.docx", "A 5530-2025")</f>
        <v/>
      </c>
      <c r="AB224">
        <f>HYPERLINK("https://klasma.github.io/Logging_1380/klagomålsmail/A 5530-2025 FSC-klagomål mail.docx", "A 5530-2025")</f>
        <v/>
      </c>
      <c r="AC224">
        <f>HYPERLINK("https://klasma.github.io/Logging_1380/tillsyn/A 5530-2025 tillsynsbegäran.docx", "A 5530-2025")</f>
        <v/>
      </c>
      <c r="AD224">
        <f>HYPERLINK("https://klasma.github.io/Logging_1380/tillsynsmail/A 5530-2025 tillsynsbegäran mail.docx", "A 5530-2025")</f>
        <v/>
      </c>
    </row>
    <row r="225" ht="15" customHeight="1">
      <c r="A225" t="inlineStr">
        <is>
          <t>A 11154-2022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44629</v>
      </c>
      <c r="E225" s="1" t="n">
        <v>46315</v>
      </c>
      <c r="F225" t="inlineStr">
        <is>
          <t>HALLANDS LÄN</t>
        </is>
      </c>
      <c r="G225" t="inlineStr">
        <is>
          <t>KUNGSBACKA</t>
        </is>
      </c>
      <c r="I225" t="n">
        <v>2.6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s="2" t="inlineStr">
        <is>
          <t>Röd glada</t>
        </is>
      </c>
      <c r="W225">
        <f>HYPERLINK("https://klasma.github.io/Logging_1384/artfynd/A 11154-2022 artfynd.xlsx", "A 11154-2022")</f>
        <v/>
      </c>
      <c r="X225">
        <f>HYPERLINK("https://klasma.github.io/Logging_1384/kartor/A 11154-2022 karta.png", "A 11154-2022")</f>
        <v/>
      </c>
      <c r="Y225">
        <f>HYPERLINK("https://klasma.github.io/Logging_1384/kartor_geotiff/A 11154-2022 georefererad karta.tif", "A 11154-2022")</f>
        <v/>
      </c>
      <c r="AA225">
        <f>HYPERLINK("https://klasma.github.io/Logging_1384/klagomål/A 11154-2022 FSC-klagomål.docx", "A 11154-2022")</f>
        <v/>
      </c>
      <c r="AB225">
        <f>HYPERLINK("https://klasma.github.io/Logging_1384/klagomålsmail/A 11154-2022 FSC-klagomål mail.docx", "A 11154-2022")</f>
        <v/>
      </c>
      <c r="AC225">
        <f>HYPERLINK("https://klasma.github.io/Logging_1384/tillsyn/A 11154-2022 tillsynsbegäran.docx", "A 11154-2022")</f>
        <v/>
      </c>
      <c r="AD225">
        <f>HYPERLINK("https://klasma.github.io/Logging_1384/tillsynsmail/A 11154-2022 tillsynsbegäran mail.docx", "A 11154-2022")</f>
        <v/>
      </c>
      <c r="AE225">
        <f>HYPERLINK("https://klasma.github.io/Logging_1384/fåglar/A 11154-2022 prioriterade fågelarter.docx", "A 11154-2022")</f>
        <v/>
      </c>
    </row>
    <row r="226" ht="15" customHeight="1">
      <c r="A226" t="inlineStr">
        <is>
          <t>A 39795-2026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46290</v>
      </c>
      <c r="E226" s="1" t="n">
        <v>46315</v>
      </c>
      <c r="F226" t="inlineStr">
        <is>
          <t>HALLANDS LÄN</t>
        </is>
      </c>
      <c r="G226" t="inlineStr">
        <is>
          <t>LAHOLM</t>
        </is>
      </c>
      <c r="I226" t="n">
        <v>3.4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0</v>
      </c>
      <c r="V226" s="2" t="inlineStr">
        <is>
          <t>Hårginst</t>
        </is>
      </c>
      <c r="W226">
        <f>HYPERLINK("https://klasma.github.io/Logging_1381/artfynd/A 39795-2026 artfynd.xlsx", "A 39795-2026")</f>
        <v/>
      </c>
      <c r="X226">
        <f>HYPERLINK("https://klasma.github.io/Logging_1381/kartor/A 39795-2026 karta.png", "A 39795-2026")</f>
        <v/>
      </c>
      <c r="Y226">
        <f>HYPERLINK("https://klasma.github.io/Logging_1381/kartor_geotiff/A 39795-2026 georefererad karta.tif", "A 39795-2026")</f>
        <v/>
      </c>
      <c r="AA226">
        <f>HYPERLINK("https://klasma.github.io/Logging_1381/klagomål/A 39795-2026 FSC-klagomål.docx", "A 39795-2026")</f>
        <v/>
      </c>
      <c r="AB226">
        <f>HYPERLINK("https://klasma.github.io/Logging_1381/klagomålsmail/A 39795-2026 FSC-klagomål mail.docx", "A 39795-2026")</f>
        <v/>
      </c>
      <c r="AC226">
        <f>HYPERLINK("https://klasma.github.io/Logging_1381/tillsyn/A 39795-2026 tillsynsbegäran.docx", "A 39795-2026")</f>
        <v/>
      </c>
      <c r="AD226">
        <f>HYPERLINK("https://klasma.github.io/Logging_1381/tillsynsmail/A 39795-2026 tillsynsbegäran mail.docx", "A 39795-2026")</f>
        <v/>
      </c>
    </row>
    <row r="227" ht="15" customHeight="1">
      <c r="A227" t="inlineStr">
        <is>
          <t>A 3691-2024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45321</v>
      </c>
      <c r="E227" s="1" t="n">
        <v>46315</v>
      </c>
      <c r="F227" t="inlineStr">
        <is>
          <t>HALLANDS LÄN</t>
        </is>
      </c>
      <c r="G227" t="inlineStr">
        <is>
          <t>LAHOLM</t>
        </is>
      </c>
      <c r="I227" t="n">
        <v>6.6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s="2" t="inlineStr">
        <is>
          <t>Revlummer</t>
        </is>
      </c>
      <c r="W227">
        <f>HYPERLINK("https://klasma.github.io/Logging_1381/artfynd/A 3691-2024 artfynd.xlsx", "A 3691-2024")</f>
        <v/>
      </c>
      <c r="X227">
        <f>HYPERLINK("https://klasma.github.io/Logging_1381/kartor/A 3691-2024 karta.png", "A 3691-2024")</f>
        <v/>
      </c>
      <c r="Y227">
        <f>HYPERLINK("https://klasma.github.io/Logging_1381/kartor_geotiff/A 3691-2024 georefererad karta.tif", "A 3691-2024")</f>
        <v/>
      </c>
      <c r="AA227">
        <f>HYPERLINK("https://klasma.github.io/Logging_1381/klagomål/A 3691-2024 FSC-klagomål.docx", "A 3691-2024")</f>
        <v/>
      </c>
      <c r="AB227">
        <f>HYPERLINK("https://klasma.github.io/Logging_1381/klagomålsmail/A 3691-2024 FSC-klagomål mail.docx", "A 3691-2024")</f>
        <v/>
      </c>
      <c r="AC227">
        <f>HYPERLINK("https://klasma.github.io/Logging_1381/tillsyn/A 3691-2024 tillsynsbegäran.docx", "A 3691-2024")</f>
        <v/>
      </c>
      <c r="AD227">
        <f>HYPERLINK("https://klasma.github.io/Logging_1381/tillsynsmail/A 3691-2024 tillsynsbegäran mail.docx", "A 3691-2024")</f>
        <v/>
      </c>
    </row>
    <row r="228" ht="15" customHeight="1">
      <c r="A228" t="inlineStr">
        <is>
          <t>A 21483-2024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45441</v>
      </c>
      <c r="E228" s="1" t="n">
        <v>46315</v>
      </c>
      <c r="F228" t="inlineStr">
        <is>
          <t>HALLANDS LÄN</t>
        </is>
      </c>
      <c r="G228" t="inlineStr">
        <is>
          <t>HALMSTAD</t>
        </is>
      </c>
      <c r="I228" t="n">
        <v>0.8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s="2" t="inlineStr">
        <is>
          <t>Kambräken</t>
        </is>
      </c>
      <c r="W228">
        <f>HYPERLINK("https://klasma.github.io/Logging_1380/artfynd/A 21483-2024 artfynd.xlsx", "A 21483-2024")</f>
        <v/>
      </c>
      <c r="X228">
        <f>HYPERLINK("https://klasma.github.io/Logging_1380/kartor/A 21483-2024 karta.png", "A 21483-2024")</f>
        <v/>
      </c>
      <c r="Y228">
        <f>HYPERLINK("https://klasma.github.io/Logging_1380/kartor_geotiff/A 21483-2024 georefererad karta.tif", "A 21483-2024")</f>
        <v/>
      </c>
      <c r="AA228">
        <f>HYPERLINK("https://klasma.github.io/Logging_1380/klagomål/A 21483-2024 FSC-klagomål.docx", "A 21483-2024")</f>
        <v/>
      </c>
      <c r="AB228">
        <f>HYPERLINK("https://klasma.github.io/Logging_1380/klagomålsmail/A 21483-2024 FSC-klagomål mail.docx", "A 21483-2024")</f>
        <v/>
      </c>
      <c r="AC228">
        <f>HYPERLINK("https://klasma.github.io/Logging_1380/tillsyn/A 21483-2024 tillsynsbegäran.docx", "A 21483-2024")</f>
        <v/>
      </c>
      <c r="AD228">
        <f>HYPERLINK("https://klasma.github.io/Logging_1380/tillsynsmail/A 21483-2024 tillsynsbegäran mail.docx", "A 21483-2024")</f>
        <v/>
      </c>
    </row>
    <row r="229" ht="15" customHeight="1">
      <c r="A229" t="inlineStr">
        <is>
          <t>A 48503-2024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45593</v>
      </c>
      <c r="E229" s="1" t="n">
        <v>46315</v>
      </c>
      <c r="F229" t="inlineStr">
        <is>
          <t>HALLANDS LÄN</t>
        </is>
      </c>
      <c r="G229" t="inlineStr">
        <is>
          <t>HYLTE</t>
        </is>
      </c>
      <c r="I229" t="n">
        <v>0.6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s="2" t="inlineStr">
        <is>
          <t>Utter</t>
        </is>
      </c>
      <c r="W229">
        <f>HYPERLINK("https://klasma.github.io/Logging_1315/artfynd/A 48503-2024 artfynd.xlsx", "A 48503-2024")</f>
        <v/>
      </c>
      <c r="X229">
        <f>HYPERLINK("https://klasma.github.io/Logging_1315/kartor/A 48503-2024 karta.png", "A 48503-2024")</f>
        <v/>
      </c>
      <c r="Y229">
        <f>HYPERLINK("https://klasma.github.io/Logging_1315/kartor_geotiff/A 48503-2024 georefererad karta.tif", "A 48503-2024")</f>
        <v/>
      </c>
      <c r="AA229">
        <f>HYPERLINK("https://klasma.github.io/Logging_1315/klagomål/A 48503-2024 FSC-klagomål.docx", "A 48503-2024")</f>
        <v/>
      </c>
      <c r="AB229">
        <f>HYPERLINK("https://klasma.github.io/Logging_1315/klagomålsmail/A 48503-2024 FSC-klagomål mail.docx", "A 48503-2024")</f>
        <v/>
      </c>
      <c r="AC229">
        <f>HYPERLINK("https://klasma.github.io/Logging_1315/tillsyn/A 48503-2024 tillsynsbegäran.docx", "A 48503-2024")</f>
        <v/>
      </c>
      <c r="AD229">
        <f>HYPERLINK("https://klasma.github.io/Logging_1315/tillsynsmail/A 48503-2024 tillsynsbegäran mail.docx", "A 48503-2024")</f>
        <v/>
      </c>
    </row>
    <row r="230" ht="15" customHeight="1">
      <c r="A230" t="inlineStr">
        <is>
          <t>A 57134-2023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45245</v>
      </c>
      <c r="E230" s="1" t="n">
        <v>46315</v>
      </c>
      <c r="F230" t="inlineStr">
        <is>
          <t>HALLANDS LÄN</t>
        </is>
      </c>
      <c r="G230" t="inlineStr">
        <is>
          <t>HYLTE</t>
        </is>
      </c>
      <c r="I230" t="n">
        <v>2.2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s="2" t="inlineStr">
        <is>
          <t>Vildris</t>
        </is>
      </c>
      <c r="W230">
        <f>HYPERLINK("https://klasma.github.io/Logging_1315/artfynd/A 57134-2023 artfynd.xlsx", "A 57134-2023")</f>
        <v/>
      </c>
      <c r="X230">
        <f>HYPERLINK("https://klasma.github.io/Logging_1315/kartor/A 57134-2023 karta.png", "A 57134-2023")</f>
        <v/>
      </c>
      <c r="Y230">
        <f>HYPERLINK("https://klasma.github.io/Logging_1315/kartor_geotiff/A 57134-2023 georefererad karta.tif", "A 57134-2023")</f>
        <v/>
      </c>
      <c r="AA230">
        <f>HYPERLINK("https://klasma.github.io/Logging_1315/klagomål/A 57134-2023 FSC-klagomål.docx", "A 57134-2023")</f>
        <v/>
      </c>
      <c r="AB230">
        <f>HYPERLINK("https://klasma.github.io/Logging_1315/klagomålsmail/A 57134-2023 FSC-klagomål mail.docx", "A 57134-2023")</f>
        <v/>
      </c>
      <c r="AC230">
        <f>HYPERLINK("https://klasma.github.io/Logging_1315/tillsyn/A 57134-2023 tillsynsbegäran.docx", "A 57134-2023")</f>
        <v/>
      </c>
      <c r="AD230">
        <f>HYPERLINK("https://klasma.github.io/Logging_1315/tillsynsmail/A 57134-2023 tillsynsbegäran mail.docx", "A 57134-2023")</f>
        <v/>
      </c>
    </row>
    <row r="231" ht="15" customHeight="1">
      <c r="A231" t="inlineStr">
        <is>
          <t>A 37556-2023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45159</v>
      </c>
      <c r="E231" s="1" t="n">
        <v>46315</v>
      </c>
      <c r="F231" t="inlineStr">
        <is>
          <t>HALLANDS LÄN</t>
        </is>
      </c>
      <c r="G231" t="inlineStr">
        <is>
          <t>LAHOLM</t>
        </is>
      </c>
      <c r="I231" t="n">
        <v>0.9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5</v>
      </c>
      <c r="U231" t="n">
        <v>2</v>
      </c>
      <c r="V231" s="2" t="inlineStr">
        <is>
          <t>Vildris</t>
        </is>
      </c>
      <c r="W231">
        <f>HYPERLINK("https://klasma.github.io/Logging_1381/artfynd/A 37556-2023 artfynd.xlsx", "A 37556-2023")</f>
        <v/>
      </c>
      <c r="X231">
        <f>HYPERLINK("https://klasma.github.io/Logging_1381/kartor/A 37556-2023 karta.png", "A 37556-2023")</f>
        <v/>
      </c>
      <c r="Y231">
        <f>HYPERLINK("https://klasma.github.io/Logging_1381/kartor_geotiff/A 37556-2023 georefererad karta.tif", "A 37556-2023")</f>
        <v/>
      </c>
      <c r="AA231">
        <f>HYPERLINK("https://klasma.github.io/Logging_1381/klagomål/A 37556-2023 FSC-klagomål.docx", "A 37556-2023")</f>
        <v/>
      </c>
      <c r="AB231">
        <f>HYPERLINK("https://klasma.github.io/Logging_1381/klagomålsmail/A 37556-2023 FSC-klagomål mail.docx", "A 37556-2023")</f>
        <v/>
      </c>
      <c r="AC231">
        <f>HYPERLINK("https://klasma.github.io/Logging_1381/tillsyn/A 37556-2023 tillsynsbegäran.docx", "A 37556-2023")</f>
        <v/>
      </c>
      <c r="AD231">
        <f>HYPERLINK("https://klasma.github.io/Logging_1381/tillsynsmail/A 37556-2023 tillsynsbegäran mail.docx", "A 37556-2023")</f>
        <v/>
      </c>
    </row>
    <row r="232" ht="15" customHeight="1">
      <c r="A232" t="inlineStr">
        <is>
          <t>A 1274-2025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45667</v>
      </c>
      <c r="E232" s="1" t="n">
        <v>46315</v>
      </c>
      <c r="F232" t="inlineStr">
        <is>
          <t>HALLANDS LÄN</t>
        </is>
      </c>
      <c r="G232" t="inlineStr">
        <is>
          <t>FALKENBERG</t>
        </is>
      </c>
      <c r="I232" t="n">
        <v>7.7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s="2" t="inlineStr">
        <is>
          <t>Kambräken</t>
        </is>
      </c>
      <c r="W232">
        <f>HYPERLINK("https://klasma.github.io/Logging_1382/artfynd/A 1274-2025 artfynd.xlsx", "A 1274-2025")</f>
        <v/>
      </c>
      <c r="X232">
        <f>HYPERLINK("https://klasma.github.io/Logging_1382/kartor/A 1274-2025 karta.png", "A 1274-2025")</f>
        <v/>
      </c>
      <c r="Y232">
        <f>HYPERLINK("https://klasma.github.io/Logging_1382/kartor_geotiff/A 1274-2025 georefererad karta.tif", "A 1274-2025")</f>
        <v/>
      </c>
      <c r="AA232">
        <f>HYPERLINK("https://klasma.github.io/Logging_1382/klagomål/A 1274-2025 FSC-klagomål.docx", "A 1274-2025")</f>
        <v/>
      </c>
      <c r="AB232">
        <f>HYPERLINK("https://klasma.github.io/Logging_1382/klagomålsmail/A 1274-2025 FSC-klagomål mail.docx", "A 1274-2025")</f>
        <v/>
      </c>
      <c r="AC232">
        <f>HYPERLINK("https://klasma.github.io/Logging_1382/tillsyn/A 1274-2025 tillsynsbegäran.docx", "A 1274-2025")</f>
        <v/>
      </c>
      <c r="AD232">
        <f>HYPERLINK("https://klasma.github.io/Logging_1382/tillsynsmail/A 1274-2025 tillsynsbegäran mail.docx", "A 1274-2025")</f>
        <v/>
      </c>
    </row>
    <row r="233" ht="15" customHeight="1">
      <c r="A233" t="inlineStr">
        <is>
          <t>A 3576-2025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45680</v>
      </c>
      <c r="E233" s="1" t="n">
        <v>46315</v>
      </c>
      <c r="F233" t="inlineStr">
        <is>
          <t>HALLANDS LÄN</t>
        </is>
      </c>
      <c r="G233" t="inlineStr">
        <is>
          <t>LAHOLM</t>
        </is>
      </c>
      <c r="I233" t="n">
        <v>4.4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s="2" t="inlineStr">
        <is>
          <t>Spillkråka</t>
        </is>
      </c>
      <c r="W233">
        <f>HYPERLINK("https://klasma.github.io/Logging_1381/artfynd/A 3576-2025 artfynd.xlsx", "A 3576-2025")</f>
        <v/>
      </c>
      <c r="X233">
        <f>HYPERLINK("https://klasma.github.io/Logging_1381/kartor/A 3576-2025 karta.png", "A 3576-2025")</f>
        <v/>
      </c>
      <c r="Y233">
        <f>HYPERLINK("https://klasma.github.io/Logging_1381/kartor_geotiff/A 3576-2025 georefererad karta.tif", "A 3576-2025")</f>
        <v/>
      </c>
      <c r="AA233">
        <f>HYPERLINK("https://klasma.github.io/Logging_1381/klagomål/A 3576-2025 FSC-klagomål.docx", "A 3576-2025")</f>
        <v/>
      </c>
      <c r="AB233">
        <f>HYPERLINK("https://klasma.github.io/Logging_1381/klagomålsmail/A 3576-2025 FSC-klagomål mail.docx", "A 3576-2025")</f>
        <v/>
      </c>
      <c r="AC233">
        <f>HYPERLINK("https://klasma.github.io/Logging_1381/tillsyn/A 3576-2025 tillsynsbegäran.docx", "A 3576-2025")</f>
        <v/>
      </c>
      <c r="AD233">
        <f>HYPERLINK("https://klasma.github.io/Logging_1381/tillsynsmail/A 3576-2025 tillsynsbegäran mail.docx", "A 3576-2025")</f>
        <v/>
      </c>
      <c r="AE233">
        <f>HYPERLINK("https://klasma.github.io/Logging_1381/fåglar/A 3576-2025 prioriterade fågelarter.docx", "A 3576-2025")</f>
        <v/>
      </c>
    </row>
    <row r="234" ht="15" customHeight="1">
      <c r="A234" t="inlineStr">
        <is>
          <t>A 55322-2025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45971</v>
      </c>
      <c r="E234" s="1" t="n">
        <v>46315</v>
      </c>
      <c r="F234" t="inlineStr">
        <is>
          <t>HALLANDS LÄN</t>
        </is>
      </c>
      <c r="G234" t="inlineStr">
        <is>
          <t>LAHOLM</t>
        </is>
      </c>
      <c r="I234" t="n">
        <v>8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2</v>
      </c>
      <c r="U234" t="n">
        <v>0</v>
      </c>
      <c r="V234" s="2" t="inlineStr">
        <is>
          <t>Hårginst</t>
        </is>
      </c>
      <c r="W234">
        <f>HYPERLINK("https://klasma.github.io/Logging_1381/artfynd/A 55322-2025 artfynd.xlsx", "A 55322-2025")</f>
        <v/>
      </c>
      <c r="X234">
        <f>HYPERLINK("https://klasma.github.io/Logging_1381/kartor/A 55322-2025 karta.png", "A 55322-2025")</f>
        <v/>
      </c>
      <c r="Y234">
        <f>HYPERLINK("https://klasma.github.io/Logging_1381/kartor_geotiff/A 55322-2025 georefererad karta.tif", "A 55322-2025")</f>
        <v/>
      </c>
      <c r="AA234">
        <f>HYPERLINK("https://klasma.github.io/Logging_1381/klagomål/A 55322-2025 FSC-klagomål.docx", "A 55322-2025")</f>
        <v/>
      </c>
      <c r="AB234">
        <f>HYPERLINK("https://klasma.github.io/Logging_1381/klagomålsmail/A 55322-2025 FSC-klagomål mail.docx", "A 55322-2025")</f>
        <v/>
      </c>
      <c r="AC234">
        <f>HYPERLINK("https://klasma.github.io/Logging_1381/tillsyn/A 55322-2025 tillsynsbegäran.docx", "A 55322-2025")</f>
        <v/>
      </c>
      <c r="AD234">
        <f>HYPERLINK("https://klasma.github.io/Logging_1381/tillsynsmail/A 55322-2025 tillsynsbegäran mail.docx", "A 55322-2025")</f>
        <v/>
      </c>
    </row>
    <row r="235" ht="15" customHeight="1">
      <c r="A235" t="inlineStr">
        <is>
          <t>A 6987-2026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46057</v>
      </c>
      <c r="E235" s="1" t="n">
        <v>46315</v>
      </c>
      <c r="F235" t="inlineStr">
        <is>
          <t>HALLANDS LÄN</t>
        </is>
      </c>
      <c r="G235" t="inlineStr">
        <is>
          <t>HALMSTAD</t>
        </is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s="2" t="inlineStr">
        <is>
          <t>Dvärgpipistrell</t>
        </is>
      </c>
      <c r="W235">
        <f>HYPERLINK("https://klasma.github.io/Logging_1380/artfynd/A 6987-2026 artfynd.xlsx", "A 6987-2026")</f>
        <v/>
      </c>
      <c r="X235">
        <f>HYPERLINK("https://klasma.github.io/Logging_1380/kartor/A 6987-2026 karta.png", "A 6987-2026")</f>
        <v/>
      </c>
      <c r="Y235">
        <f>HYPERLINK("https://klasma.github.io/Logging_1380/kartor_geotiff/A 6987-2026 georefererad karta.tif", "A 6987-2026")</f>
        <v/>
      </c>
      <c r="AA235">
        <f>HYPERLINK("https://klasma.github.io/Logging_1380/klagomål/A 6987-2026 FSC-klagomål.docx", "A 6987-2026")</f>
        <v/>
      </c>
      <c r="AB235">
        <f>HYPERLINK("https://klasma.github.io/Logging_1380/klagomålsmail/A 6987-2026 FSC-klagomål mail.docx", "A 6987-2026")</f>
        <v/>
      </c>
      <c r="AC235">
        <f>HYPERLINK("https://klasma.github.io/Logging_1380/tillsyn/A 6987-2026 tillsynsbegäran.docx", "A 6987-2026")</f>
        <v/>
      </c>
      <c r="AD235">
        <f>HYPERLINK("https://klasma.github.io/Logging_1380/tillsynsmail/A 6987-2026 tillsynsbegäran mail.docx", "A 6987-2026")</f>
        <v/>
      </c>
    </row>
    <row r="236" ht="15" customHeight="1">
      <c r="A236" t="inlineStr">
        <is>
          <t>A 54421-2024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45617</v>
      </c>
      <c r="E236" s="1" t="n">
        <v>46315</v>
      </c>
      <c r="F236" t="inlineStr">
        <is>
          <t>HALLANDS LÄN</t>
        </is>
      </c>
      <c r="G236" t="inlineStr">
        <is>
          <t>HYLTE</t>
        </is>
      </c>
      <c r="I236" t="n">
        <v>3.9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2</v>
      </c>
      <c r="U236" t="n">
        <v>0</v>
      </c>
      <c r="V236" s="2" t="inlineStr">
        <is>
          <t>Slåttergubbe</t>
        </is>
      </c>
      <c r="W236">
        <f>HYPERLINK("https://klasma.github.io/Logging_1315/artfynd/A 54421-2024 artfynd.xlsx", "A 54421-2024")</f>
        <v/>
      </c>
      <c r="X236">
        <f>HYPERLINK("https://klasma.github.io/Logging_1315/kartor/A 54421-2024 karta.png", "A 54421-2024")</f>
        <v/>
      </c>
      <c r="Y236">
        <f>HYPERLINK("https://klasma.github.io/Logging_1315/kartor_geotiff/A 54421-2024 georefererad karta.tif", "A 54421-2024")</f>
        <v/>
      </c>
      <c r="AA236">
        <f>HYPERLINK("https://klasma.github.io/Logging_1315/klagomål/A 54421-2024 FSC-klagomål.docx", "A 54421-2024")</f>
        <v/>
      </c>
      <c r="AB236">
        <f>HYPERLINK("https://klasma.github.io/Logging_1315/klagomålsmail/A 54421-2024 FSC-klagomål mail.docx", "A 54421-2024")</f>
        <v/>
      </c>
      <c r="AC236">
        <f>HYPERLINK("https://klasma.github.io/Logging_1315/tillsyn/A 54421-2024 tillsynsbegäran.docx", "A 54421-2024")</f>
        <v/>
      </c>
      <c r="AD236">
        <f>HYPERLINK("https://klasma.github.io/Logging_1315/tillsynsmail/A 54421-2024 tillsynsbegäran mail.docx", "A 54421-2024")</f>
        <v/>
      </c>
    </row>
    <row r="237" ht="15" customHeight="1">
      <c r="A237" t="inlineStr">
        <is>
          <t>A 41364-2026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46300</v>
      </c>
      <c r="E237" s="1" t="n">
        <v>46315</v>
      </c>
      <c r="F237" t="inlineStr">
        <is>
          <t>HALLANDS LÄN</t>
        </is>
      </c>
      <c r="G237" t="inlineStr">
        <is>
          <t>HALMSTAD</t>
        </is>
      </c>
      <c r="I237" t="n">
        <v>7.4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s="2" t="inlineStr">
        <is>
          <t>Västlig hakmossa</t>
        </is>
      </c>
      <c r="W237">
        <f>HYPERLINK("https://klasma.github.io/Logging_1380/artfynd/A 41364-2026 artfynd.xlsx", "A 41364-2026")</f>
        <v/>
      </c>
      <c r="X237">
        <f>HYPERLINK("https://klasma.github.io/Logging_1380/kartor/A 41364-2026 karta.png", "A 41364-2026")</f>
        <v/>
      </c>
      <c r="Y237">
        <f>HYPERLINK("https://klasma.github.io/Logging_1380/kartor_geotiff/A 41364-2026 georefererad karta.tif", "A 41364-2026")</f>
        <v/>
      </c>
      <c r="AA237">
        <f>HYPERLINK("https://klasma.github.io/Logging_1380/klagomål/A 41364-2026 FSC-klagomål.docx", "A 41364-2026")</f>
        <v/>
      </c>
      <c r="AB237">
        <f>HYPERLINK("https://klasma.github.io/Logging_1380/klagomålsmail/A 41364-2026 FSC-klagomål mail.docx", "A 41364-2026")</f>
        <v/>
      </c>
      <c r="AC237">
        <f>HYPERLINK("https://klasma.github.io/Logging_1380/tillsyn/A 41364-2026 tillsynsbegäran.docx", "A 41364-2026")</f>
        <v/>
      </c>
      <c r="AD237">
        <f>HYPERLINK("https://klasma.github.io/Logging_1380/tillsynsmail/A 41364-2026 tillsynsbegäran mail.docx", "A 41364-2026")</f>
        <v/>
      </c>
    </row>
    <row r="238" ht="15" customHeight="1">
      <c r="A238" t="inlineStr">
        <is>
          <t>A 20045-2024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45434</v>
      </c>
      <c r="E238" s="1" t="n">
        <v>46315</v>
      </c>
      <c r="F238" t="inlineStr">
        <is>
          <t>HALLANDS LÄN</t>
        </is>
      </c>
      <c r="G238" t="inlineStr">
        <is>
          <t>VARBERG</t>
        </is>
      </c>
      <c r="I238" t="n">
        <v>3.8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s="2" t="inlineStr">
        <is>
          <t>Igelkott</t>
        </is>
      </c>
      <c r="W238">
        <f>HYPERLINK("https://klasma.github.io/Logging_1383/artfynd/A 20045-2024 artfynd.xlsx", "A 20045-2024")</f>
        <v/>
      </c>
      <c r="X238">
        <f>HYPERLINK("https://klasma.github.io/Logging_1383/kartor/A 20045-2024 karta.png", "A 20045-2024")</f>
        <v/>
      </c>
      <c r="Y238">
        <f>HYPERLINK("https://klasma.github.io/Logging_1383/kartor_geotiff/A 20045-2024 georefererad karta.tif", "A 20045-2024")</f>
        <v/>
      </c>
      <c r="AA238">
        <f>HYPERLINK("https://klasma.github.io/Logging_1383/klagomål/A 20045-2024 FSC-klagomål.docx", "A 20045-2024")</f>
        <v/>
      </c>
      <c r="AB238">
        <f>HYPERLINK("https://klasma.github.io/Logging_1383/klagomålsmail/A 20045-2024 FSC-klagomål mail.docx", "A 20045-2024")</f>
        <v/>
      </c>
      <c r="AC238">
        <f>HYPERLINK("https://klasma.github.io/Logging_1383/tillsyn/A 20045-2024 tillsynsbegäran.docx", "A 20045-2024")</f>
        <v/>
      </c>
      <c r="AD238">
        <f>HYPERLINK("https://klasma.github.io/Logging_1383/tillsynsmail/A 20045-2024 tillsynsbegäran mail.docx", "A 20045-2024")</f>
        <v/>
      </c>
    </row>
    <row r="239" ht="15" customHeight="1">
      <c r="A239" t="inlineStr">
        <is>
          <t>A 35165-2026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46260</v>
      </c>
      <c r="E239" s="1" t="n">
        <v>46315</v>
      </c>
      <c r="F239" t="inlineStr">
        <is>
          <t>HALLANDS LÄN</t>
        </is>
      </c>
      <c r="G239" t="inlineStr">
        <is>
          <t>KUNGSBACKA</t>
        </is>
      </c>
      <c r="I239" t="n">
        <v>6.3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s="2" t="inlineStr">
        <is>
          <t>Kungsfågel</t>
        </is>
      </c>
      <c r="W239">
        <f>HYPERLINK("https://klasma.github.io/Logging_1384/artfynd/A 35165-2026 artfynd.xlsx", "A 35165-2026")</f>
        <v/>
      </c>
      <c r="X239">
        <f>HYPERLINK("https://klasma.github.io/Logging_1384/kartor/A 35165-2026 karta.png", "A 35165-2026")</f>
        <v/>
      </c>
      <c r="Y239">
        <f>HYPERLINK("https://klasma.github.io/Logging_1384/kartor_geotiff/A 35165-2026 georefererad karta.tif", "A 35165-2026")</f>
        <v/>
      </c>
      <c r="AA239">
        <f>HYPERLINK("https://klasma.github.io/Logging_1384/klagomål/A 35165-2026 FSC-klagomål.docx", "A 35165-2026")</f>
        <v/>
      </c>
      <c r="AB239">
        <f>HYPERLINK("https://klasma.github.io/Logging_1384/klagomålsmail/A 35165-2026 FSC-klagomål mail.docx", "A 35165-2026")</f>
        <v/>
      </c>
      <c r="AC239">
        <f>HYPERLINK("https://klasma.github.io/Logging_1384/tillsyn/A 35165-2026 tillsynsbegäran.docx", "A 35165-2026")</f>
        <v/>
      </c>
      <c r="AD239">
        <f>HYPERLINK("https://klasma.github.io/Logging_1384/tillsynsmail/A 35165-2026 tillsynsbegäran mail.docx", "A 35165-2026")</f>
        <v/>
      </c>
    </row>
    <row r="240" ht="15" customHeight="1">
      <c r="A240" t="inlineStr">
        <is>
          <t>A 13932-2025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45737</v>
      </c>
      <c r="E240" s="1" t="n">
        <v>46315</v>
      </c>
      <c r="F240" t="inlineStr">
        <is>
          <t>HALLANDS LÄN</t>
        </is>
      </c>
      <c r="G240" t="inlineStr">
        <is>
          <t>KUNGSBACKA</t>
        </is>
      </c>
      <c r="I240" t="n">
        <v>2.5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s="2" t="inlineStr">
        <is>
          <t>Blåsippa</t>
        </is>
      </c>
      <c r="W240">
        <f>HYPERLINK("https://klasma.github.io/Logging_1384/artfynd/A 13932-2025 artfynd.xlsx", "A 13932-2025")</f>
        <v/>
      </c>
      <c r="X240">
        <f>HYPERLINK("https://klasma.github.io/Logging_1384/kartor/A 13932-2025 karta.png", "A 13932-2025")</f>
        <v/>
      </c>
      <c r="Y240">
        <f>HYPERLINK("https://klasma.github.io/Logging_1384/kartor_geotiff/A 13932-2025 georefererad karta.tif", "A 13932-2025")</f>
        <v/>
      </c>
      <c r="AA240">
        <f>HYPERLINK("https://klasma.github.io/Logging_1384/klagomål/A 13932-2025 FSC-klagomål.docx", "A 13932-2025")</f>
        <v/>
      </c>
      <c r="AB240">
        <f>HYPERLINK("https://klasma.github.io/Logging_1384/klagomålsmail/A 13932-2025 FSC-klagomål mail.docx", "A 13932-2025")</f>
        <v/>
      </c>
      <c r="AC240">
        <f>HYPERLINK("https://klasma.github.io/Logging_1384/tillsyn/A 13932-2025 tillsynsbegäran.docx", "A 13932-2025")</f>
        <v/>
      </c>
      <c r="AD240">
        <f>HYPERLINK("https://klasma.github.io/Logging_1384/tillsynsmail/A 13932-2025 tillsynsbegäran mail.docx", "A 13932-2025")</f>
        <v/>
      </c>
    </row>
    <row r="241" ht="15" customHeight="1">
      <c r="A241" t="inlineStr">
        <is>
          <t>A 16076-2025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45749</v>
      </c>
      <c r="E241" s="1" t="n">
        <v>46315</v>
      </c>
      <c r="F241" t="inlineStr">
        <is>
          <t>HALLANDS LÄN</t>
        </is>
      </c>
      <c r="G241" t="inlineStr">
        <is>
          <t>KUNGSBACKA</t>
        </is>
      </c>
      <c r="I241" t="n">
        <v>3.1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s="2" t="inlineStr">
        <is>
          <t>Havsörn</t>
        </is>
      </c>
      <c r="W241">
        <f>HYPERLINK("https://klasma.github.io/Logging_1384/artfynd/A 16076-2025 artfynd.xlsx", "A 16076-2025")</f>
        <v/>
      </c>
      <c r="X241">
        <f>HYPERLINK("https://klasma.github.io/Logging_1384/kartor/A 16076-2025 karta.png", "A 16076-2025")</f>
        <v/>
      </c>
      <c r="Y241">
        <f>HYPERLINK("https://klasma.github.io/Logging_1384/kartor_geotiff/A 16076-2025 georefererad karta.tif", "A 16076-2025")</f>
        <v/>
      </c>
      <c r="AA241">
        <f>HYPERLINK("https://klasma.github.io/Logging_1384/klagomål/A 16076-2025 FSC-klagomål.docx", "A 16076-2025")</f>
        <v/>
      </c>
      <c r="AB241">
        <f>HYPERLINK("https://klasma.github.io/Logging_1384/klagomålsmail/A 16076-2025 FSC-klagomål mail.docx", "A 16076-2025")</f>
        <v/>
      </c>
      <c r="AC241">
        <f>HYPERLINK("https://klasma.github.io/Logging_1384/tillsyn/A 16076-2025 tillsynsbegäran.docx", "A 16076-2025")</f>
        <v/>
      </c>
      <c r="AD241">
        <f>HYPERLINK("https://klasma.github.io/Logging_1384/tillsynsmail/A 16076-2025 tillsynsbegäran mail.docx", "A 16076-2025")</f>
        <v/>
      </c>
      <c r="AE241">
        <f>HYPERLINK("https://klasma.github.io/Logging_1384/fåglar/A 16076-2025 prioriterade fågelarter.docx", "A 16076-2025")</f>
        <v/>
      </c>
    </row>
    <row r="242" ht="15" customHeight="1">
      <c r="A242" t="inlineStr">
        <is>
          <t>A 27386-2025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45812</v>
      </c>
      <c r="E242" s="1" t="n">
        <v>46315</v>
      </c>
      <c r="F242" t="inlineStr">
        <is>
          <t>HALLANDS LÄN</t>
        </is>
      </c>
      <c r="G242" t="inlineStr">
        <is>
          <t>HALMSTAD</t>
        </is>
      </c>
      <c r="I242" t="n">
        <v>8.5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s="2" t="inlineStr">
        <is>
          <t>Kambräken</t>
        </is>
      </c>
      <c r="W242">
        <f>HYPERLINK("https://klasma.github.io/Logging_1380/artfynd/A 27386-2025 artfynd.xlsx", "A 27386-2025")</f>
        <v/>
      </c>
      <c r="X242">
        <f>HYPERLINK("https://klasma.github.io/Logging_1380/kartor/A 27386-2025 karta.png", "A 27386-2025")</f>
        <v/>
      </c>
      <c r="Y242">
        <f>HYPERLINK("https://klasma.github.io/Logging_1380/kartor_geotiff/A 27386-2025 georefererad karta.tif", "A 27386-2025")</f>
        <v/>
      </c>
      <c r="AA242">
        <f>HYPERLINK("https://klasma.github.io/Logging_1380/klagomål/A 27386-2025 FSC-klagomål.docx", "A 27386-2025")</f>
        <v/>
      </c>
      <c r="AB242">
        <f>HYPERLINK("https://klasma.github.io/Logging_1380/klagomålsmail/A 27386-2025 FSC-klagomål mail.docx", "A 27386-2025")</f>
        <v/>
      </c>
      <c r="AC242">
        <f>HYPERLINK("https://klasma.github.io/Logging_1380/tillsyn/A 27386-2025 tillsynsbegäran.docx", "A 27386-2025")</f>
        <v/>
      </c>
      <c r="AD242">
        <f>HYPERLINK("https://klasma.github.io/Logging_1380/tillsynsmail/A 27386-2025 tillsynsbegäran mail.docx", "A 27386-2025")</f>
        <v/>
      </c>
    </row>
    <row r="243" ht="15" customHeight="1">
      <c r="A243" t="inlineStr">
        <is>
          <t>A 27179-2025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45812</v>
      </c>
      <c r="E243" s="1" t="n">
        <v>46315</v>
      </c>
      <c r="F243" t="inlineStr">
        <is>
          <t>HALLANDS LÄN</t>
        </is>
      </c>
      <c r="G243" t="inlineStr">
        <is>
          <t>LAHOLM</t>
        </is>
      </c>
      <c r="I243" t="n">
        <v>1.8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s="2" t="inlineStr">
        <is>
          <t>Kambräken</t>
        </is>
      </c>
      <c r="W243">
        <f>HYPERLINK("https://klasma.github.io/Logging_1381/artfynd/A 27179-2025 artfynd.xlsx", "A 27179-2025")</f>
        <v/>
      </c>
      <c r="X243">
        <f>HYPERLINK("https://klasma.github.io/Logging_1381/kartor/A 27179-2025 karta.png", "A 27179-2025")</f>
        <v/>
      </c>
      <c r="Y243">
        <f>HYPERLINK("https://klasma.github.io/Logging_1381/kartor_geotiff/A 27179-2025 georefererad karta.tif", "A 27179-2025")</f>
        <v/>
      </c>
      <c r="AA243">
        <f>HYPERLINK("https://klasma.github.io/Logging_1381/klagomål/A 27179-2025 FSC-klagomål.docx", "A 27179-2025")</f>
        <v/>
      </c>
      <c r="AB243">
        <f>HYPERLINK("https://klasma.github.io/Logging_1381/klagomålsmail/A 27179-2025 FSC-klagomål mail.docx", "A 27179-2025")</f>
        <v/>
      </c>
      <c r="AC243">
        <f>HYPERLINK("https://klasma.github.io/Logging_1381/tillsyn/A 27179-2025 tillsynsbegäran.docx", "A 27179-2025")</f>
        <v/>
      </c>
      <c r="AD243">
        <f>HYPERLINK("https://klasma.github.io/Logging_1381/tillsynsmail/A 27179-2025 tillsynsbegäran mail.docx", "A 27179-2025")</f>
        <v/>
      </c>
    </row>
    <row r="244" ht="15" customHeight="1">
      <c r="A244" t="inlineStr">
        <is>
          <t>A 33663-2026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46248</v>
      </c>
      <c r="E244" s="1" t="n">
        <v>46315</v>
      </c>
      <c r="F244" t="inlineStr">
        <is>
          <t>HALLANDS LÄN</t>
        </is>
      </c>
      <c r="G244" t="inlineStr">
        <is>
          <t>FALKENBERG</t>
        </is>
      </c>
      <c r="I244" t="n">
        <v>0.7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0</v>
      </c>
      <c r="V244" s="2" t="inlineStr">
        <is>
          <t>Bokvårtlav</t>
        </is>
      </c>
      <c r="W244">
        <f>HYPERLINK("https://klasma.github.io/Logging_1382/artfynd/A 33663-2026 artfynd.xlsx", "A 33663-2026")</f>
        <v/>
      </c>
      <c r="X244">
        <f>HYPERLINK("https://klasma.github.io/Logging_1382/kartor/A 33663-2026 karta.png", "A 33663-2026")</f>
        <v/>
      </c>
      <c r="Y244">
        <f>HYPERLINK("https://klasma.github.io/Logging_1382/kartor_geotiff/A 33663-2026 georefererad karta.tif", "A 33663-2026")</f>
        <v/>
      </c>
      <c r="AA244">
        <f>HYPERLINK("https://klasma.github.io/Logging_1382/klagomål/A 33663-2026 FSC-klagomål.docx", "A 33663-2026")</f>
        <v/>
      </c>
      <c r="AB244">
        <f>HYPERLINK("https://klasma.github.io/Logging_1382/klagomålsmail/A 33663-2026 FSC-klagomål mail.docx", "A 33663-2026")</f>
        <v/>
      </c>
      <c r="AC244">
        <f>HYPERLINK("https://klasma.github.io/Logging_1382/tillsyn/A 33663-2026 tillsynsbegäran.docx", "A 33663-2026")</f>
        <v/>
      </c>
      <c r="AD244">
        <f>HYPERLINK("https://klasma.github.io/Logging_1382/tillsynsmail/A 33663-2026 tillsynsbegäran mail.docx", "A 33663-2026")</f>
        <v/>
      </c>
    </row>
    <row r="245" ht="15" customHeight="1">
      <c r="A245" t="inlineStr">
        <is>
          <t>A 32822-2025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45839</v>
      </c>
      <c r="E245" s="1" t="n">
        <v>46315</v>
      </c>
      <c r="F245" t="inlineStr">
        <is>
          <t>HALLANDS LÄN</t>
        </is>
      </c>
      <c r="G245" t="inlineStr">
        <is>
          <t>HALMSTAD</t>
        </is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s="2" t="inlineStr">
        <is>
          <t>Hasselmus</t>
        </is>
      </c>
      <c r="W245">
        <f>HYPERLINK("https://klasma.github.io/Logging_1380/artfynd/A 32822-2025 artfynd.xlsx", "A 32822-2025")</f>
        <v/>
      </c>
      <c r="X245">
        <f>HYPERLINK("https://klasma.github.io/Logging_1380/kartor/A 32822-2025 karta.png", "A 32822-2025")</f>
        <v/>
      </c>
      <c r="Y245">
        <f>HYPERLINK("https://klasma.github.io/Logging_1380/kartor_geotiff/A 32822-2025 georefererad karta.tif", "A 32822-2025")</f>
        <v/>
      </c>
      <c r="AA245">
        <f>HYPERLINK("https://klasma.github.io/Logging_1380/klagomål/A 32822-2025 FSC-klagomål.docx", "A 32822-2025")</f>
        <v/>
      </c>
      <c r="AB245">
        <f>HYPERLINK("https://klasma.github.io/Logging_1380/klagomålsmail/A 32822-2025 FSC-klagomål mail.docx", "A 32822-2025")</f>
        <v/>
      </c>
      <c r="AC245">
        <f>HYPERLINK("https://klasma.github.io/Logging_1380/tillsyn/A 32822-2025 tillsynsbegäran.docx", "A 32822-2025")</f>
        <v/>
      </c>
      <c r="AD245">
        <f>HYPERLINK("https://klasma.github.io/Logging_1380/tillsynsmail/A 32822-2025 tillsynsbegäran mail.docx", "A 32822-2025")</f>
        <v/>
      </c>
    </row>
    <row r="246" ht="15" customHeight="1">
      <c r="A246" t="inlineStr">
        <is>
          <t>A 63130-2023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45273</v>
      </c>
      <c r="E246" s="1" t="n">
        <v>46315</v>
      </c>
      <c r="F246" t="inlineStr">
        <is>
          <t>HALLANDS LÄN</t>
        </is>
      </c>
      <c r="G246" t="inlineStr">
        <is>
          <t>FALKENBERG</t>
        </is>
      </c>
      <c r="I246" t="n">
        <v>4.1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0</v>
      </c>
      <c r="V246" s="2" t="inlineStr">
        <is>
          <t>Hårginst</t>
        </is>
      </c>
      <c r="W246">
        <f>HYPERLINK("https://klasma.github.io/Logging_1382/artfynd/A 63130-2023 artfynd.xlsx", "A 63130-2023")</f>
        <v/>
      </c>
      <c r="X246">
        <f>HYPERLINK("https://klasma.github.io/Logging_1382/kartor/A 63130-2023 karta.png", "A 63130-2023")</f>
        <v/>
      </c>
      <c r="Y246">
        <f>HYPERLINK("https://klasma.github.io/Logging_1382/kartor_geotiff/A 63130-2023 georefererad karta.tif", "A 63130-2023")</f>
        <v/>
      </c>
      <c r="AA246">
        <f>HYPERLINK("https://klasma.github.io/Logging_1382/klagomål/A 63130-2023 FSC-klagomål.docx", "A 63130-2023")</f>
        <v/>
      </c>
      <c r="AB246">
        <f>HYPERLINK("https://klasma.github.io/Logging_1382/klagomålsmail/A 63130-2023 FSC-klagomål mail.docx", "A 63130-2023")</f>
        <v/>
      </c>
      <c r="AC246">
        <f>HYPERLINK("https://klasma.github.io/Logging_1382/tillsyn/A 63130-2023 tillsynsbegäran.docx", "A 63130-2023")</f>
        <v/>
      </c>
      <c r="AD246">
        <f>HYPERLINK("https://klasma.github.io/Logging_1382/tillsynsmail/A 63130-2023 tillsynsbegäran mail.docx", "A 63130-2023")</f>
        <v/>
      </c>
    </row>
    <row r="247" ht="15" customHeight="1">
      <c r="A247" t="inlineStr">
        <is>
          <t>A 7718-2025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45706</v>
      </c>
      <c r="E247" s="1" t="n">
        <v>46315</v>
      </c>
      <c r="F247" t="inlineStr">
        <is>
          <t>HALLANDS LÄN</t>
        </is>
      </c>
      <c r="G247" t="inlineStr">
        <is>
          <t>KUNGSBACKA</t>
        </is>
      </c>
      <c r="I247" t="n">
        <v>0.7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s="2" t="inlineStr">
        <is>
          <t>Gulsparv</t>
        </is>
      </c>
      <c r="W247">
        <f>HYPERLINK("https://klasma.github.io/Logging_1384/artfynd/A 7718-2025 artfynd.xlsx", "A 7718-2025")</f>
        <v/>
      </c>
      <c r="X247">
        <f>HYPERLINK("https://klasma.github.io/Logging_1384/kartor/A 7718-2025 karta.png", "A 7718-2025")</f>
        <v/>
      </c>
      <c r="Y247">
        <f>HYPERLINK("https://klasma.github.io/Logging_1384/kartor_geotiff/A 7718-2025 georefererad karta.tif", "A 7718-2025")</f>
        <v/>
      </c>
      <c r="AA247">
        <f>HYPERLINK("https://klasma.github.io/Logging_1384/klagomål/A 7718-2025 FSC-klagomål.docx", "A 7718-2025")</f>
        <v/>
      </c>
      <c r="AB247">
        <f>HYPERLINK("https://klasma.github.io/Logging_1384/klagomålsmail/A 7718-2025 FSC-klagomål mail.docx", "A 7718-2025")</f>
        <v/>
      </c>
      <c r="AC247">
        <f>HYPERLINK("https://klasma.github.io/Logging_1384/tillsyn/A 7718-2025 tillsynsbegäran.docx", "A 7718-2025")</f>
        <v/>
      </c>
      <c r="AD247">
        <f>HYPERLINK("https://klasma.github.io/Logging_1384/tillsynsmail/A 7718-2025 tillsynsbegäran mail.docx", "A 7718-2025")</f>
        <v/>
      </c>
      <c r="AE247">
        <f>HYPERLINK("https://klasma.github.io/Logging_1384/fåglar/A 7718-2025 prioriterade fågelarter.docx", "A 7718-2025")</f>
        <v/>
      </c>
    </row>
    <row r="248" ht="15" customHeight="1">
      <c r="A248" t="inlineStr">
        <is>
          <t>A 19588-2023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45050</v>
      </c>
      <c r="E248" s="1" t="n">
        <v>46315</v>
      </c>
      <c r="F248" t="inlineStr">
        <is>
          <t>HALLANDS LÄN</t>
        </is>
      </c>
      <c r="G248" t="inlineStr">
        <is>
          <t>HALMSTAD</t>
        </is>
      </c>
      <c r="I248" t="n">
        <v>4.5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s="2" t="inlineStr">
        <is>
          <t>Ljungögontröst</t>
        </is>
      </c>
      <c r="W248">
        <f>HYPERLINK("https://klasma.github.io/Logging_1380/artfynd/A 19588-2023 artfynd.xlsx", "A 19588-2023")</f>
        <v/>
      </c>
      <c r="X248">
        <f>HYPERLINK("https://klasma.github.io/Logging_1380/kartor/A 19588-2023 karta.png", "A 19588-2023")</f>
        <v/>
      </c>
      <c r="Y248">
        <f>HYPERLINK("https://klasma.github.io/Logging_1380/kartor_geotiff/A 19588-2023 georefererad karta.tif", "A 19588-2023")</f>
        <v/>
      </c>
      <c r="AA248">
        <f>HYPERLINK("https://klasma.github.io/Logging_1380/klagomål/A 19588-2023 FSC-klagomål.docx", "A 19588-2023")</f>
        <v/>
      </c>
      <c r="AB248">
        <f>HYPERLINK("https://klasma.github.io/Logging_1380/klagomålsmail/A 19588-2023 FSC-klagomål mail.docx", "A 19588-2023")</f>
        <v/>
      </c>
      <c r="AC248">
        <f>HYPERLINK("https://klasma.github.io/Logging_1380/tillsyn/A 19588-2023 tillsynsbegäran.docx", "A 19588-2023")</f>
        <v/>
      </c>
      <c r="AD248">
        <f>HYPERLINK("https://klasma.github.io/Logging_1380/tillsynsmail/A 19588-2023 tillsynsbegäran mail.docx", "A 19588-2023")</f>
        <v/>
      </c>
    </row>
    <row r="249" ht="15" customHeight="1">
      <c r="A249" t="inlineStr">
        <is>
          <t>A 42573-2022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44831</v>
      </c>
      <c r="E249" s="1" t="n">
        <v>46315</v>
      </c>
      <c r="F249" t="inlineStr">
        <is>
          <t>HALLANDS LÄN</t>
        </is>
      </c>
      <c r="G249" t="inlineStr">
        <is>
          <t>VARBERG</t>
        </is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s="2" t="inlineStr">
        <is>
          <t>Brun glada</t>
        </is>
      </c>
      <c r="W249">
        <f>HYPERLINK("https://klasma.github.io/Logging_1383/artfynd/A 42573-2022 artfynd.xlsx", "A 42573-2022")</f>
        <v/>
      </c>
      <c r="X249">
        <f>HYPERLINK("https://klasma.github.io/Logging_1383/kartor/A 42573-2022 karta.png", "A 42573-2022")</f>
        <v/>
      </c>
      <c r="Y249">
        <f>HYPERLINK("https://klasma.github.io/Logging_1383/kartor_geotiff/A 42573-2022 georefererad karta.tif", "A 42573-2022")</f>
        <v/>
      </c>
      <c r="AA249">
        <f>HYPERLINK("https://klasma.github.io/Logging_1383/klagomål/A 42573-2022 FSC-klagomål.docx", "A 42573-2022")</f>
        <v/>
      </c>
      <c r="AB249">
        <f>HYPERLINK("https://klasma.github.io/Logging_1383/klagomålsmail/A 42573-2022 FSC-klagomål mail.docx", "A 42573-2022")</f>
        <v/>
      </c>
      <c r="AC249">
        <f>HYPERLINK("https://klasma.github.io/Logging_1383/tillsyn/A 42573-2022 tillsynsbegäran.docx", "A 42573-2022")</f>
        <v/>
      </c>
      <c r="AD249">
        <f>HYPERLINK("https://klasma.github.io/Logging_1383/tillsynsmail/A 42573-2022 tillsynsbegäran mail.docx", "A 42573-2022")</f>
        <v/>
      </c>
      <c r="AE249">
        <f>HYPERLINK("https://klasma.github.io/Logging_1383/fåglar/A 42573-2022 prioriterade fågelarter.docx", "A 42573-2022")</f>
        <v/>
      </c>
    </row>
    <row r="250" ht="15" customHeight="1">
      <c r="A250" t="inlineStr">
        <is>
          <t>A 48972-2023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45209</v>
      </c>
      <c r="E250" s="1" t="n">
        <v>46315</v>
      </c>
      <c r="F250" t="inlineStr">
        <is>
          <t>HALLANDS LÄN</t>
        </is>
      </c>
      <c r="G250" t="inlineStr">
        <is>
          <t>LAHOLM</t>
        </is>
      </c>
      <c r="I250" t="n">
        <v>1.2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0</v>
      </c>
      <c r="V250" s="2" t="inlineStr">
        <is>
          <t>Svinrot</t>
        </is>
      </c>
      <c r="W250">
        <f>HYPERLINK("https://klasma.github.io/Logging_1381/artfynd/A 48972-2023 artfynd.xlsx", "A 48972-2023")</f>
        <v/>
      </c>
      <c r="X250">
        <f>HYPERLINK("https://klasma.github.io/Logging_1381/kartor/A 48972-2023 karta.png", "A 48972-2023")</f>
        <v/>
      </c>
      <c r="Y250">
        <f>HYPERLINK("https://klasma.github.io/Logging_1381/kartor_geotiff/A 48972-2023 georefererad karta.tif", "A 48972-2023")</f>
        <v/>
      </c>
      <c r="AA250">
        <f>HYPERLINK("https://klasma.github.io/Logging_1381/klagomål/A 48972-2023 FSC-klagomål.docx", "A 48972-2023")</f>
        <v/>
      </c>
      <c r="AB250">
        <f>HYPERLINK("https://klasma.github.io/Logging_1381/klagomålsmail/A 48972-2023 FSC-klagomål mail.docx", "A 48972-2023")</f>
        <v/>
      </c>
      <c r="AC250">
        <f>HYPERLINK("https://klasma.github.io/Logging_1381/tillsyn/A 48972-2023 tillsynsbegäran.docx", "A 48972-2023")</f>
        <v/>
      </c>
      <c r="AD250">
        <f>HYPERLINK("https://klasma.github.io/Logging_1381/tillsynsmail/A 48972-2023 tillsynsbegäran mail.docx", "A 48972-2023")</f>
        <v/>
      </c>
    </row>
    <row r="251" ht="15" customHeight="1">
      <c r="A251" t="inlineStr">
        <is>
          <t>A 24383-2023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45082</v>
      </c>
      <c r="E251" s="1" t="n">
        <v>46315</v>
      </c>
      <c r="F251" t="inlineStr">
        <is>
          <t>HALLANDS LÄN</t>
        </is>
      </c>
      <c r="G251" t="inlineStr">
        <is>
          <t>HALMSTAD</t>
        </is>
      </c>
      <c r="I251" t="n">
        <v>3.2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s="2" t="inlineStr">
        <is>
          <t>Kambräken</t>
        </is>
      </c>
      <c r="W251">
        <f>HYPERLINK("https://klasma.github.io/Logging_1380/artfynd/A 24383-2023 artfynd.xlsx", "A 24383-2023")</f>
        <v/>
      </c>
      <c r="X251">
        <f>HYPERLINK("https://klasma.github.io/Logging_1380/kartor/A 24383-2023 karta.png", "A 24383-2023")</f>
        <v/>
      </c>
      <c r="Y251">
        <f>HYPERLINK("https://klasma.github.io/Logging_1380/kartor_geotiff/A 24383-2023 georefererad karta.tif", "A 24383-2023")</f>
        <v/>
      </c>
      <c r="AA251">
        <f>HYPERLINK("https://klasma.github.io/Logging_1380/klagomål/A 24383-2023 FSC-klagomål.docx", "A 24383-2023")</f>
        <v/>
      </c>
      <c r="AB251">
        <f>HYPERLINK("https://klasma.github.io/Logging_1380/klagomålsmail/A 24383-2023 FSC-klagomål mail.docx", "A 24383-2023")</f>
        <v/>
      </c>
      <c r="AC251">
        <f>HYPERLINK("https://klasma.github.io/Logging_1380/tillsyn/A 24383-2023 tillsynsbegäran.docx", "A 24383-2023")</f>
        <v/>
      </c>
      <c r="AD251">
        <f>HYPERLINK("https://klasma.github.io/Logging_1380/tillsynsmail/A 24383-2023 tillsynsbegäran mail.docx", "A 24383-2023")</f>
        <v/>
      </c>
    </row>
    <row r="252" ht="15" customHeight="1">
      <c r="A252" t="inlineStr">
        <is>
          <t>A 16387-2023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45029</v>
      </c>
      <c r="E252" s="1" t="n">
        <v>46315</v>
      </c>
      <c r="F252" t="inlineStr">
        <is>
          <t>HALLANDS LÄN</t>
        </is>
      </c>
      <c r="G252" t="inlineStr">
        <is>
          <t>HALMSTAD</t>
        </is>
      </c>
      <c r="I252" t="n">
        <v>1.2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s="2" t="inlineStr">
        <is>
          <t>Orre</t>
        </is>
      </c>
      <c r="W252">
        <f>HYPERLINK("https://klasma.github.io/Logging_1380/artfynd/A 16387-2023 artfynd.xlsx", "A 16387-2023")</f>
        <v/>
      </c>
      <c r="X252">
        <f>HYPERLINK("https://klasma.github.io/Logging_1380/kartor/A 16387-2023 karta.png", "A 16387-2023")</f>
        <v/>
      </c>
      <c r="Y252">
        <f>HYPERLINK("https://klasma.github.io/Logging_1380/kartor_geotiff/A 16387-2023 georefererad karta.tif", "A 16387-2023")</f>
        <v/>
      </c>
      <c r="AA252">
        <f>HYPERLINK("https://klasma.github.io/Logging_1380/klagomål/A 16387-2023 FSC-klagomål.docx", "A 16387-2023")</f>
        <v/>
      </c>
      <c r="AB252">
        <f>HYPERLINK("https://klasma.github.io/Logging_1380/klagomålsmail/A 16387-2023 FSC-klagomål mail.docx", "A 16387-2023")</f>
        <v/>
      </c>
      <c r="AC252">
        <f>HYPERLINK("https://klasma.github.io/Logging_1380/tillsyn/A 16387-2023 tillsynsbegäran.docx", "A 16387-2023")</f>
        <v/>
      </c>
      <c r="AD252">
        <f>HYPERLINK("https://klasma.github.io/Logging_1380/tillsynsmail/A 16387-2023 tillsynsbegäran mail.docx", "A 16387-2023")</f>
        <v/>
      </c>
      <c r="AE252">
        <f>HYPERLINK("https://klasma.github.io/Logging_1380/fåglar/A 16387-2023 prioriterade fågelarter.docx", "A 16387-2023")</f>
        <v/>
      </c>
    </row>
    <row r="253" ht="15" customHeight="1">
      <c r="A253" t="inlineStr">
        <is>
          <t>A 21814-2023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45068</v>
      </c>
      <c r="E253" s="1" t="n">
        <v>46315</v>
      </c>
      <c r="F253" t="inlineStr">
        <is>
          <t>HALLANDS LÄN</t>
        </is>
      </c>
      <c r="G253" t="inlineStr">
        <is>
          <t>FALKENBERG</t>
        </is>
      </c>
      <c r="I253" t="n">
        <v>0.6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s="2" t="inlineStr">
        <is>
          <t>Hasselmus</t>
        </is>
      </c>
      <c r="W253">
        <f>HYPERLINK("https://klasma.github.io/Logging_1382/artfynd/A 21814-2023 artfynd.xlsx", "A 21814-2023")</f>
        <v/>
      </c>
      <c r="X253">
        <f>HYPERLINK("https://klasma.github.io/Logging_1382/kartor/A 21814-2023 karta.png", "A 21814-2023")</f>
        <v/>
      </c>
      <c r="Y253">
        <f>HYPERLINK("https://klasma.github.io/Logging_1382/kartor_geotiff/A 21814-2023 georefererad karta.tif", "A 21814-2023")</f>
        <v/>
      </c>
      <c r="AA253">
        <f>HYPERLINK("https://klasma.github.io/Logging_1382/klagomål/A 21814-2023 FSC-klagomål.docx", "A 21814-2023")</f>
        <v/>
      </c>
      <c r="AB253">
        <f>HYPERLINK("https://klasma.github.io/Logging_1382/klagomålsmail/A 21814-2023 FSC-klagomål mail.docx", "A 21814-2023")</f>
        <v/>
      </c>
      <c r="AC253">
        <f>HYPERLINK("https://klasma.github.io/Logging_1382/tillsyn/A 21814-2023 tillsynsbegäran.docx", "A 21814-2023")</f>
        <v/>
      </c>
      <c r="AD253">
        <f>HYPERLINK("https://klasma.github.io/Logging_1382/tillsynsmail/A 21814-2023 tillsynsbegäran mail.docx", "A 21814-2023")</f>
        <v/>
      </c>
    </row>
    <row r="254" ht="15" customHeight="1">
      <c r="A254" t="inlineStr">
        <is>
          <t>A 10063-2022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44621</v>
      </c>
      <c r="E254" s="1" t="n">
        <v>46315</v>
      </c>
      <c r="F254" t="inlineStr">
        <is>
          <t>HALLANDS LÄN</t>
        </is>
      </c>
      <c r="G254" t="inlineStr">
        <is>
          <t>HALMSTAD</t>
        </is>
      </c>
      <c r="I254" t="n">
        <v>3.7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s="2" t="inlineStr">
        <is>
          <t>Hasselmus</t>
        </is>
      </c>
      <c r="W254">
        <f>HYPERLINK("https://klasma.github.io/Logging_1380/artfynd/A 10063-2022 artfynd.xlsx", "A 10063-2022")</f>
        <v/>
      </c>
      <c r="X254">
        <f>HYPERLINK("https://klasma.github.io/Logging_1380/kartor/A 10063-2022 karta.png", "A 10063-2022")</f>
        <v/>
      </c>
      <c r="Y254">
        <f>HYPERLINK("https://klasma.github.io/Logging_1380/kartor_geotiff/A 10063-2022 georefererad karta.tif", "A 10063-2022")</f>
        <v/>
      </c>
      <c r="AA254">
        <f>HYPERLINK("https://klasma.github.io/Logging_1380/klagomål/A 10063-2022 FSC-klagomål.docx", "A 10063-2022")</f>
        <v/>
      </c>
      <c r="AB254">
        <f>HYPERLINK("https://klasma.github.io/Logging_1380/klagomålsmail/A 10063-2022 FSC-klagomål mail.docx", "A 10063-2022")</f>
        <v/>
      </c>
      <c r="AC254">
        <f>HYPERLINK("https://klasma.github.io/Logging_1380/tillsyn/A 10063-2022 tillsynsbegäran.docx", "A 10063-2022")</f>
        <v/>
      </c>
      <c r="AD254">
        <f>HYPERLINK("https://klasma.github.io/Logging_1380/tillsynsmail/A 10063-2022 tillsynsbegäran mail.docx", "A 10063-2022")</f>
        <v/>
      </c>
    </row>
    <row r="255" ht="15" customHeight="1">
      <c r="A255" t="inlineStr">
        <is>
          <t>A 12502-2025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45730</v>
      </c>
      <c r="E255" s="1" t="n">
        <v>46315</v>
      </c>
      <c r="F255" t="inlineStr">
        <is>
          <t>HALLANDS LÄN</t>
        </is>
      </c>
      <c r="G255" t="inlineStr">
        <is>
          <t>LAHOLM</t>
        </is>
      </c>
      <c r="I255" t="n">
        <v>1.1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s="2" t="inlineStr">
        <is>
          <t>Svinrot</t>
        </is>
      </c>
      <c r="W255">
        <f>HYPERLINK("https://klasma.github.io/Logging_1381/artfynd/A 12502-2025 artfynd.xlsx", "A 12502-2025")</f>
        <v/>
      </c>
      <c r="X255">
        <f>HYPERLINK("https://klasma.github.io/Logging_1381/kartor/A 12502-2025 karta.png", "A 12502-2025")</f>
        <v/>
      </c>
      <c r="Y255">
        <f>HYPERLINK("https://klasma.github.io/Logging_1381/kartor_geotiff/A 12502-2025 georefererad karta.tif", "A 12502-2025")</f>
        <v/>
      </c>
      <c r="AA255">
        <f>HYPERLINK("https://klasma.github.io/Logging_1381/klagomål/A 12502-2025 FSC-klagomål.docx", "A 12502-2025")</f>
        <v/>
      </c>
      <c r="AB255">
        <f>HYPERLINK("https://klasma.github.io/Logging_1381/klagomålsmail/A 12502-2025 FSC-klagomål mail.docx", "A 12502-2025")</f>
        <v/>
      </c>
      <c r="AC255">
        <f>HYPERLINK("https://klasma.github.io/Logging_1381/tillsyn/A 12502-2025 tillsynsbegäran.docx", "A 12502-2025")</f>
        <v/>
      </c>
      <c r="AD255">
        <f>HYPERLINK("https://klasma.github.io/Logging_1381/tillsynsmail/A 12502-2025 tillsynsbegäran mail.docx", "A 12502-2025")</f>
        <v/>
      </c>
    </row>
    <row r="256" ht="15" customHeight="1">
      <c r="A256" t="inlineStr">
        <is>
          <t>A 20419-2022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44699</v>
      </c>
      <c r="E256" s="1" t="n">
        <v>46315</v>
      </c>
      <c r="F256" t="inlineStr">
        <is>
          <t>HALLANDS LÄN</t>
        </is>
      </c>
      <c r="G256" t="inlineStr">
        <is>
          <t>HALMSTAD</t>
        </is>
      </c>
      <c r="H256" t="inlineStr">
        <is>
          <t>Kommuner</t>
        </is>
      </c>
      <c r="I256" t="n">
        <v>6.5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s="2" t="inlineStr">
        <is>
          <t>Slåttergubbe</t>
        </is>
      </c>
      <c r="W256">
        <f>HYPERLINK("https://klasma.github.io/Logging_1380/artfynd/A 20419-2022 artfynd.xlsx", "A 20419-2022")</f>
        <v/>
      </c>
      <c r="X256">
        <f>HYPERLINK("https://klasma.github.io/Logging_1380/kartor/A 20419-2022 karta.png", "A 20419-2022")</f>
        <v/>
      </c>
      <c r="Y256">
        <f>HYPERLINK("https://klasma.github.io/Logging_1380/kartor_geotiff/A 20419-2022 georefererad karta.tif", "A 20419-2022")</f>
        <v/>
      </c>
      <c r="AA256">
        <f>HYPERLINK("https://klasma.github.io/Logging_1380/klagomål/A 20419-2022 FSC-klagomål.docx", "A 20419-2022")</f>
        <v/>
      </c>
      <c r="AB256">
        <f>HYPERLINK("https://klasma.github.io/Logging_1380/klagomålsmail/A 20419-2022 FSC-klagomål mail.docx", "A 20419-2022")</f>
        <v/>
      </c>
      <c r="AC256">
        <f>HYPERLINK("https://klasma.github.io/Logging_1380/tillsyn/A 20419-2022 tillsynsbegäran.docx", "A 20419-2022")</f>
        <v/>
      </c>
      <c r="AD256">
        <f>HYPERLINK("https://klasma.github.io/Logging_1380/tillsynsmail/A 20419-2022 tillsynsbegäran mail.docx", "A 20419-2022")</f>
        <v/>
      </c>
    </row>
    <row r="257" ht="15" customHeight="1">
      <c r="A257" t="inlineStr">
        <is>
          <t>A 63247-2023</t>
        </is>
      </c>
      <c r="B257" t="inlineStr">
        <is>
          <t>avverkningsanmälan</t>
        </is>
      </c>
      <c r="C257" t="inlineStr">
        <is>
          <t>Avverkning för annat ändamål</t>
        </is>
      </c>
      <c r="D257" s="1" t="n">
        <v>45273</v>
      </c>
      <c r="E257" s="1" t="n">
        <v>46315</v>
      </c>
      <c r="F257" t="inlineStr">
        <is>
          <t>HALLANDS LÄN</t>
        </is>
      </c>
      <c r="G257" t="inlineStr">
        <is>
          <t>FALKENBERG</t>
        </is>
      </c>
      <c r="I257" t="n">
        <v>6.8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s="2" t="inlineStr">
        <is>
          <t>Myskbock</t>
        </is>
      </c>
      <c r="W257">
        <f>HYPERLINK("https://klasma.github.io/Logging_1382/artfynd/A 63247-2023 artfynd.xlsx", "A 63247-2023")</f>
        <v/>
      </c>
      <c r="X257">
        <f>HYPERLINK("https://klasma.github.io/Logging_1382/kartor/A 63247-2023 karta.png", "A 63247-2023")</f>
        <v/>
      </c>
      <c r="Y257">
        <f>HYPERLINK("https://klasma.github.io/Logging_1382/kartor_geotiff/A 63247-2023 georefererad karta.tif", "A 63247-2023")</f>
        <v/>
      </c>
      <c r="AA257">
        <f>HYPERLINK("https://klasma.github.io/Logging_1382/klagomål/A 63247-2023 FSC-klagomål.docx", "A 63247-2023")</f>
        <v/>
      </c>
      <c r="AB257">
        <f>HYPERLINK("https://klasma.github.io/Logging_1382/klagomålsmail/A 63247-2023 FSC-klagomål mail.docx", "A 63247-2023")</f>
        <v/>
      </c>
      <c r="AC257">
        <f>HYPERLINK("https://klasma.github.io/Logging_1382/tillsyn/A 63247-2023 tillsynsbegäran.docx", "A 63247-2023")</f>
        <v/>
      </c>
      <c r="AD257">
        <f>HYPERLINK("https://klasma.github.io/Logging_1382/tillsynsmail/A 63247-2023 tillsynsbegäran mail.docx", "A 63247-2023")</f>
        <v/>
      </c>
    </row>
    <row r="258" ht="15" customHeight="1">
      <c r="A258" t="inlineStr">
        <is>
          <t>A 37139-2025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45874</v>
      </c>
      <c r="E258" s="1" t="n">
        <v>46315</v>
      </c>
      <c r="F258" t="inlineStr">
        <is>
          <t>HALLANDS LÄN</t>
        </is>
      </c>
      <c r="G258" t="inlineStr">
        <is>
          <t>HALMSTAD</t>
        </is>
      </c>
      <c r="I258" t="n">
        <v>0.8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s="2" t="inlineStr">
        <is>
          <t>Kornknutmossa</t>
        </is>
      </c>
      <c r="W258">
        <f>HYPERLINK("https://klasma.github.io/Logging_1380/artfynd/A 37139-2025 artfynd.xlsx", "A 37139-2025")</f>
        <v/>
      </c>
      <c r="X258">
        <f>HYPERLINK("https://klasma.github.io/Logging_1380/kartor/A 37139-2025 karta.png", "A 37139-2025")</f>
        <v/>
      </c>
      <c r="Y258">
        <f>HYPERLINK("https://klasma.github.io/Logging_1380/kartor_geotiff/A 37139-2025 georefererad karta.tif", "A 37139-2025")</f>
        <v/>
      </c>
      <c r="AA258">
        <f>HYPERLINK("https://klasma.github.io/Logging_1380/klagomål/A 37139-2025 FSC-klagomål.docx", "A 37139-2025")</f>
        <v/>
      </c>
      <c r="AB258">
        <f>HYPERLINK("https://klasma.github.io/Logging_1380/klagomålsmail/A 37139-2025 FSC-klagomål mail.docx", "A 37139-2025")</f>
        <v/>
      </c>
      <c r="AC258">
        <f>HYPERLINK("https://klasma.github.io/Logging_1380/tillsyn/A 37139-2025 tillsynsbegäran.docx", "A 37139-2025")</f>
        <v/>
      </c>
      <c r="AD258">
        <f>HYPERLINK("https://klasma.github.io/Logging_1380/tillsynsmail/A 37139-2025 tillsynsbegäran mail.docx", "A 37139-2025")</f>
        <v/>
      </c>
    </row>
    <row r="259" ht="15" customHeight="1">
      <c r="A259" t="inlineStr">
        <is>
          <t>A 5240-2025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45692</v>
      </c>
      <c r="E259" s="1" t="n">
        <v>46315</v>
      </c>
      <c r="F259" t="inlineStr">
        <is>
          <t>HALLANDS LÄN</t>
        </is>
      </c>
      <c r="G259" t="inlineStr">
        <is>
          <t>HALMSTAD</t>
        </is>
      </c>
      <c r="I259" t="n">
        <v>8.300000000000001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s="2" t="inlineStr">
        <is>
          <t>Mussellav</t>
        </is>
      </c>
      <c r="W259">
        <f>HYPERLINK("https://klasma.github.io/Logging_1380/artfynd/A 5240-2025 artfynd.xlsx", "A 5240-2025")</f>
        <v/>
      </c>
      <c r="X259">
        <f>HYPERLINK("https://klasma.github.io/Logging_1380/kartor/A 5240-2025 karta.png", "A 5240-2025")</f>
        <v/>
      </c>
      <c r="Y259">
        <f>HYPERLINK("https://klasma.github.io/Logging_1380/kartor_geotiff/A 5240-2025 georefererad karta.tif", "A 5240-2025")</f>
        <v/>
      </c>
      <c r="AA259">
        <f>HYPERLINK("https://klasma.github.io/Logging_1380/klagomål/A 5240-2025 FSC-klagomål.docx", "A 5240-2025")</f>
        <v/>
      </c>
      <c r="AB259">
        <f>HYPERLINK("https://klasma.github.io/Logging_1380/klagomålsmail/A 5240-2025 FSC-klagomål mail.docx", "A 5240-2025")</f>
        <v/>
      </c>
      <c r="AC259">
        <f>HYPERLINK("https://klasma.github.io/Logging_1380/tillsyn/A 5240-2025 tillsynsbegäran.docx", "A 5240-2025")</f>
        <v/>
      </c>
      <c r="AD259">
        <f>HYPERLINK("https://klasma.github.io/Logging_1380/tillsynsmail/A 5240-2025 tillsynsbegäran mail.docx", "A 5240-2025")</f>
        <v/>
      </c>
    </row>
    <row r="260" ht="15" customHeight="1">
      <c r="A260" t="inlineStr">
        <is>
          <t>S 1760-2022</t>
        </is>
      </c>
      <c r="B260" t="inlineStr">
        <is>
          <t>samrådsanmälan</t>
        </is>
      </c>
      <c r="C260" t="inlineStr">
        <is>
          <t>Åtgärd i nyckelbiotop</t>
        </is>
      </c>
      <c r="D260" s="1" t="n">
        <v>44655</v>
      </c>
      <c r="E260" s="1" t="n">
        <v>46315</v>
      </c>
      <c r="F260" t="inlineStr">
        <is>
          <t>HALLANDS LÄN</t>
        </is>
      </c>
      <c r="G260" t="inlineStr">
        <is>
          <t>VARBERG</t>
        </is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s="2" t="inlineStr">
        <is>
          <t>Ask</t>
        </is>
      </c>
      <c r="W260">
        <f>HYPERLINK("https://klasma.github.io/Logging_1383/artfynd/S 1760-2022 artfynd.xlsx", "S 1760-2022")</f>
        <v/>
      </c>
      <c r="X260">
        <f>HYPERLINK("https://klasma.github.io/Logging_1383/kartor/S 1760-2022 karta.png", "S 1760-2022")</f>
        <v/>
      </c>
      <c r="Y260">
        <f>HYPERLINK("https://klasma.github.io/Logging_1383/kartor_geotiff/S 1760-2022 georefererad karta.tif", "S 1760-2022")</f>
        <v/>
      </c>
      <c r="AA260">
        <f>HYPERLINK("https://klasma.github.io/Logging_1383/klagomål/S 1760-2022 FSC-klagomål.docx", "S 1760-2022")</f>
        <v/>
      </c>
      <c r="AB260">
        <f>HYPERLINK("https://klasma.github.io/Logging_1383/klagomålsmail/S 1760-2022 FSC-klagomål mail.docx", "S 1760-2022")</f>
        <v/>
      </c>
      <c r="AC260">
        <f>HYPERLINK("https://klasma.github.io/Logging_1383/tillsyn/S 1760-2022 tillsynsbegäran.docx", "S 1760-2022")</f>
        <v/>
      </c>
      <c r="AD260">
        <f>HYPERLINK("https://klasma.github.io/Logging_1383/tillsynsmail/S 1760-2022 tillsynsbegäran mail.docx", "S 1760-2022")</f>
        <v/>
      </c>
    </row>
    <row r="261" ht="15" customHeight="1">
      <c r="A261" t="inlineStr">
        <is>
          <t>S 2755-2022</t>
        </is>
      </c>
      <c r="B261" t="inlineStr">
        <is>
          <t>samrådsanmälan</t>
        </is>
      </c>
      <c r="C261" t="inlineStr">
        <is>
          <t>Åtgärd i nyckelbiotop</t>
        </is>
      </c>
      <c r="D261" s="1" t="n">
        <v>44705</v>
      </c>
      <c r="E261" s="1" t="n">
        <v>46315</v>
      </c>
      <c r="F261" t="inlineStr">
        <is>
          <t>HALLANDS LÄN</t>
        </is>
      </c>
      <c r="G261" t="inlineStr">
        <is>
          <t>FALKENBERG</t>
        </is>
      </c>
      <c r="I261" t="n">
        <v>0.1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s="2" t="inlineStr">
        <is>
          <t>Rostfläck</t>
        </is>
      </c>
      <c r="W261">
        <f>HYPERLINK("https://klasma.github.io/Logging_1382/artfynd/S 2755-2022 artfynd.xlsx", "S 2755-2022")</f>
        <v/>
      </c>
      <c r="X261">
        <f>HYPERLINK("https://klasma.github.io/Logging_1382/kartor/S 2755-2022 karta.png", "S 2755-2022")</f>
        <v/>
      </c>
      <c r="Y261">
        <f>HYPERLINK("https://klasma.github.io/Logging_1382/kartor_geotiff/S 2755-2022 georefererad karta.tif", "S 2755-2022")</f>
        <v/>
      </c>
      <c r="AA261">
        <f>HYPERLINK("https://klasma.github.io/Logging_1382/klagomål/S 2755-2022 FSC-klagomål.docx", "S 2755-2022")</f>
        <v/>
      </c>
      <c r="AB261">
        <f>HYPERLINK("https://klasma.github.io/Logging_1382/klagomålsmail/S 2755-2022 FSC-klagomål mail.docx", "S 2755-2022")</f>
        <v/>
      </c>
      <c r="AC261">
        <f>HYPERLINK("https://klasma.github.io/Logging_1382/tillsyn/S 2755-2022 tillsynsbegäran.docx", "S 2755-2022")</f>
        <v/>
      </c>
      <c r="AD261">
        <f>HYPERLINK("https://klasma.github.io/Logging_1382/tillsynsmail/S 2755-2022 tillsynsbegäran mail.docx", "S 2755-2022")</f>
        <v/>
      </c>
    </row>
    <row r="262" ht="15" customHeight="1">
      <c r="A262" t="inlineStr">
        <is>
          <t>S 73-2024</t>
        </is>
      </c>
      <c r="B262" t="inlineStr">
        <is>
          <t>samrådsanmälan</t>
        </is>
      </c>
      <c r="C262" t="inlineStr">
        <is>
          <t>Askåterföring</t>
        </is>
      </c>
      <c r="D262" s="1" t="n">
        <v>45300</v>
      </c>
      <c r="E262" s="1" t="n">
        <v>46315</v>
      </c>
      <c r="F262" t="inlineStr">
        <is>
          <t>HALLANDS LÄN</t>
        </is>
      </c>
      <c r="G262" t="inlineStr">
        <is>
          <t>VARBERG</t>
        </is>
      </c>
      <c r="I262" t="n">
        <v>20.1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s="2" t="inlineStr">
        <is>
          <t>Tornseglare</t>
        </is>
      </c>
      <c r="W262">
        <f>HYPERLINK("https://klasma.github.io/Logging_1383/artfynd/S 73-2024 artfynd.xlsx", "S 73-2024")</f>
        <v/>
      </c>
      <c r="X262">
        <f>HYPERLINK("https://klasma.github.io/Logging_1383/kartor/S 73-2024 karta.png", "S 73-2024")</f>
        <v/>
      </c>
      <c r="Y262">
        <f>HYPERLINK("https://klasma.github.io/Logging_1383/kartor_geotiff/S 73-2024 georefererad karta.tif", "S 73-2024")</f>
        <v/>
      </c>
      <c r="AA262">
        <f>HYPERLINK("https://klasma.github.io/Logging_1383/klagomål/S 73-2024 FSC-klagomål.docx", "S 73-2024")</f>
        <v/>
      </c>
      <c r="AB262">
        <f>HYPERLINK("https://klasma.github.io/Logging_1383/klagomålsmail/S 73-2024 FSC-klagomål mail.docx", "S 73-2024")</f>
        <v/>
      </c>
      <c r="AC262">
        <f>HYPERLINK("https://klasma.github.io/Logging_1383/tillsyn/S 73-2024 tillsynsbegäran.docx", "S 73-2024")</f>
        <v/>
      </c>
      <c r="AD262">
        <f>HYPERLINK("https://klasma.github.io/Logging_1383/tillsynsmail/S 73-2024 tillsynsbegäran mail.docx", "S 73-2024")</f>
        <v/>
      </c>
      <c r="AE262">
        <f>HYPERLINK("https://klasma.github.io/Logging_1383/fåglar/S 73-2024 prioriterade fågelarter.docx", "S 73-2024")</f>
        <v/>
      </c>
    </row>
    <row r="263" ht="15" customHeight="1">
      <c r="A263" t="inlineStr">
        <is>
          <t>S 463-2023</t>
        </is>
      </c>
      <c r="B263" t="inlineStr">
        <is>
          <t>samrådsanmälan</t>
        </is>
      </c>
      <c r="C263" t="inlineStr">
        <is>
          <t>Annan skogsbruksåtgärd</t>
        </is>
      </c>
      <c r="D263" s="1" t="n">
        <v>44964</v>
      </c>
      <c r="E263" s="1" t="n">
        <v>46315</v>
      </c>
      <c r="F263" t="inlineStr">
        <is>
          <t>HALLANDS LÄN</t>
        </is>
      </c>
      <c r="G263" t="inlineStr">
        <is>
          <t>FALKENBERG</t>
        </is>
      </c>
      <c r="I263" t="n">
        <v>0.9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  <c r="T263" t="n">
        <v>2</v>
      </c>
      <c r="U263" t="n">
        <v>2</v>
      </c>
      <c r="V263" s="2" t="inlineStr">
        <is>
          <t>Vildris</t>
        </is>
      </c>
      <c r="W263">
        <f>HYPERLINK("https://klasma.github.io/Logging_1382/artfynd/S 463-2023 artfynd.xlsx", "S 463-2023")</f>
        <v/>
      </c>
      <c r="X263">
        <f>HYPERLINK("https://klasma.github.io/Logging_1382/kartor/S 463-2023 karta.png", "S 463-2023")</f>
        <v/>
      </c>
      <c r="Y263">
        <f>HYPERLINK("https://klasma.github.io/Logging_1382/kartor_geotiff/S 463-2023 georefererad karta.tif", "S 463-2023")</f>
        <v/>
      </c>
      <c r="AA263">
        <f>HYPERLINK("https://klasma.github.io/Logging_1382/klagomål/S 463-2023 FSC-klagomål.docx", "S 463-2023")</f>
        <v/>
      </c>
      <c r="AB263">
        <f>HYPERLINK("https://klasma.github.io/Logging_1382/klagomålsmail/S 463-2023 FSC-klagomål mail.docx", "S 463-2023")</f>
        <v/>
      </c>
      <c r="AC263">
        <f>HYPERLINK("https://klasma.github.io/Logging_1382/tillsyn/S 463-2023 tillsynsbegäran.docx", "S 463-2023")</f>
        <v/>
      </c>
      <c r="AD263">
        <f>HYPERLINK("https://klasma.github.io/Logging_1382/tillsynsmail/S 463-2023 tillsynsbegäran mail.docx", "S 463-2023")</f>
        <v/>
      </c>
    </row>
    <row r="264" ht="15" customHeight="1">
      <c r="A264" t="inlineStr">
        <is>
          <t>S 623-2024</t>
        </is>
      </c>
      <c r="B264" t="inlineStr">
        <is>
          <t>samrådsanmälan</t>
        </is>
      </c>
      <c r="C264" t="inlineStr">
        <is>
          <t>Askåterföring</t>
        </is>
      </c>
      <c r="D264" s="1" t="n">
        <v>45352</v>
      </c>
      <c r="E264" s="1" t="n">
        <v>46315</v>
      </c>
      <c r="F264" t="inlineStr">
        <is>
          <t>HALLANDS LÄN</t>
        </is>
      </c>
      <c r="G264" t="inlineStr">
        <is>
          <t>FALKENBERG</t>
        </is>
      </c>
      <c r="I264" t="n">
        <v>39.5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s="2" t="inlineStr">
        <is>
          <t>Vanlig snok</t>
        </is>
      </c>
      <c r="W264">
        <f>HYPERLINK("https://klasma.github.io/Logging_1382/artfynd/S 623-2024 artfynd.xlsx", "S 623-2024")</f>
        <v/>
      </c>
      <c r="X264">
        <f>HYPERLINK("https://klasma.github.io/Logging_1382/kartor/S 623-2024 karta.png", "S 623-2024")</f>
        <v/>
      </c>
      <c r="Y264">
        <f>HYPERLINK("https://klasma.github.io/Logging_1382/kartor_geotiff/S 623-2024 georefererad karta.tif", "S 623-2024")</f>
        <v/>
      </c>
      <c r="AA264">
        <f>HYPERLINK("https://klasma.github.io/Logging_1382/klagomål/S 623-2024 FSC-klagomål.docx", "S 623-2024")</f>
        <v/>
      </c>
      <c r="AB264">
        <f>HYPERLINK("https://klasma.github.io/Logging_1382/klagomålsmail/S 623-2024 FSC-klagomål mail.docx", "S 623-2024")</f>
        <v/>
      </c>
      <c r="AC264">
        <f>HYPERLINK("https://klasma.github.io/Logging_1382/tillsyn/S 623-2024 tillsynsbegäran.docx", "S 623-2024")</f>
        <v/>
      </c>
      <c r="AD264">
        <f>HYPERLINK("https://klasma.github.io/Logging_1382/tillsynsmail/S 623-2024 tillsynsbegäran mail.docx", "S 623-2024")</f>
        <v/>
      </c>
    </row>
    <row r="265" ht="15" customHeight="1">
      <c r="A265" t="inlineStr">
        <is>
          <t>S 627-2024</t>
        </is>
      </c>
      <c r="B265" t="inlineStr">
        <is>
          <t>samrådsanmälan</t>
        </is>
      </c>
      <c r="C265" t="inlineStr">
        <is>
          <t>Askåterföring</t>
        </is>
      </c>
      <c r="D265" s="1" t="n">
        <v>45352</v>
      </c>
      <c r="E265" s="1" t="n">
        <v>46315</v>
      </c>
      <c r="F265" t="inlineStr">
        <is>
          <t>HALLANDS LÄN</t>
        </is>
      </c>
      <c r="G265" t="inlineStr">
        <is>
          <t>FALKENBERG</t>
        </is>
      </c>
      <c r="I265" t="n">
        <v>38.4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2</v>
      </c>
      <c r="U265" t="n">
        <v>2</v>
      </c>
      <c r="V265" s="2" t="inlineStr">
        <is>
          <t>Röd glada</t>
        </is>
      </c>
      <c r="W265">
        <f>HYPERLINK("https://klasma.github.io/Logging_1382/artfynd/S 627-2024 artfynd.xlsx", "S 627-2024")</f>
        <v/>
      </c>
      <c r="X265">
        <f>HYPERLINK("https://klasma.github.io/Logging_1382/kartor/S 627-2024 karta.png", "S 627-2024")</f>
        <v/>
      </c>
      <c r="Y265">
        <f>HYPERLINK("https://klasma.github.io/Logging_1382/kartor_geotiff/S 627-2024 georefererad karta.tif", "S 627-2024")</f>
        <v/>
      </c>
      <c r="AA265">
        <f>HYPERLINK("https://klasma.github.io/Logging_1382/klagomål/S 627-2024 FSC-klagomål.docx", "S 627-2024")</f>
        <v/>
      </c>
      <c r="AB265">
        <f>HYPERLINK("https://klasma.github.io/Logging_1382/klagomålsmail/S 627-2024 FSC-klagomål mail.docx", "S 627-2024")</f>
        <v/>
      </c>
      <c r="AC265">
        <f>HYPERLINK("https://klasma.github.io/Logging_1382/tillsyn/S 627-2024 tillsynsbegäran.docx", "S 627-2024")</f>
        <v/>
      </c>
      <c r="AD265">
        <f>HYPERLINK("https://klasma.github.io/Logging_1382/tillsynsmail/S 627-2024 tillsynsbegäran mail.docx", "S 627-2024")</f>
        <v/>
      </c>
      <c r="AE265">
        <f>HYPERLINK("https://klasma.github.io/Logging_1382/fåglar/S 627-2024 prioriterade fågelarter.docx", "S 627-2024")</f>
        <v/>
      </c>
    </row>
    <row r="266" ht="15" customHeight="1">
      <c r="A266" t="inlineStr">
        <is>
          <t>S 2242-2024</t>
        </is>
      </c>
      <c r="B266" t="inlineStr">
        <is>
          <t>samrådsanmälan</t>
        </is>
      </c>
      <c r="C266" t="inlineStr">
        <is>
          <t>Askåterföring</t>
        </is>
      </c>
      <c r="D266" s="1" t="n">
        <v>45460</v>
      </c>
      <c r="E266" s="1" t="n">
        <v>46315</v>
      </c>
      <c r="F266" t="inlineStr">
        <is>
          <t>HALLANDS LÄN</t>
        </is>
      </c>
      <c r="G266" t="inlineStr">
        <is>
          <t>LAHOLM</t>
        </is>
      </c>
      <c r="H266" t="inlineStr">
        <is>
          <t>Kommuner</t>
        </is>
      </c>
      <c r="I266" t="n">
        <v>34.5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s="2" t="inlineStr">
        <is>
          <t>Källpraktmossa</t>
        </is>
      </c>
      <c r="W266">
        <f>HYPERLINK("https://klasma.github.io/Logging_1381/artfynd/S 2242-2024 artfynd.xlsx", "S 2242-2024")</f>
        <v/>
      </c>
      <c r="X266">
        <f>HYPERLINK("https://klasma.github.io/Logging_1381/kartor/S 2242-2024 karta.png", "S 2242-2024")</f>
        <v/>
      </c>
      <c r="Y266">
        <f>HYPERLINK("https://klasma.github.io/Logging_1381/kartor_geotiff/S 2242-2024 georefererad karta.tif", "S 2242-2024")</f>
        <v/>
      </c>
      <c r="AA266">
        <f>HYPERLINK("https://klasma.github.io/Logging_1381/klagomål/S 2242-2024 FSC-klagomål.docx", "S 2242-2024")</f>
        <v/>
      </c>
      <c r="AB266">
        <f>HYPERLINK("https://klasma.github.io/Logging_1381/klagomålsmail/S 2242-2024 FSC-klagomål mail.docx", "S 2242-2024")</f>
        <v/>
      </c>
      <c r="AC266">
        <f>HYPERLINK("https://klasma.github.io/Logging_1381/tillsyn/S 2242-2024 tillsynsbegäran.docx", "S 2242-2024")</f>
        <v/>
      </c>
      <c r="AD266">
        <f>HYPERLINK("https://klasma.github.io/Logging_1381/tillsynsmail/S 2242-2024 tillsynsbegäran mail.docx", "S 2242-2024")</f>
        <v/>
      </c>
    </row>
    <row r="267" ht="15" customHeight="1">
      <c r="A267" t="inlineStr">
        <is>
          <t>S 3693-2024</t>
        </is>
      </c>
      <c r="B267" t="inlineStr">
        <is>
          <t>samrådsanmälan</t>
        </is>
      </c>
      <c r="C267" t="inlineStr">
        <is>
          <t>Askåterföring</t>
        </is>
      </c>
      <c r="D267" s="1" t="n">
        <v>45552</v>
      </c>
      <c r="E267" s="1" t="n">
        <v>46315</v>
      </c>
      <c r="F267" t="inlineStr">
        <is>
          <t>HALLANDS LÄN</t>
        </is>
      </c>
      <c r="G267" t="inlineStr">
        <is>
          <t>LAHOLM</t>
        </is>
      </c>
      <c r="I267" t="n">
        <v>30.3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s="2" t="inlineStr">
        <is>
          <t>Armadillidium opacum</t>
        </is>
      </c>
      <c r="W267">
        <f>HYPERLINK("https://klasma.github.io/Logging_1381/artfynd/S 3693-2024 artfynd.xlsx", "S 3693-2024")</f>
        <v/>
      </c>
      <c r="X267">
        <f>HYPERLINK("https://klasma.github.io/Logging_1381/kartor/S 3693-2024 karta.png", "S 3693-2024")</f>
        <v/>
      </c>
      <c r="Y267">
        <f>HYPERLINK("https://klasma.github.io/Logging_1381/kartor_geotiff/S 3693-2024 georefererad karta.tif", "S 3693-2024")</f>
        <v/>
      </c>
      <c r="AA267">
        <f>HYPERLINK("https://klasma.github.io/Logging_1381/klagomål/S 3693-2024 FSC-klagomål.docx", "S 3693-2024")</f>
        <v/>
      </c>
      <c r="AB267">
        <f>HYPERLINK("https://klasma.github.io/Logging_1381/klagomålsmail/S 3693-2024 FSC-klagomål mail.docx", "S 3693-2024")</f>
        <v/>
      </c>
      <c r="AC267">
        <f>HYPERLINK("https://klasma.github.io/Logging_1381/tillsyn/S 3693-2024 tillsynsbegäran.docx", "S 3693-2024")</f>
        <v/>
      </c>
      <c r="AD267">
        <f>HYPERLINK("https://klasma.github.io/Logging_1381/tillsynsmail/S 3693-2024 tillsynsbegäran mail.docx", "S 3693-2024")</f>
        <v/>
      </c>
    </row>
    <row r="268" ht="15" customHeight="1">
      <c r="A268" t="inlineStr">
        <is>
          <t>S 555-2024</t>
        </is>
      </c>
      <c r="B268" t="inlineStr">
        <is>
          <t>samrådsanmälan</t>
        </is>
      </c>
      <c r="C268" t="inlineStr">
        <is>
          <t>Askåterföring</t>
        </is>
      </c>
      <c r="D268" s="1" t="n">
        <v>45349</v>
      </c>
      <c r="E268" s="1" t="n">
        <v>46315</v>
      </c>
      <c r="F268" t="inlineStr">
        <is>
          <t>HALLANDS LÄN</t>
        </is>
      </c>
      <c r="G268" t="inlineStr">
        <is>
          <t>FALKENBERG</t>
        </is>
      </c>
      <c r="I268" t="n">
        <v>33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s="2" t="inlineStr">
        <is>
          <t>Mindre vattensalamander</t>
        </is>
      </c>
      <c r="W268">
        <f>HYPERLINK("https://klasma.github.io/Logging_1382/artfynd/S 555-2024 artfynd.xlsx", "S 555-2024")</f>
        <v/>
      </c>
      <c r="X268">
        <f>HYPERLINK("https://klasma.github.io/Logging_1382/kartor/S 555-2024 karta.png", "S 555-2024")</f>
        <v/>
      </c>
      <c r="Y268">
        <f>HYPERLINK("https://klasma.github.io/Logging_1382/kartor_geotiff/S 555-2024 georefererad karta.tif", "S 555-2024")</f>
        <v/>
      </c>
      <c r="AA268">
        <f>HYPERLINK("https://klasma.github.io/Logging_1382/klagomål/S 555-2024 FSC-klagomål.docx", "S 555-2024")</f>
        <v/>
      </c>
      <c r="AB268">
        <f>HYPERLINK("https://klasma.github.io/Logging_1382/klagomålsmail/S 555-2024 FSC-klagomål mail.docx", "S 555-2024")</f>
        <v/>
      </c>
      <c r="AC268">
        <f>HYPERLINK("https://klasma.github.io/Logging_1382/tillsyn/S 555-2024 tillsynsbegäran.docx", "S 555-2024")</f>
        <v/>
      </c>
      <c r="AD268">
        <f>HYPERLINK("https://klasma.github.io/Logging_1382/tillsynsmail/S 555-2024 tillsynsbegäran mail.docx", "S 555-2024")</f>
        <v/>
      </c>
    </row>
    <row r="269" ht="15" customHeight="1">
      <c r="A269" t="inlineStr">
        <is>
          <t>S 4233-2023</t>
        </is>
      </c>
      <c r="B269" t="inlineStr">
        <is>
          <t>samrådsanmälan</t>
        </is>
      </c>
      <c r="C269" t="inlineStr">
        <is>
          <t>Annan skogsbruksåtgärd</t>
        </is>
      </c>
      <c r="D269" s="1" t="n">
        <v>45253</v>
      </c>
      <c r="E269" s="1" t="n">
        <v>46315</v>
      </c>
      <c r="F269" t="inlineStr">
        <is>
          <t>HALLANDS LÄN</t>
        </is>
      </c>
      <c r="G269" t="inlineStr">
        <is>
          <t>HYLTE</t>
        </is>
      </c>
      <c r="I269" t="n">
        <v>2.7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s="2" t="inlineStr">
        <is>
          <t>Blomskägglav</t>
        </is>
      </c>
      <c r="W269">
        <f>HYPERLINK("https://klasma.github.io/Logging_1315/artfynd/S 4233-2023 artfynd.xlsx", "S 4233-2023")</f>
        <v/>
      </c>
      <c r="X269">
        <f>HYPERLINK("https://klasma.github.io/Logging_1315/kartor/S 4233-2023 karta.png", "S 4233-2023")</f>
        <v/>
      </c>
      <c r="Y269">
        <f>HYPERLINK("https://klasma.github.io/Logging_1315/kartor_geotiff/S 4233-2023 georefererad karta.tif", "S 4233-2023")</f>
        <v/>
      </c>
      <c r="AA269">
        <f>HYPERLINK("https://klasma.github.io/Logging_1315/klagomål/S 4233-2023 FSC-klagomål.docx", "S 4233-2023")</f>
        <v/>
      </c>
      <c r="AB269">
        <f>HYPERLINK("https://klasma.github.io/Logging_1315/klagomålsmail/S 4233-2023 FSC-klagomål mail.docx", "S 4233-2023")</f>
        <v/>
      </c>
      <c r="AC269">
        <f>HYPERLINK("https://klasma.github.io/Logging_1315/tillsyn/S 4233-2023 tillsynsbegäran.docx", "S 4233-2023")</f>
        <v/>
      </c>
      <c r="AD269">
        <f>HYPERLINK("https://klasma.github.io/Logging_1315/tillsynsmail/S 4233-2023 tillsynsbegäran mail.docx", "S 4233-2023")</f>
        <v/>
      </c>
    </row>
    <row r="270" ht="15" customHeight="1">
      <c r="A270" t="inlineStr">
        <is>
          <t>S 76-2024</t>
        </is>
      </c>
      <c r="B270" t="inlineStr">
        <is>
          <t>samrådsanmälan</t>
        </is>
      </c>
      <c r="C270" t="inlineStr">
        <is>
          <t>Askåterföring</t>
        </is>
      </c>
      <c r="D270" s="1" t="n">
        <v>45300</v>
      </c>
      <c r="E270" s="1" t="n">
        <v>46315</v>
      </c>
      <c r="F270" t="inlineStr">
        <is>
          <t>HALLANDS LÄN</t>
        </is>
      </c>
      <c r="G270" t="inlineStr">
        <is>
          <t>VARBERG</t>
        </is>
      </c>
      <c r="I270" t="n">
        <v>27.6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s="2" t="inlineStr">
        <is>
          <t>Hasselmus</t>
        </is>
      </c>
      <c r="W270">
        <f>HYPERLINK("https://klasma.github.io/Logging_1383/artfynd/S 76-2024 artfynd.xlsx", "S 76-2024")</f>
        <v/>
      </c>
      <c r="X270">
        <f>HYPERLINK("https://klasma.github.io/Logging_1383/kartor/S 76-2024 karta.png", "S 76-2024")</f>
        <v/>
      </c>
      <c r="Y270">
        <f>HYPERLINK("https://klasma.github.io/Logging_1383/kartor_geotiff/S 76-2024 georefererad karta.tif", "S 76-2024")</f>
        <v/>
      </c>
      <c r="AA270">
        <f>HYPERLINK("https://klasma.github.io/Logging_1383/klagomål/S 76-2024 FSC-klagomål.docx", "S 76-2024")</f>
        <v/>
      </c>
      <c r="AB270">
        <f>HYPERLINK("https://klasma.github.io/Logging_1383/klagomålsmail/S 76-2024 FSC-klagomål mail.docx", "S 76-2024")</f>
        <v/>
      </c>
      <c r="AC270">
        <f>HYPERLINK("https://klasma.github.io/Logging_1383/tillsyn/S 76-2024 tillsynsbegäran.docx", "S 76-2024")</f>
        <v/>
      </c>
      <c r="AD270">
        <f>HYPERLINK("https://klasma.github.io/Logging_1383/tillsynsmail/S 76-2024 tillsynsbegäran mail.docx", "S 76-2024")</f>
        <v/>
      </c>
    </row>
    <row r="271" ht="15" customHeight="1">
      <c r="A271" t="inlineStr">
        <is>
          <t>S 295-2024</t>
        </is>
      </c>
      <c r="B271" t="inlineStr">
        <is>
          <t>samrådsanmälan</t>
        </is>
      </c>
      <c r="C271" t="inlineStr">
        <is>
          <t>Askåterföring</t>
        </is>
      </c>
      <c r="D271" s="1" t="n">
        <v>45324</v>
      </c>
      <c r="E271" s="1" t="n">
        <v>46315</v>
      </c>
      <c r="F271" t="inlineStr">
        <is>
          <t>HALLANDS LÄN</t>
        </is>
      </c>
      <c r="G271" t="inlineStr">
        <is>
          <t>VARBERG</t>
        </is>
      </c>
      <c r="I271" t="n">
        <v>18.7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s="2" t="inlineStr">
        <is>
          <t>Sparvuggla</t>
        </is>
      </c>
      <c r="W271">
        <f>HYPERLINK("https://klasma.github.io/Logging_1383/artfynd/S 295-2024 artfynd.xlsx", "S 295-2024")</f>
        <v/>
      </c>
      <c r="X271">
        <f>HYPERLINK("https://klasma.github.io/Logging_1383/kartor/S 295-2024 karta.png", "S 295-2024")</f>
        <v/>
      </c>
      <c r="Y271">
        <f>HYPERLINK("https://klasma.github.io/Logging_1383/kartor_geotiff/S 295-2024 georefererad karta.tif", "S 295-2024")</f>
        <v/>
      </c>
      <c r="AA271">
        <f>HYPERLINK("https://klasma.github.io/Logging_1383/klagomål/S 295-2024 FSC-klagomål.docx", "S 295-2024")</f>
        <v/>
      </c>
      <c r="AB271">
        <f>HYPERLINK("https://klasma.github.io/Logging_1383/klagomålsmail/S 295-2024 FSC-klagomål mail.docx", "S 295-2024")</f>
        <v/>
      </c>
      <c r="AC271">
        <f>HYPERLINK("https://klasma.github.io/Logging_1383/tillsyn/S 295-2024 tillsynsbegäran.docx", "S 295-2024")</f>
        <v/>
      </c>
      <c r="AD271">
        <f>HYPERLINK("https://klasma.github.io/Logging_1383/tillsynsmail/S 295-2024 tillsynsbegäran mail.docx", "S 295-2024")</f>
        <v/>
      </c>
      <c r="AE271">
        <f>HYPERLINK("https://klasma.github.io/Logging_1383/fåglar/S 295-2024 prioriterade fågelarter.docx", "S 295-2024")</f>
        <v/>
      </c>
    </row>
    <row r="272" ht="15" customHeight="1">
      <c r="A272" t="inlineStr">
        <is>
          <t>S 365-2024</t>
        </is>
      </c>
      <c r="B272" t="inlineStr">
        <is>
          <t>samrådsanmälan</t>
        </is>
      </c>
      <c r="C272" t="inlineStr">
        <is>
          <t>Annan skogsbruksåtgärd</t>
        </is>
      </c>
      <c r="D272" s="1" t="n">
        <v>45330</v>
      </c>
      <c r="E272" s="1" t="n">
        <v>46315</v>
      </c>
      <c r="F272" t="inlineStr">
        <is>
          <t>HALLANDS LÄN</t>
        </is>
      </c>
      <c r="G272" t="inlineStr">
        <is>
          <t>FALKENBERG</t>
        </is>
      </c>
      <c r="I272" t="n">
        <v>4.6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s="2" t="inlineStr">
        <is>
          <t>Nattskärra</t>
        </is>
      </c>
      <c r="W272">
        <f>HYPERLINK("https://klasma.github.io/Logging_1382/artfynd/S 365-2024 artfynd.xlsx", "S 365-2024")</f>
        <v/>
      </c>
      <c r="X272">
        <f>HYPERLINK("https://klasma.github.io/Logging_1382/kartor/S 365-2024 karta.png", "S 365-2024")</f>
        <v/>
      </c>
      <c r="Y272">
        <f>HYPERLINK("https://klasma.github.io/Logging_1382/kartor_geotiff/S 365-2024 georefererad karta.tif", "S 365-2024")</f>
        <v/>
      </c>
      <c r="AA272">
        <f>HYPERLINK("https://klasma.github.io/Logging_1382/klagomål/S 365-2024 FSC-klagomål.docx", "S 365-2024")</f>
        <v/>
      </c>
      <c r="AB272">
        <f>HYPERLINK("https://klasma.github.io/Logging_1382/klagomålsmail/S 365-2024 FSC-klagomål mail.docx", "S 365-2024")</f>
        <v/>
      </c>
      <c r="AC272">
        <f>HYPERLINK("https://klasma.github.io/Logging_1382/tillsyn/S 365-2024 tillsynsbegäran.docx", "S 365-2024")</f>
        <v/>
      </c>
      <c r="AD272">
        <f>HYPERLINK("https://klasma.github.io/Logging_1382/tillsynsmail/S 365-2024 tillsynsbegäran mail.docx", "S 365-2024")</f>
        <v/>
      </c>
      <c r="AE272">
        <f>HYPERLINK("https://klasma.github.io/Logging_1382/fåglar/S 365-2024 prioriterade fågelarter.docx", "S 365-2024")</f>
        <v/>
      </c>
    </row>
    <row r="273" ht="15" customHeight="1">
      <c r="A273" t="inlineStr">
        <is>
          <t>S 1120-2025</t>
        </is>
      </c>
      <c r="B273" t="inlineStr">
        <is>
          <t>samrådsanmälan</t>
        </is>
      </c>
      <c r="C273" t="inlineStr">
        <is>
          <t>Annan skogsbruksåtgärd</t>
        </is>
      </c>
      <c r="D273" s="1" t="n">
        <v>45754</v>
      </c>
      <c r="E273" s="1" t="n">
        <v>46315</v>
      </c>
      <c r="F273" t="inlineStr">
        <is>
          <t>HALLANDS LÄN</t>
        </is>
      </c>
      <c r="G273" t="inlineStr">
        <is>
          <t>HYLTE</t>
        </is>
      </c>
      <c r="I273" t="n">
        <v>0.5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s="2" t="inlineStr">
        <is>
          <t>Ask</t>
        </is>
      </c>
      <c r="W273">
        <f>HYPERLINK("https://klasma.github.io/Logging_1315/artfynd/S 1120-2025 artfynd.xlsx", "S 1120-2025")</f>
        <v/>
      </c>
      <c r="X273">
        <f>HYPERLINK("https://klasma.github.io/Logging_1315/kartor/S 1120-2025 karta.png", "S 1120-2025")</f>
        <v/>
      </c>
      <c r="Y273">
        <f>HYPERLINK("https://klasma.github.io/Logging_1315/kartor_geotiff/S 1120-2025 georefererad karta.tif", "S 1120-2025")</f>
        <v/>
      </c>
      <c r="AA273">
        <f>HYPERLINK("https://klasma.github.io/Logging_1315/klagomål/S 1120-2025 FSC-klagomål.docx", "S 1120-2025")</f>
        <v/>
      </c>
      <c r="AB273">
        <f>HYPERLINK("https://klasma.github.io/Logging_1315/klagomålsmail/S 1120-2025 FSC-klagomål mail.docx", "S 1120-2025")</f>
        <v/>
      </c>
      <c r="AC273">
        <f>HYPERLINK("https://klasma.github.io/Logging_1315/tillsyn/S 1120-2025 tillsynsbegäran.docx", "S 1120-2025")</f>
        <v/>
      </c>
      <c r="AD273">
        <f>HYPERLINK("https://klasma.github.io/Logging_1315/tillsynsmail/S 1120-2025 tillsynsbegäran mail.docx", "S 1120-2025")</f>
        <v/>
      </c>
    </row>
    <row r="274" ht="15" customHeight="1">
      <c r="A274" t="inlineStr">
        <is>
          <t>S 770-2025</t>
        </is>
      </c>
      <c r="B274" t="inlineStr">
        <is>
          <t>samrådsanmälan</t>
        </is>
      </c>
      <c r="C274" t="inlineStr">
        <is>
          <t>Askåterföring</t>
        </is>
      </c>
      <c r="D274" s="1" t="n">
        <v>45727</v>
      </c>
      <c r="E274" s="1" t="n">
        <v>46315</v>
      </c>
      <c r="F274" t="inlineStr">
        <is>
          <t>HALLANDS LÄN</t>
        </is>
      </c>
      <c r="G274" t="inlineStr">
        <is>
          <t>LAHOLM</t>
        </is>
      </c>
      <c r="I274" t="n">
        <v>31.1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s="2" t="inlineStr">
        <is>
          <t>Armadillidium opacum</t>
        </is>
      </c>
      <c r="W274">
        <f>HYPERLINK("https://klasma.github.io/Logging_1381/artfynd/S 770-2025 artfynd.xlsx", "S 770-2025")</f>
        <v/>
      </c>
      <c r="X274">
        <f>HYPERLINK("https://klasma.github.io/Logging_1381/kartor/S 770-2025 karta.png", "S 770-2025")</f>
        <v/>
      </c>
      <c r="Y274">
        <f>HYPERLINK("https://klasma.github.io/Logging_1381/kartor_geotiff/S 770-2025 georefererad karta.tif", "S 770-2025")</f>
        <v/>
      </c>
      <c r="AA274">
        <f>HYPERLINK("https://klasma.github.io/Logging_1381/klagomål/S 770-2025 FSC-klagomål.docx", "S 770-2025")</f>
        <v/>
      </c>
      <c r="AB274">
        <f>HYPERLINK("https://klasma.github.io/Logging_1381/klagomålsmail/S 770-2025 FSC-klagomål mail.docx", "S 770-2025")</f>
        <v/>
      </c>
      <c r="AC274">
        <f>HYPERLINK("https://klasma.github.io/Logging_1381/tillsyn/S 770-2025 tillsynsbegäran.docx", "S 770-2025")</f>
        <v/>
      </c>
      <c r="AD274">
        <f>HYPERLINK("https://klasma.github.io/Logging_1381/tillsynsmail/S 770-2025 tillsynsbegäran mail.docx", "S 770-2025")</f>
        <v/>
      </c>
    </row>
    <row r="275" ht="15" customHeight="1">
      <c r="A275" t="inlineStr">
        <is>
          <t>S 9701-2021</t>
        </is>
      </c>
      <c r="B275" t="inlineStr">
        <is>
          <t>samrådsanmälan</t>
        </is>
      </c>
      <c r="C275" t="inlineStr">
        <is>
          <t>Annan skogsbruksåtgärd</t>
        </is>
      </c>
      <c r="D275" s="1" t="n">
        <v>44526</v>
      </c>
      <c r="E275" s="1" t="n">
        <v>46315</v>
      </c>
      <c r="F275" t="inlineStr">
        <is>
          <t>HALLANDS LÄN</t>
        </is>
      </c>
      <c r="G275" t="inlineStr">
        <is>
          <t>LAHOLM</t>
        </is>
      </c>
      <c r="I275" t="n">
        <v>2.1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s="2" t="inlineStr">
        <is>
          <t>Röd glada</t>
        </is>
      </c>
      <c r="W275">
        <f>HYPERLINK("https://klasma.github.io/Logging_1381/artfynd/S 9701-2021 artfynd.xlsx", "S 9701-2021")</f>
        <v/>
      </c>
      <c r="X275">
        <f>HYPERLINK("https://klasma.github.io/Logging_1381/kartor/S 9701-2021 karta.png", "S 9701-2021")</f>
        <v/>
      </c>
      <c r="Y275">
        <f>HYPERLINK("https://klasma.github.io/Logging_1381/kartor_geotiff/S 9701-2021 georefererad karta.tif", "S 9701-2021")</f>
        <v/>
      </c>
      <c r="AA275">
        <f>HYPERLINK("https://klasma.github.io/Logging_1381/klagomål/S 9701-2021 FSC-klagomål.docx", "S 9701-2021")</f>
        <v/>
      </c>
      <c r="AB275">
        <f>HYPERLINK("https://klasma.github.io/Logging_1381/klagomålsmail/S 9701-2021 FSC-klagomål mail.docx", "S 9701-2021")</f>
        <v/>
      </c>
      <c r="AC275">
        <f>HYPERLINK("https://klasma.github.io/Logging_1381/tillsyn/S 9701-2021 tillsynsbegäran.docx", "S 9701-2021")</f>
        <v/>
      </c>
      <c r="AD275">
        <f>HYPERLINK("https://klasma.github.io/Logging_1381/tillsynsmail/S 9701-2021 tillsynsbegäran mail.docx", "S 9701-2021")</f>
        <v/>
      </c>
      <c r="AE275">
        <f>HYPERLINK("https://klasma.github.io/Logging_1381/fåglar/S 9701-2021 prioriterade fågelarter.docx", "S 9701-2021")</f>
        <v/>
      </c>
    </row>
    <row r="276" ht="15" customHeight="1">
      <c r="A276" t="inlineStr">
        <is>
          <t>S 2301-2025</t>
        </is>
      </c>
      <c r="B276" t="inlineStr">
        <is>
          <t>samrådsanmälan</t>
        </is>
      </c>
      <c r="C276" t="inlineStr">
        <is>
          <t>Askåterföring</t>
        </is>
      </c>
      <c r="D276" s="1" t="n">
        <v>45880</v>
      </c>
      <c r="E276" s="1" t="n">
        <v>46315</v>
      </c>
      <c r="F276" t="inlineStr">
        <is>
          <t>HALLANDS LÄN</t>
        </is>
      </c>
      <c r="G276" t="inlineStr">
        <is>
          <t>LAHOLM</t>
        </is>
      </c>
      <c r="I276" t="n">
        <v>10.5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s="2" t="inlineStr">
        <is>
          <t>Ask</t>
        </is>
      </c>
      <c r="W276">
        <f>HYPERLINK("https://klasma.github.io/Logging_1381/artfynd/S 2301-2025 artfynd.xlsx", "S 2301-2025")</f>
        <v/>
      </c>
      <c r="X276">
        <f>HYPERLINK("https://klasma.github.io/Logging_1381/kartor/S 2301-2025 karta.png", "S 2301-2025")</f>
        <v/>
      </c>
      <c r="Y276">
        <f>HYPERLINK("https://klasma.github.io/Logging_1381/kartor_geotiff/S 2301-2025 georefererad karta.tif", "S 2301-2025")</f>
        <v/>
      </c>
      <c r="AA276">
        <f>HYPERLINK("https://klasma.github.io/Logging_1381/klagomål/S 2301-2025 FSC-klagomål.docx", "S 2301-2025")</f>
        <v/>
      </c>
      <c r="AB276">
        <f>HYPERLINK("https://klasma.github.io/Logging_1381/klagomålsmail/S 2301-2025 FSC-klagomål mail.docx", "S 2301-2025")</f>
        <v/>
      </c>
      <c r="AC276">
        <f>HYPERLINK("https://klasma.github.io/Logging_1381/tillsyn/S 2301-2025 tillsynsbegäran.docx", "S 2301-2025")</f>
        <v/>
      </c>
      <c r="AD276">
        <f>HYPERLINK("https://klasma.github.io/Logging_1381/tillsynsmail/S 2301-2025 tillsynsbegäran mail.docx", "S 2301-2025")</f>
        <v/>
      </c>
    </row>
    <row r="277" ht="15" customHeight="1">
      <c r="A277" t="inlineStr">
        <is>
          <t>S 2587-2025</t>
        </is>
      </c>
      <c r="B277" t="inlineStr">
        <is>
          <t>samrådsanmälan</t>
        </is>
      </c>
      <c r="C277" t="inlineStr">
        <is>
          <t>Askåterföring</t>
        </is>
      </c>
      <c r="D277" s="1" t="n">
        <v>45915</v>
      </c>
      <c r="E277" s="1" t="n">
        <v>46315</v>
      </c>
      <c r="F277" t="inlineStr">
        <is>
          <t>HALLANDS LÄN</t>
        </is>
      </c>
      <c r="G277" t="inlineStr">
        <is>
          <t>HALMSTAD</t>
        </is>
      </c>
      <c r="H277" t="inlineStr">
        <is>
          <t>Kyrkan</t>
        </is>
      </c>
      <c r="I277" t="n">
        <v>14.8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s="2" t="inlineStr">
        <is>
          <t>Lungrot</t>
        </is>
      </c>
      <c r="W277">
        <f>HYPERLINK("https://klasma.github.io/Logging_1380/artfynd/S 2587-2025 artfynd.xlsx", "S 2587-2025")</f>
        <v/>
      </c>
      <c r="X277">
        <f>HYPERLINK("https://klasma.github.io/Logging_1380/kartor/S 2587-2025 karta.png", "S 2587-2025")</f>
        <v/>
      </c>
      <c r="Y277">
        <f>HYPERLINK("https://klasma.github.io/Logging_1380/kartor_geotiff/S 2587-2025 georefererad karta.tif", "S 2587-2025")</f>
        <v/>
      </c>
      <c r="AA277">
        <f>HYPERLINK("https://klasma.github.io/Logging_1380/klagomål/S 2587-2025 FSC-klagomål.docx", "S 2587-2025")</f>
        <v/>
      </c>
      <c r="AB277">
        <f>HYPERLINK("https://klasma.github.io/Logging_1380/klagomålsmail/S 2587-2025 FSC-klagomål mail.docx", "S 2587-2025")</f>
        <v/>
      </c>
      <c r="AC277">
        <f>HYPERLINK("https://klasma.github.io/Logging_1380/tillsyn/S 2587-2025 tillsynsbegäran.docx", "S 2587-2025")</f>
        <v/>
      </c>
      <c r="AD277">
        <f>HYPERLINK("https://klasma.github.io/Logging_1380/tillsynsmail/S 2587-2025 tillsynsbegäran mail.docx", "S 2587-2025")</f>
        <v/>
      </c>
    </row>
    <row r="278" ht="15" customHeight="1">
      <c r="A278" t="inlineStr">
        <is>
          <t>S 2876-2025</t>
        </is>
      </c>
      <c r="B278" t="inlineStr">
        <is>
          <t>samrådsanmälan</t>
        </is>
      </c>
      <c r="C278" t="inlineStr">
        <is>
          <t>Annan skogsbruksåtgärd</t>
        </is>
      </c>
      <c r="D278" s="1" t="n">
        <v>45945</v>
      </c>
      <c r="E278" s="1" t="n">
        <v>46315</v>
      </c>
      <c r="F278" t="inlineStr">
        <is>
          <t>HALLANDS LÄN</t>
        </is>
      </c>
      <c r="G278" t="inlineStr">
        <is>
          <t>FALKENBERG</t>
        </is>
      </c>
      <c r="I278" t="n">
        <v>3.4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21</v>
      </c>
      <c r="U278" t="n">
        <v>0</v>
      </c>
      <c r="V278" s="2" t="inlineStr">
        <is>
          <t>Ask</t>
        </is>
      </c>
      <c r="W278">
        <f>HYPERLINK("https://klasma.github.io/Logging_1382/artfynd/S 2876-2025 artfynd.xlsx", "S 2876-2025")</f>
        <v/>
      </c>
      <c r="X278">
        <f>HYPERLINK("https://klasma.github.io/Logging_1382/kartor/S 2876-2025 karta.png", "S 2876-2025")</f>
        <v/>
      </c>
      <c r="Y278">
        <f>HYPERLINK("https://klasma.github.io/Logging_1382/kartor_geotiff/S 2876-2025 georefererad karta.tif", "S 2876-2025")</f>
        <v/>
      </c>
      <c r="AA278">
        <f>HYPERLINK("https://klasma.github.io/Logging_1382/klagomål/S 2876-2025 FSC-klagomål.docx", "S 2876-2025")</f>
        <v/>
      </c>
      <c r="AB278">
        <f>HYPERLINK("https://klasma.github.io/Logging_1382/klagomålsmail/S 2876-2025 FSC-klagomål mail.docx", "S 2876-2025")</f>
        <v/>
      </c>
      <c r="AC278">
        <f>HYPERLINK("https://klasma.github.io/Logging_1382/tillsyn/S 2876-2025 tillsynsbegäran.docx", "S 2876-2025")</f>
        <v/>
      </c>
      <c r="AD278">
        <f>HYPERLINK("https://klasma.github.io/Logging_1382/tillsynsmail/S 2876-2025 tillsynsbegäran mail.docx", "S 2876-2025")</f>
        <v/>
      </c>
    </row>
    <row r="279" ht="15" customHeight="1">
      <c r="A279" t="inlineStr">
        <is>
          <t>S 324-2026</t>
        </is>
      </c>
      <c r="B279" t="inlineStr">
        <is>
          <t>samrådsanmälan</t>
        </is>
      </c>
      <c r="C279" t="inlineStr">
        <is>
          <t>Annan skogsbruksåtgärd</t>
        </is>
      </c>
      <c r="D279" s="1" t="n">
        <v>46062</v>
      </c>
      <c r="E279" s="1" t="n">
        <v>46315</v>
      </c>
      <c r="F279" t="inlineStr">
        <is>
          <t>HALLANDS LÄN</t>
        </is>
      </c>
      <c r="G279" t="inlineStr">
        <is>
          <t>LAHOLM</t>
        </is>
      </c>
      <c r="I279" t="n">
        <v>0.9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s="2" t="inlineStr">
        <is>
          <t>Skogsalm</t>
        </is>
      </c>
      <c r="W279">
        <f>HYPERLINK("https://klasma.github.io/Logging_1381/artfynd/S 324-2026 artfynd.xlsx", "S 324-2026")</f>
        <v/>
      </c>
      <c r="X279">
        <f>HYPERLINK("https://klasma.github.io/Logging_1381/kartor/S 324-2026 karta.png", "S 324-2026")</f>
        <v/>
      </c>
      <c r="Y279">
        <f>HYPERLINK("https://klasma.github.io/Logging_1381/kartor_geotiff/S 324-2026 georefererad karta.tif", "S 324-2026")</f>
        <v/>
      </c>
      <c r="AA279">
        <f>HYPERLINK("https://klasma.github.io/Logging_1381/klagomål/S 324-2026 FSC-klagomål.docx", "S 324-2026")</f>
        <v/>
      </c>
      <c r="AB279">
        <f>HYPERLINK("https://klasma.github.io/Logging_1381/klagomålsmail/S 324-2026 FSC-klagomål mail.docx", "S 324-2026")</f>
        <v/>
      </c>
      <c r="AC279">
        <f>HYPERLINK("https://klasma.github.io/Logging_1381/tillsyn/S 324-2026 tillsynsbegäran.docx", "S 324-2026")</f>
        <v/>
      </c>
      <c r="AD279">
        <f>HYPERLINK("https://klasma.github.io/Logging_1381/tillsynsmail/S 324-2026 tillsynsbegäran mail.docx", "S 324-2026")</f>
        <v/>
      </c>
    </row>
    <row r="280" ht="15" customHeight="1">
      <c r="A280" t="inlineStr">
        <is>
          <t>S 781-2026</t>
        </is>
      </c>
      <c r="B280" t="inlineStr">
        <is>
          <t>samrådsanmälan</t>
        </is>
      </c>
      <c r="C280" t="inlineStr">
        <is>
          <t>Annan skogsbruksåtgärd</t>
        </is>
      </c>
      <c r="D280" s="1" t="n">
        <v>46099</v>
      </c>
      <c r="E280" s="1" t="n">
        <v>46315</v>
      </c>
      <c r="F280" t="inlineStr">
        <is>
          <t>HALLANDS LÄN</t>
        </is>
      </c>
      <c r="G280" t="inlineStr">
        <is>
          <t>FALKENBERG</t>
        </is>
      </c>
      <c r="I280" t="n">
        <v>4.9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4</v>
      </c>
      <c r="U280" t="n">
        <v>0</v>
      </c>
      <c r="V280" s="2" t="inlineStr">
        <is>
          <t>Ask</t>
        </is>
      </c>
      <c r="W280">
        <f>HYPERLINK("https://klasma.github.io/Logging_1382/artfynd/S 781-2026 artfynd.xlsx", "S 781-2026")</f>
        <v/>
      </c>
      <c r="X280">
        <f>HYPERLINK("https://klasma.github.io/Logging_1382/kartor/S 781-2026 karta.png", "S 781-2026")</f>
        <v/>
      </c>
      <c r="Y280">
        <f>HYPERLINK("https://klasma.github.io/Logging_1382/kartor_geotiff/S 781-2026 georefererad karta.tif", "S 781-2026")</f>
        <v/>
      </c>
      <c r="AA280">
        <f>HYPERLINK("https://klasma.github.io/Logging_1382/klagomål/S 781-2026 FSC-klagomål.docx", "S 781-2026")</f>
        <v/>
      </c>
      <c r="AB280">
        <f>HYPERLINK("https://klasma.github.io/Logging_1382/klagomålsmail/S 781-2026 FSC-klagomål mail.docx", "S 781-2026")</f>
        <v/>
      </c>
      <c r="AC280">
        <f>HYPERLINK("https://klasma.github.io/Logging_1382/tillsyn/S 781-2026 tillsynsbegäran.docx", "S 781-2026")</f>
        <v/>
      </c>
      <c r="AD280">
        <f>HYPERLINK("https://klasma.github.io/Logging_1382/tillsynsmail/S 781-2026 tillsynsbegäran mail.docx", "S 781-2026")</f>
        <v/>
      </c>
    </row>
    <row r="281" ht="15" customHeight="1">
      <c r="A281" t="inlineStr">
        <is>
          <t>S 1001-2026</t>
        </is>
      </c>
      <c r="B281" t="inlineStr">
        <is>
          <t>samrådsanmälan</t>
        </is>
      </c>
      <c r="C281" t="inlineStr">
        <is>
          <t>Annan skogsbruksåtgärd</t>
        </is>
      </c>
      <c r="D281" s="1" t="n">
        <v>46120</v>
      </c>
      <c r="E281" s="1" t="n">
        <v>46315</v>
      </c>
      <c r="F281" t="inlineStr">
        <is>
          <t>HALLANDS LÄN</t>
        </is>
      </c>
      <c r="G281" t="inlineStr">
        <is>
          <t>LAHOLM</t>
        </is>
      </c>
      <c r="I281" t="n">
        <v>0.5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s="2" t="inlineStr">
        <is>
          <t>Öring</t>
        </is>
      </c>
      <c r="W281">
        <f>HYPERLINK("https://klasma.github.io/Logging_1381/artfynd/S 1001-2026 artfynd.xlsx", "S 1001-2026")</f>
        <v/>
      </c>
      <c r="X281">
        <f>HYPERLINK("https://klasma.github.io/Logging_1381/kartor/S 1001-2026 karta.png", "S 1001-2026")</f>
        <v/>
      </c>
      <c r="Y281">
        <f>HYPERLINK("https://klasma.github.io/Logging_1381/kartor_geotiff/S 1001-2026 georefererad karta.tif", "S 1001-2026")</f>
        <v/>
      </c>
      <c r="AA281">
        <f>HYPERLINK("https://klasma.github.io/Logging_1381/klagomål/S 1001-2026 FSC-klagomål.docx", "S 1001-2026")</f>
        <v/>
      </c>
      <c r="AB281">
        <f>HYPERLINK("https://klasma.github.io/Logging_1381/klagomålsmail/S 1001-2026 FSC-klagomål mail.docx", "S 1001-2026")</f>
        <v/>
      </c>
      <c r="AC281">
        <f>HYPERLINK("https://klasma.github.io/Logging_1381/tillsyn/S 1001-2026 tillsynsbegäran.docx", "S 1001-2026")</f>
        <v/>
      </c>
      <c r="AD281">
        <f>HYPERLINK("https://klasma.github.io/Logging_1381/tillsynsmail/S 1001-2026 tillsynsbegäran mail.docx", "S 1001-2026")</f>
        <v/>
      </c>
    </row>
    <row r="282" ht="15" customHeight="1">
      <c r="A282" t="inlineStr">
        <is>
          <t>S 1115-2026</t>
        </is>
      </c>
      <c r="B282" t="inlineStr">
        <is>
          <t>samrådsanmälan</t>
        </is>
      </c>
      <c r="C282" t="inlineStr">
        <is>
          <t>Askåterföring</t>
        </is>
      </c>
      <c r="D282" s="1" t="n">
        <v>46134</v>
      </c>
      <c r="E282" s="1" t="n">
        <v>46315</v>
      </c>
      <c r="F282" t="inlineStr">
        <is>
          <t>HALLANDS LÄN</t>
        </is>
      </c>
      <c r="G282" t="inlineStr">
        <is>
          <t>LAHOLM</t>
        </is>
      </c>
      <c r="I282" t="n">
        <v>20.2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s="2" t="inlineStr">
        <is>
          <t>Gröngöling</t>
        </is>
      </c>
      <c r="W282">
        <f>HYPERLINK("https://klasma.github.io/Logging_1381/artfynd/S 1115-2026 artfynd.xlsx", "S 1115-2026")</f>
        <v/>
      </c>
      <c r="X282">
        <f>HYPERLINK("https://klasma.github.io/Logging_1381/kartor/S 1115-2026 karta.png", "S 1115-2026")</f>
        <v/>
      </c>
      <c r="Y282">
        <f>HYPERLINK("https://klasma.github.io/Logging_1381/kartor_geotiff/S 1115-2026 georefererad karta.tif", "S 1115-2026")</f>
        <v/>
      </c>
      <c r="AA282">
        <f>HYPERLINK("https://klasma.github.io/Logging_1381/klagomål/S 1115-2026 FSC-klagomål.docx", "S 1115-2026")</f>
        <v/>
      </c>
      <c r="AB282">
        <f>HYPERLINK("https://klasma.github.io/Logging_1381/klagomålsmail/S 1115-2026 FSC-klagomål mail.docx", "S 1115-2026")</f>
        <v/>
      </c>
      <c r="AC282">
        <f>HYPERLINK("https://klasma.github.io/Logging_1381/tillsyn/S 1115-2026 tillsynsbegäran.docx", "S 1115-2026")</f>
        <v/>
      </c>
      <c r="AD282">
        <f>HYPERLINK("https://klasma.github.io/Logging_1381/tillsynsmail/S 1115-2026 tillsynsbegäran mail.docx", "S 1115-2026")</f>
        <v/>
      </c>
    </row>
    <row r="283" ht="15" customHeight="1">
      <c r="A283" t="inlineStr">
        <is>
          <t>S 1213-2026</t>
        </is>
      </c>
      <c r="B283" t="inlineStr">
        <is>
          <t>samrådsanmälan</t>
        </is>
      </c>
      <c r="C283" t="inlineStr">
        <is>
          <t>Askåterföring</t>
        </is>
      </c>
      <c r="D283" s="1" t="n">
        <v>46141</v>
      </c>
      <c r="E283" s="1" t="n">
        <v>46315</v>
      </c>
      <c r="F283" t="inlineStr">
        <is>
          <t>HALLANDS LÄN</t>
        </is>
      </c>
      <c r="G283" t="inlineStr">
        <is>
          <t>HALMSTAD</t>
        </is>
      </c>
      <c r="I283" t="n">
        <v>50.7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2</v>
      </c>
      <c r="U283" t="n">
        <v>0</v>
      </c>
      <c r="V283" s="2" t="inlineStr">
        <is>
          <t>Borsttåg</t>
        </is>
      </c>
      <c r="W283">
        <f>HYPERLINK("https://klasma.github.io/Logging_1380/artfynd/S 1213-2026 artfynd.xlsx", "S 1213-2026")</f>
        <v/>
      </c>
      <c r="X283">
        <f>HYPERLINK("https://klasma.github.io/Logging_1380/kartor/S 1213-2026 karta.png", "S 1213-2026")</f>
        <v/>
      </c>
      <c r="Y283">
        <f>HYPERLINK("https://klasma.github.io/Logging_1380/kartor_geotiff/S 1213-2026 georefererad karta.tif", "S 1213-2026")</f>
        <v/>
      </c>
      <c r="AA283">
        <f>HYPERLINK("https://klasma.github.io/Logging_1380/klagomål/S 1213-2026 FSC-klagomål.docx", "S 1213-2026")</f>
        <v/>
      </c>
      <c r="AB283">
        <f>HYPERLINK("https://klasma.github.io/Logging_1380/klagomålsmail/S 1213-2026 FSC-klagomål mail.docx", "S 1213-2026")</f>
        <v/>
      </c>
      <c r="AC283">
        <f>HYPERLINK("https://klasma.github.io/Logging_1380/tillsyn/S 1213-2026 tillsynsbegäran.docx", "S 1213-2026")</f>
        <v/>
      </c>
      <c r="AD283">
        <f>HYPERLINK("https://klasma.github.io/Logging_1380/tillsynsmail/S 1213-2026 tillsynsbegäran mail.docx", "S 1213-2026")</f>
        <v/>
      </c>
    </row>
    <row r="284" ht="15" customHeight="1">
      <c r="A284" t="inlineStr">
        <is>
          <t>S 2184-2026</t>
        </is>
      </c>
      <c r="B284" t="inlineStr">
        <is>
          <t>samrådsanmälan</t>
        </is>
      </c>
      <c r="C284" t="inlineStr">
        <is>
          <t>Askåterföring</t>
        </is>
      </c>
      <c r="D284" s="1" t="n">
        <v>46253</v>
      </c>
      <c r="E284" s="1" t="n">
        <v>46315</v>
      </c>
      <c r="F284" t="inlineStr">
        <is>
          <t>HALLANDS LÄN</t>
        </is>
      </c>
      <c r="G284" t="inlineStr">
        <is>
          <t>HYLTE</t>
        </is>
      </c>
      <c r="H284" t="inlineStr">
        <is>
          <t>Bergvik skog väst AB</t>
        </is>
      </c>
      <c r="I284" t="n">
        <v>29.6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2</v>
      </c>
      <c r="U284" t="n">
        <v>0</v>
      </c>
      <c r="V284" s="2" t="inlineStr">
        <is>
          <t>Hasselmus</t>
        </is>
      </c>
      <c r="W284">
        <f>HYPERLINK("https://klasma.github.io/Logging_1315/artfynd/S 2184-2026 artfynd.xlsx", "S 2184-2026")</f>
        <v/>
      </c>
      <c r="X284">
        <f>HYPERLINK("https://klasma.github.io/Logging_1315/kartor/S 2184-2026 karta.png", "S 2184-2026")</f>
        <v/>
      </c>
      <c r="Y284">
        <f>HYPERLINK("https://klasma.github.io/Logging_1315/kartor_geotiff/S 2184-2026 georefererad karta.tif", "S 2184-2026")</f>
        <v/>
      </c>
      <c r="AA284">
        <f>HYPERLINK("https://klasma.github.io/Logging_1315/klagomål/S 2184-2026 FSC-klagomål.docx", "S 2184-2026")</f>
        <v/>
      </c>
      <c r="AB284">
        <f>HYPERLINK("https://klasma.github.io/Logging_1315/klagomålsmail/S 2184-2026 FSC-klagomål mail.docx", "S 2184-2026")</f>
        <v/>
      </c>
      <c r="AC284">
        <f>HYPERLINK("https://klasma.github.io/Logging_1315/tillsyn/S 2184-2026 tillsynsbegäran.docx", "S 2184-2026")</f>
        <v/>
      </c>
      <c r="AD284">
        <f>HYPERLINK("https://klasma.github.io/Logging_1315/tillsynsmail/S 2184-2026 tillsynsbegäran mail.docx", "S 2184-2026")</f>
        <v/>
      </c>
    </row>
    <row r="285" ht="15" customHeight="1">
      <c r="A285" t="inlineStr">
        <is>
          <t>S 2703-2026</t>
        </is>
      </c>
      <c r="B285" t="inlineStr">
        <is>
          <t>samrådsanmälan</t>
        </is>
      </c>
      <c r="C285" t="inlineStr">
        <is>
          <t>Annan skogsbruksåtgärd</t>
        </is>
      </c>
      <c r="D285" s="1" t="n">
        <v>46314</v>
      </c>
      <c r="E285" s="1" t="n">
        <v>46315</v>
      </c>
      <c r="F285" t="inlineStr">
        <is>
          <t>HALLANDS LÄN</t>
        </is>
      </c>
      <c r="G285" t="inlineStr">
        <is>
          <t>HALMSTAD</t>
        </is>
      </c>
      <c r="I285" t="n">
        <v>1.2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s="2" t="inlineStr">
        <is>
          <t>Korallrot</t>
        </is>
      </c>
      <c r="W285">
        <f>HYPERLINK("https://klasma.github.io/Logging_1380/artfynd/S 2703-2026 artfynd.xlsx", "S 2703-2026")</f>
        <v/>
      </c>
      <c r="X285">
        <f>HYPERLINK("https://klasma.github.io/Logging_1380/kartor/S 2703-2026 karta.png", "S 2703-2026")</f>
        <v/>
      </c>
      <c r="Y285">
        <f>HYPERLINK("https://klasma.github.io/Logging_1380/kartor_geotiff/S 2703-2026 georefererad karta.tif", "S 2703-2026")</f>
        <v/>
      </c>
      <c r="AA285">
        <f>HYPERLINK("https://klasma.github.io/Logging_1380/klagomål/S 2703-2026 FSC-klagomål.docx", "S 2703-2026")</f>
        <v/>
      </c>
      <c r="AB285">
        <f>HYPERLINK("https://klasma.github.io/Logging_1380/klagomålsmail/S 2703-2026 FSC-klagomål mail.docx", "S 2703-2026")</f>
        <v/>
      </c>
      <c r="AC285">
        <f>HYPERLINK("https://klasma.github.io/Logging_1380/tillsyn/S 2703-2026 tillsynsbegäran.docx", "S 2703-2026")</f>
        <v/>
      </c>
      <c r="AD285">
        <f>HYPERLINK("https://klasma.github.io/Logging_1380/tillsynsmail/S 2703-2026 tillsynsbegäran mail.docx", "S 2703-2026")</f>
        <v/>
      </c>
    </row>
    <row r="286" ht="15" customHeight="1">
      <c r="A286" t="inlineStr">
        <is>
          <t>A 36995-2022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44806</v>
      </c>
      <c r="E286" s="1" t="n">
        <v>46315</v>
      </c>
      <c r="F286" t="inlineStr">
        <is>
          <t>HALLANDS LÄN</t>
        </is>
      </c>
      <c r="G286" t="inlineStr">
        <is>
          <t>FALKENBERG</t>
        </is>
      </c>
      <c r="I286" t="n">
        <v>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29839-2022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44756</v>
      </c>
      <c r="E287" s="1" t="n">
        <v>46315</v>
      </c>
      <c r="F287" t="inlineStr">
        <is>
          <t>HALLANDS LÄN</t>
        </is>
      </c>
      <c r="G287" t="inlineStr">
        <is>
          <t>HALMSTAD</t>
        </is>
      </c>
      <c r="I287" t="n">
        <v>0.8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36670-2022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44804</v>
      </c>
      <c r="E288" s="1" t="n">
        <v>46315</v>
      </c>
      <c r="F288" t="inlineStr">
        <is>
          <t>HALLANDS LÄN</t>
        </is>
      </c>
      <c r="G288" t="inlineStr">
        <is>
          <t>KUNGSBACKA</t>
        </is>
      </c>
      <c r="I288" t="n">
        <v>4.1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51708-2022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44872</v>
      </c>
      <c r="E289" s="1" t="n">
        <v>46315</v>
      </c>
      <c r="F289" t="inlineStr">
        <is>
          <t>HALLANDS LÄN</t>
        </is>
      </c>
      <c r="G289" t="inlineStr">
        <is>
          <t>HALMSTAD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21350-2022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44705</v>
      </c>
      <c r="E290" s="1" t="n">
        <v>46315</v>
      </c>
      <c r="F290" t="inlineStr">
        <is>
          <t>HALLANDS LÄN</t>
        </is>
      </c>
      <c r="G290" t="inlineStr">
        <is>
          <t>HALMSTAD</t>
        </is>
      </c>
      <c r="I290" t="n">
        <v>3.4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37606-2022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44810</v>
      </c>
      <c r="E291" s="1" t="n">
        <v>46315</v>
      </c>
      <c r="F291" t="inlineStr">
        <is>
          <t>HALLANDS LÄN</t>
        </is>
      </c>
      <c r="G291" t="inlineStr">
        <is>
          <t>HYLTE</t>
        </is>
      </c>
      <c r="I291" t="n">
        <v>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23913-2022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44722</v>
      </c>
      <c r="E292" s="1" t="n">
        <v>46315</v>
      </c>
      <c r="F292" t="inlineStr">
        <is>
          <t>HALLANDS LÄN</t>
        </is>
      </c>
      <c r="G292" t="inlineStr">
        <is>
          <t>VARBERG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11852-2022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44635</v>
      </c>
      <c r="E293" s="1" t="n">
        <v>46315</v>
      </c>
      <c r="F293" t="inlineStr">
        <is>
          <t>HALLANDS LÄN</t>
        </is>
      </c>
      <c r="G293" t="inlineStr">
        <is>
          <t>VARBERG</t>
        </is>
      </c>
      <c r="I293" t="n">
        <v>9.5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28831-2022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44749</v>
      </c>
      <c r="E294" s="1" t="n">
        <v>46315</v>
      </c>
      <c r="F294" t="inlineStr">
        <is>
          <t>HALLANDS LÄN</t>
        </is>
      </c>
      <c r="G294" t="inlineStr">
        <is>
          <t>LAHOLM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7593-2022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44607</v>
      </c>
      <c r="E295" s="1" t="n">
        <v>46315</v>
      </c>
      <c r="F295" t="inlineStr">
        <is>
          <t>HALLANDS LÄN</t>
        </is>
      </c>
      <c r="G295" t="inlineStr">
        <is>
          <t>FALKENBERG</t>
        </is>
      </c>
      <c r="I295" t="n">
        <v>1.7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15707-2022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44663</v>
      </c>
      <c r="E296" s="1" t="n">
        <v>46315</v>
      </c>
      <c r="F296" t="inlineStr">
        <is>
          <t>HALLANDS LÄN</t>
        </is>
      </c>
      <c r="G296" t="inlineStr">
        <is>
          <t>LAHOLM</t>
        </is>
      </c>
      <c r="I296" t="n">
        <v>9.6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73934-2021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44553</v>
      </c>
      <c r="E297" s="1" t="n">
        <v>46315</v>
      </c>
      <c r="F297" t="inlineStr">
        <is>
          <t>HALLANDS LÄN</t>
        </is>
      </c>
      <c r="G297" t="inlineStr">
        <is>
          <t>FALKENBERG</t>
        </is>
      </c>
      <c r="I297" t="n">
        <v>8.1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70634-2021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44537</v>
      </c>
      <c r="E298" s="1" t="n">
        <v>46315</v>
      </c>
      <c r="F298" t="inlineStr">
        <is>
          <t>HALLANDS LÄN</t>
        </is>
      </c>
      <c r="G298" t="inlineStr">
        <is>
          <t>KUNGSBACKA</t>
        </is>
      </c>
      <c r="I298" t="n">
        <v>0.8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6415-2022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44600</v>
      </c>
      <c r="E299" s="1" t="n">
        <v>46315</v>
      </c>
      <c r="F299" t="inlineStr">
        <is>
          <t>HALLANDS LÄN</t>
        </is>
      </c>
      <c r="G299" t="inlineStr">
        <is>
          <t>HYLTE</t>
        </is>
      </c>
      <c r="I299" t="n">
        <v>0.4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68652-2021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44529</v>
      </c>
      <c r="E300" s="1" t="n">
        <v>46315</v>
      </c>
      <c r="F300" t="inlineStr">
        <is>
          <t>HALLANDS LÄN</t>
        </is>
      </c>
      <c r="G300" t="inlineStr">
        <is>
          <t>HYLTE</t>
        </is>
      </c>
      <c r="I300" t="n">
        <v>4.2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74045-2021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44557</v>
      </c>
      <c r="E301" s="1" t="n">
        <v>46315</v>
      </c>
      <c r="F301" t="inlineStr">
        <is>
          <t>HALLANDS LÄN</t>
        </is>
      </c>
      <c r="G301" t="inlineStr">
        <is>
          <t>HYLTE</t>
        </is>
      </c>
      <c r="I301" t="n">
        <v>5.1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71761-2021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44539</v>
      </c>
      <c r="E302" s="1" t="n">
        <v>46315</v>
      </c>
      <c r="F302" t="inlineStr">
        <is>
          <t>HALLANDS LÄN</t>
        </is>
      </c>
      <c r="G302" t="inlineStr">
        <is>
          <t>FALKENBERG</t>
        </is>
      </c>
      <c r="I302" t="n">
        <v>6.8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9002-2022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44615</v>
      </c>
      <c r="E303" s="1" t="n">
        <v>46315</v>
      </c>
      <c r="F303" t="inlineStr">
        <is>
          <t>HALLANDS LÄN</t>
        </is>
      </c>
      <c r="G303" t="inlineStr">
        <is>
          <t>VARBERG</t>
        </is>
      </c>
      <c r="I303" t="n">
        <v>4.2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17067-2022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44677</v>
      </c>
      <c r="E304" s="1" t="n">
        <v>46315</v>
      </c>
      <c r="F304" t="inlineStr">
        <is>
          <t>HALLANDS LÄN</t>
        </is>
      </c>
      <c r="G304" t="inlineStr">
        <is>
          <t>HALMSTAD</t>
        </is>
      </c>
      <c r="I304" t="n">
        <v>1.6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34922-2022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44796</v>
      </c>
      <c r="E305" s="1" t="n">
        <v>46315</v>
      </c>
      <c r="F305" t="inlineStr">
        <is>
          <t>HALLANDS LÄN</t>
        </is>
      </c>
      <c r="G305" t="inlineStr">
        <is>
          <t>HALMSTAD</t>
        </is>
      </c>
      <c r="I305" t="n">
        <v>0.5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21306-2022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44705</v>
      </c>
      <c r="E306" s="1" t="n">
        <v>46315</v>
      </c>
      <c r="F306" t="inlineStr">
        <is>
          <t>HALLANDS LÄN</t>
        </is>
      </c>
      <c r="G306" t="inlineStr">
        <is>
          <t>HYLTE</t>
        </is>
      </c>
      <c r="I306" t="n">
        <v>0.9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51054-2022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44868</v>
      </c>
      <c r="E307" s="1" t="n">
        <v>46315</v>
      </c>
      <c r="F307" t="inlineStr">
        <is>
          <t>HALLANDS LÄN</t>
        </is>
      </c>
      <c r="G307" t="inlineStr">
        <is>
          <t>FALKENBERG</t>
        </is>
      </c>
      <c r="I307" t="n">
        <v>8.199999999999999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32052-2022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44778</v>
      </c>
      <c r="E308" s="1" t="n">
        <v>46315</v>
      </c>
      <c r="F308" t="inlineStr">
        <is>
          <t>HALLANDS LÄN</t>
        </is>
      </c>
      <c r="G308" t="inlineStr">
        <is>
          <t>HYLTE</t>
        </is>
      </c>
      <c r="I308" t="n">
        <v>1.8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22015-2022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44711</v>
      </c>
      <c r="E309" s="1" t="n">
        <v>46315</v>
      </c>
      <c r="F309" t="inlineStr">
        <is>
          <t>HALLANDS LÄN</t>
        </is>
      </c>
      <c r="G309" t="inlineStr">
        <is>
          <t>HALMSTAD</t>
        </is>
      </c>
      <c r="I309" t="n">
        <v>2.6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52102-2022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44873</v>
      </c>
      <c r="E310" s="1" t="n">
        <v>46315</v>
      </c>
      <c r="F310" t="inlineStr">
        <is>
          <t>HALLANDS LÄN</t>
        </is>
      </c>
      <c r="G310" t="inlineStr">
        <is>
          <t>HALMSTAD</t>
        </is>
      </c>
      <c r="I310" t="n">
        <v>0.6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52110-2022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44873</v>
      </c>
      <c r="E311" s="1" t="n">
        <v>46315</v>
      </c>
      <c r="F311" t="inlineStr">
        <is>
          <t>HALLANDS LÄN</t>
        </is>
      </c>
      <c r="G311" t="inlineStr">
        <is>
          <t>LAHOLM</t>
        </is>
      </c>
      <c r="I311" t="n">
        <v>0.3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10635-2022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44624</v>
      </c>
      <c r="E312" s="1" t="n">
        <v>46315</v>
      </c>
      <c r="F312" t="inlineStr">
        <is>
          <t>HALLANDS LÄN</t>
        </is>
      </c>
      <c r="G312" t="inlineStr">
        <is>
          <t>HYLTE</t>
        </is>
      </c>
      <c r="I312" t="n">
        <v>0.6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38170-2022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44812</v>
      </c>
      <c r="E313" s="1" t="n">
        <v>46315</v>
      </c>
      <c r="F313" t="inlineStr">
        <is>
          <t>HALLANDS LÄN</t>
        </is>
      </c>
      <c r="G313" t="inlineStr">
        <is>
          <t>HYLTE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12550-2022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44638</v>
      </c>
      <c r="E314" s="1" t="n">
        <v>46315</v>
      </c>
      <c r="F314" t="inlineStr">
        <is>
          <t>HALLANDS LÄN</t>
        </is>
      </c>
      <c r="G314" t="inlineStr">
        <is>
          <t>HYLTE</t>
        </is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17702-2022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44680</v>
      </c>
      <c r="E315" s="1" t="n">
        <v>46315</v>
      </c>
      <c r="F315" t="inlineStr">
        <is>
          <t>HALLANDS LÄN</t>
        </is>
      </c>
      <c r="G315" t="inlineStr">
        <is>
          <t>FALKENBERG</t>
        </is>
      </c>
      <c r="I315" t="n">
        <v>2.8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61226-2021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44498</v>
      </c>
      <c r="E316" s="1" t="n">
        <v>46315</v>
      </c>
      <c r="F316" t="inlineStr">
        <is>
          <t>HALLANDS LÄN</t>
        </is>
      </c>
      <c r="G316" t="inlineStr">
        <is>
          <t>HYLTE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45453-2022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44845</v>
      </c>
      <c r="E317" s="1" t="n">
        <v>46315</v>
      </c>
      <c r="F317" t="inlineStr">
        <is>
          <t>HALLANDS LÄN</t>
        </is>
      </c>
      <c r="G317" t="inlineStr">
        <is>
          <t>HYLTE</t>
        </is>
      </c>
      <c r="I317" t="n">
        <v>0.5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6316-2022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44600</v>
      </c>
      <c r="E318" s="1" t="n">
        <v>46315</v>
      </c>
      <c r="F318" t="inlineStr">
        <is>
          <t>HALLANDS LÄN</t>
        </is>
      </c>
      <c r="G318" t="inlineStr">
        <is>
          <t>FALKENBERG</t>
        </is>
      </c>
      <c r="I318" t="n">
        <v>1.6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51037-2022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44868</v>
      </c>
      <c r="E319" s="1" t="n">
        <v>46315</v>
      </c>
      <c r="F319" t="inlineStr">
        <is>
          <t>HALLANDS LÄN</t>
        </is>
      </c>
      <c r="G319" t="inlineStr">
        <is>
          <t>FALKENBERG</t>
        </is>
      </c>
      <c r="I319" t="n">
        <v>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63613-2021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44509</v>
      </c>
      <c r="E320" s="1" t="n">
        <v>46315</v>
      </c>
      <c r="F320" t="inlineStr">
        <is>
          <t>HALLANDS LÄN</t>
        </is>
      </c>
      <c r="G320" t="inlineStr">
        <is>
          <t>VARBERG</t>
        </is>
      </c>
      <c r="I320" t="n">
        <v>2.9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1907-2022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44575</v>
      </c>
      <c r="E321" s="1" t="n">
        <v>46315</v>
      </c>
      <c r="F321" t="inlineStr">
        <is>
          <t>HALLANDS LÄN</t>
        </is>
      </c>
      <c r="G321" t="inlineStr">
        <is>
          <t>VARBERG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65528-2021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44516</v>
      </c>
      <c r="E322" s="1" t="n">
        <v>46315</v>
      </c>
      <c r="F322" t="inlineStr">
        <is>
          <t>HALLANDS LÄN</t>
        </is>
      </c>
      <c r="G322" t="inlineStr">
        <is>
          <t>HALMSTAD</t>
        </is>
      </c>
      <c r="I322" t="n">
        <v>1.7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50726-2022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44867</v>
      </c>
      <c r="E323" s="1" t="n">
        <v>46315</v>
      </c>
      <c r="F323" t="inlineStr">
        <is>
          <t>HALLANDS LÄN</t>
        </is>
      </c>
      <c r="G323" t="inlineStr">
        <is>
          <t>FALKENBERG</t>
        </is>
      </c>
      <c r="I323" t="n">
        <v>0.4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70731-2021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44537</v>
      </c>
      <c r="E324" s="1" t="n">
        <v>46315</v>
      </c>
      <c r="F324" t="inlineStr">
        <is>
          <t>HALLANDS LÄN</t>
        </is>
      </c>
      <c r="G324" t="inlineStr">
        <is>
          <t>HALMSTAD</t>
        </is>
      </c>
      <c r="H324" t="inlineStr">
        <is>
          <t>Kyrkan</t>
        </is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38804-2022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44816</v>
      </c>
      <c r="E325" s="1" t="n">
        <v>46315</v>
      </c>
      <c r="F325" t="inlineStr">
        <is>
          <t>HALLANDS LÄN</t>
        </is>
      </c>
      <c r="G325" t="inlineStr">
        <is>
          <t>FALKENBERG</t>
        </is>
      </c>
      <c r="I325" t="n">
        <v>3.8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8610-2022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44613</v>
      </c>
      <c r="E326" s="1" t="n">
        <v>46315</v>
      </c>
      <c r="F326" t="inlineStr">
        <is>
          <t>HALLANDS LÄN</t>
        </is>
      </c>
      <c r="G326" t="inlineStr">
        <is>
          <t>FALKENBERG</t>
        </is>
      </c>
      <c r="I326" t="n">
        <v>4.1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49697-2022</t>
        </is>
      </c>
      <c r="B327" t="inlineStr">
        <is>
          <t>avverkningsanmälan</t>
        </is>
      </c>
      <c r="C327" t="inlineStr">
        <is>
          <t>Avverkning för annat ändamål</t>
        </is>
      </c>
      <c r="D327" s="1" t="n">
        <v>44862</v>
      </c>
      <c r="E327" s="1" t="n">
        <v>46315</v>
      </c>
      <c r="F327" t="inlineStr">
        <is>
          <t>HALLANDS LÄN</t>
        </is>
      </c>
      <c r="G327" t="inlineStr">
        <is>
          <t>VARBERG</t>
        </is>
      </c>
      <c r="I327" t="n">
        <v>0.8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18774-2022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44689</v>
      </c>
      <c r="E328" s="1" t="n">
        <v>46315</v>
      </c>
      <c r="F328" t="inlineStr">
        <is>
          <t>HALLANDS LÄN</t>
        </is>
      </c>
      <c r="G328" t="inlineStr">
        <is>
          <t>FALKENBERG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62059-2021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44504</v>
      </c>
      <c r="E329" s="1" t="n">
        <v>46315</v>
      </c>
      <c r="F329" t="inlineStr">
        <is>
          <t>HALLANDS LÄN</t>
        </is>
      </c>
      <c r="G329" t="inlineStr">
        <is>
          <t>VARBERG</t>
        </is>
      </c>
      <c r="I329" t="n">
        <v>2.4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74365-2021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44559</v>
      </c>
      <c r="E330" s="1" t="n">
        <v>46315</v>
      </c>
      <c r="F330" t="inlineStr">
        <is>
          <t>HALLANDS LÄN</t>
        </is>
      </c>
      <c r="G330" t="inlineStr">
        <is>
          <t>HYLTE</t>
        </is>
      </c>
      <c r="I330" t="n">
        <v>2.1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70335-2021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44536</v>
      </c>
      <c r="E331" s="1" t="n">
        <v>46315</v>
      </c>
      <c r="F331" t="inlineStr">
        <is>
          <t>HALLANDS LÄN</t>
        </is>
      </c>
      <c r="G331" t="inlineStr">
        <is>
          <t>HALMSTAD</t>
        </is>
      </c>
      <c r="I331" t="n">
        <v>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2959-2022</t>
        </is>
      </c>
      <c r="B332" t="inlineStr">
        <is>
          <t>avverkningsanmälan</t>
        </is>
      </c>
      <c r="C332" t="inlineStr">
        <is>
          <t>Avverkning för annat ändamål</t>
        </is>
      </c>
      <c r="D332" s="1" t="n">
        <v>44581</v>
      </c>
      <c r="E332" s="1" t="n">
        <v>46315</v>
      </c>
      <c r="F332" t="inlineStr">
        <is>
          <t>HALLANDS LÄN</t>
        </is>
      </c>
      <c r="G332" t="inlineStr">
        <is>
          <t>VARBERG</t>
        </is>
      </c>
      <c r="I332" t="n">
        <v>2.1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2315-2022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44578</v>
      </c>
      <c r="E333" s="1" t="n">
        <v>46315</v>
      </c>
      <c r="F333" t="inlineStr">
        <is>
          <t>HALLANDS LÄN</t>
        </is>
      </c>
      <c r="G333" t="inlineStr">
        <is>
          <t>HYLTE</t>
        </is>
      </c>
      <c r="I333" t="n">
        <v>0.6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15317-2022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44659</v>
      </c>
      <c r="E334" s="1" t="n">
        <v>46315</v>
      </c>
      <c r="F334" t="inlineStr">
        <is>
          <t>HALLANDS LÄN</t>
        </is>
      </c>
      <c r="G334" t="inlineStr">
        <is>
          <t>HYLTE</t>
        </is>
      </c>
      <c r="H334" t="inlineStr">
        <is>
          <t>Bergvik skog väst AB</t>
        </is>
      </c>
      <c r="I334" t="n">
        <v>2.6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9364-2022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44616</v>
      </c>
      <c r="E335" s="1" t="n">
        <v>46315</v>
      </c>
      <c r="F335" t="inlineStr">
        <is>
          <t>HALLANDS LÄN</t>
        </is>
      </c>
      <c r="G335" t="inlineStr">
        <is>
          <t>FALKENBERG</t>
        </is>
      </c>
      <c r="H335" t="inlineStr">
        <is>
          <t>Kommuner</t>
        </is>
      </c>
      <c r="I335" t="n">
        <v>0.8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17395-2022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44678</v>
      </c>
      <c r="E336" s="1" t="n">
        <v>46315</v>
      </c>
      <c r="F336" t="inlineStr">
        <is>
          <t>HALLANDS LÄN</t>
        </is>
      </c>
      <c r="G336" t="inlineStr">
        <is>
          <t>LAHOLM</t>
        </is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51285-2022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44868</v>
      </c>
      <c r="E337" s="1" t="n">
        <v>46315</v>
      </c>
      <c r="F337" t="inlineStr">
        <is>
          <t>HALLANDS LÄN</t>
        </is>
      </c>
      <c r="G337" t="inlineStr">
        <is>
          <t>VARBERG</t>
        </is>
      </c>
      <c r="I337" t="n">
        <v>4.1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69587-2021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44532</v>
      </c>
      <c r="E338" s="1" t="n">
        <v>46315</v>
      </c>
      <c r="F338" t="inlineStr">
        <is>
          <t>HALLANDS LÄN</t>
        </is>
      </c>
      <c r="G338" t="inlineStr">
        <is>
          <t>LAHOLM</t>
        </is>
      </c>
      <c r="I338" t="n">
        <v>1.9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47401-2022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44853</v>
      </c>
      <c r="E339" s="1" t="n">
        <v>46315</v>
      </c>
      <c r="F339" t="inlineStr">
        <is>
          <t>HALLANDS LÄN</t>
        </is>
      </c>
      <c r="G339" t="inlineStr">
        <is>
          <t>KUNGSBACKA</t>
        </is>
      </c>
      <c r="I339" t="n">
        <v>0.6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43171-2022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44834</v>
      </c>
      <c r="E340" s="1" t="n">
        <v>46315</v>
      </c>
      <c r="F340" t="inlineStr">
        <is>
          <t>HALLANDS LÄN</t>
        </is>
      </c>
      <c r="G340" t="inlineStr">
        <is>
          <t>VARBERG</t>
        </is>
      </c>
      <c r="I340" t="n">
        <v>6.8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9323-2022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44616</v>
      </c>
      <c r="E341" s="1" t="n">
        <v>46315</v>
      </c>
      <c r="F341" t="inlineStr">
        <is>
          <t>HALLANDS LÄN</t>
        </is>
      </c>
      <c r="G341" t="inlineStr">
        <is>
          <t>FALKENBERG</t>
        </is>
      </c>
      <c r="H341" t="inlineStr">
        <is>
          <t>Kommuner</t>
        </is>
      </c>
      <c r="I341" t="n">
        <v>1.4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8640-2022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44613</v>
      </c>
      <c r="E342" s="1" t="n">
        <v>46315</v>
      </c>
      <c r="F342" t="inlineStr">
        <is>
          <t>HALLANDS LÄN</t>
        </is>
      </c>
      <c r="G342" t="inlineStr">
        <is>
          <t>KUNGSBACKA</t>
        </is>
      </c>
      <c r="I342" t="n">
        <v>6.6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9556-2022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44617</v>
      </c>
      <c r="E343" s="1" t="n">
        <v>46315</v>
      </c>
      <c r="F343" t="inlineStr">
        <is>
          <t>HALLANDS LÄN</t>
        </is>
      </c>
      <c r="G343" t="inlineStr">
        <is>
          <t>FALKENBERG</t>
        </is>
      </c>
      <c r="I343" t="n">
        <v>0.7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29961-2022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44756</v>
      </c>
      <c r="E344" s="1" t="n">
        <v>46315</v>
      </c>
      <c r="F344" t="inlineStr">
        <is>
          <t>HALLANDS LÄN</t>
        </is>
      </c>
      <c r="G344" t="inlineStr">
        <is>
          <t>HYLTE</t>
        </is>
      </c>
      <c r="I344" t="n">
        <v>0.5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61681-2021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44501</v>
      </c>
      <c r="E345" s="1" t="n">
        <v>46315</v>
      </c>
      <c r="F345" t="inlineStr">
        <is>
          <t>HALLANDS LÄN</t>
        </is>
      </c>
      <c r="G345" t="inlineStr">
        <is>
          <t>HYLTE</t>
        </is>
      </c>
      <c r="I345" t="n">
        <v>1.9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51807-2022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44872</v>
      </c>
      <c r="E346" s="1" t="n">
        <v>46315</v>
      </c>
      <c r="F346" t="inlineStr">
        <is>
          <t>HALLANDS LÄN</t>
        </is>
      </c>
      <c r="G346" t="inlineStr">
        <is>
          <t>HALMSTAD</t>
        </is>
      </c>
      <c r="I346" t="n">
        <v>2.1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72906-2021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44547</v>
      </c>
      <c r="E347" s="1" t="n">
        <v>46315</v>
      </c>
      <c r="F347" t="inlineStr">
        <is>
          <t>HALLANDS LÄN</t>
        </is>
      </c>
      <c r="G347" t="inlineStr">
        <is>
          <t>FALKENBERG</t>
        </is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6108-2022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44599</v>
      </c>
      <c r="E348" s="1" t="n">
        <v>46315</v>
      </c>
      <c r="F348" t="inlineStr">
        <is>
          <t>HALLANDS LÄN</t>
        </is>
      </c>
      <c r="G348" t="inlineStr">
        <is>
          <t>FALKENBERG</t>
        </is>
      </c>
      <c r="I348" t="n">
        <v>1.9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14256-2022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44651</v>
      </c>
      <c r="E349" s="1" t="n">
        <v>46315</v>
      </c>
      <c r="F349" t="inlineStr">
        <is>
          <t>HALLANDS LÄN</t>
        </is>
      </c>
      <c r="G349" t="inlineStr">
        <is>
          <t>HYLTE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21995-2022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44711</v>
      </c>
      <c r="E350" s="1" t="n">
        <v>46315</v>
      </c>
      <c r="F350" t="inlineStr">
        <is>
          <t>HALLANDS LÄN</t>
        </is>
      </c>
      <c r="G350" t="inlineStr">
        <is>
          <t>HYLTE</t>
        </is>
      </c>
      <c r="I350" t="n">
        <v>2.5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22002-2022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44711</v>
      </c>
      <c r="E351" s="1" t="n">
        <v>46315</v>
      </c>
      <c r="F351" t="inlineStr">
        <is>
          <t>HALLANDS LÄN</t>
        </is>
      </c>
      <c r="G351" t="inlineStr">
        <is>
          <t>FALKENBERG</t>
        </is>
      </c>
      <c r="I351" t="n">
        <v>0.8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53449-2022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44879</v>
      </c>
      <c r="E352" s="1" t="n">
        <v>46315</v>
      </c>
      <c r="F352" t="inlineStr">
        <is>
          <t>HALLANDS LÄN</t>
        </is>
      </c>
      <c r="G352" t="inlineStr">
        <is>
          <t>FALKENBERG</t>
        </is>
      </c>
      <c r="I352" t="n">
        <v>0.8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71687-2021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44539</v>
      </c>
      <c r="E353" s="1" t="n">
        <v>46315</v>
      </c>
      <c r="F353" t="inlineStr">
        <is>
          <t>HALLANDS LÄN</t>
        </is>
      </c>
      <c r="G353" t="inlineStr">
        <is>
          <t>KUNGSBACKA</t>
        </is>
      </c>
      <c r="I353" t="n">
        <v>4.1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66395-2021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44518</v>
      </c>
      <c r="E354" s="1" t="n">
        <v>46315</v>
      </c>
      <c r="F354" t="inlineStr">
        <is>
          <t>HALLANDS LÄN</t>
        </is>
      </c>
      <c r="G354" t="inlineStr">
        <is>
          <t>LAHOLM</t>
        </is>
      </c>
      <c r="I354" t="n">
        <v>2.4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26184-2022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44735</v>
      </c>
      <c r="E355" s="1" t="n">
        <v>46315</v>
      </c>
      <c r="F355" t="inlineStr">
        <is>
          <t>HALLANDS LÄN</t>
        </is>
      </c>
      <c r="G355" t="inlineStr">
        <is>
          <t>HYLTE</t>
        </is>
      </c>
      <c r="I355" t="n">
        <v>2.7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70834-2021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44538</v>
      </c>
      <c r="E356" s="1" t="n">
        <v>46315</v>
      </c>
      <c r="F356" t="inlineStr">
        <is>
          <t>HALLANDS LÄN</t>
        </is>
      </c>
      <c r="G356" t="inlineStr">
        <is>
          <t>HALMSTAD</t>
        </is>
      </c>
      <c r="I356" t="n">
        <v>1.4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19186-2022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44691</v>
      </c>
      <c r="E357" s="1" t="n">
        <v>46315</v>
      </c>
      <c r="F357" t="inlineStr">
        <is>
          <t>HALLANDS LÄN</t>
        </is>
      </c>
      <c r="G357" t="inlineStr">
        <is>
          <t>VARBERG</t>
        </is>
      </c>
      <c r="I357" t="n">
        <v>5.1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26979-2022</t>
        </is>
      </c>
      <c r="B358" t="inlineStr">
        <is>
          <t>avverkningsanmälan</t>
        </is>
      </c>
      <c r="C358" t="inlineStr">
        <is>
          <t>Avverkning för annat ändamål</t>
        </is>
      </c>
      <c r="D358" s="1" t="n">
        <v>44740</v>
      </c>
      <c r="E358" s="1" t="n">
        <v>46315</v>
      </c>
      <c r="F358" t="inlineStr">
        <is>
          <t>HALLANDS LÄN</t>
        </is>
      </c>
      <c r="G358" t="inlineStr">
        <is>
          <t>KUNGSBACKA</t>
        </is>
      </c>
      <c r="I358" t="n">
        <v>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71958-2021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44544</v>
      </c>
      <c r="E359" s="1" t="n">
        <v>46315</v>
      </c>
      <c r="F359" t="inlineStr">
        <is>
          <t>HALLANDS LÄN</t>
        </is>
      </c>
      <c r="G359" t="inlineStr">
        <is>
          <t>FALKENBERG</t>
        </is>
      </c>
      <c r="I359" t="n">
        <v>0.7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12748-2022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44641</v>
      </c>
      <c r="E360" s="1" t="n">
        <v>46315</v>
      </c>
      <c r="F360" t="inlineStr">
        <is>
          <t>HALLANDS LÄN</t>
        </is>
      </c>
      <c r="G360" t="inlineStr">
        <is>
          <t>VARBERG</t>
        </is>
      </c>
      <c r="I360" t="n">
        <v>1.3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35137-2022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44797</v>
      </c>
      <c r="E361" s="1" t="n">
        <v>46315</v>
      </c>
      <c r="F361" t="inlineStr">
        <is>
          <t>HALLANDS LÄN</t>
        </is>
      </c>
      <c r="G361" t="inlineStr">
        <is>
          <t>VARBERG</t>
        </is>
      </c>
      <c r="I361" t="n">
        <v>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6250-2022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44600</v>
      </c>
      <c r="E362" s="1" t="n">
        <v>46315</v>
      </c>
      <c r="F362" t="inlineStr">
        <is>
          <t>HALLANDS LÄN</t>
        </is>
      </c>
      <c r="G362" t="inlineStr">
        <is>
          <t>LAHOLM</t>
        </is>
      </c>
      <c r="I362" t="n">
        <v>0.4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6322-2022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44600</v>
      </c>
      <c r="E363" s="1" t="n">
        <v>46315</v>
      </c>
      <c r="F363" t="inlineStr">
        <is>
          <t>HALLANDS LÄN</t>
        </is>
      </c>
      <c r="G363" t="inlineStr">
        <is>
          <t>FALKENBERG</t>
        </is>
      </c>
      <c r="I363" t="n">
        <v>1.5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11088-2022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44628</v>
      </c>
      <c r="E364" s="1" t="n">
        <v>46315</v>
      </c>
      <c r="F364" t="inlineStr">
        <is>
          <t>HALLANDS LÄN</t>
        </is>
      </c>
      <c r="G364" t="inlineStr">
        <is>
          <t>HALMSTAD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4905-2022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44593</v>
      </c>
      <c r="E365" s="1" t="n">
        <v>46315</v>
      </c>
      <c r="F365" t="inlineStr">
        <is>
          <t>HALLANDS LÄN</t>
        </is>
      </c>
      <c r="G365" t="inlineStr">
        <is>
          <t>HALMSTAD</t>
        </is>
      </c>
      <c r="H365" t="inlineStr">
        <is>
          <t>Kyrkan</t>
        </is>
      </c>
      <c r="I365" t="n">
        <v>0.6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19347-2022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44692</v>
      </c>
      <c r="E366" s="1" t="n">
        <v>46315</v>
      </c>
      <c r="F366" t="inlineStr">
        <is>
          <t>HALLANDS LÄN</t>
        </is>
      </c>
      <c r="G366" t="inlineStr">
        <is>
          <t>FALKENBERG</t>
        </is>
      </c>
      <c r="I366" t="n">
        <v>2.7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19354-2022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44692</v>
      </c>
      <c r="E367" s="1" t="n">
        <v>46315</v>
      </c>
      <c r="F367" t="inlineStr">
        <is>
          <t>HALLANDS LÄN</t>
        </is>
      </c>
      <c r="G367" t="inlineStr">
        <is>
          <t>FALKENBERG</t>
        </is>
      </c>
      <c r="I367" t="n">
        <v>1.9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70611-2021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44537</v>
      </c>
      <c r="E368" s="1" t="n">
        <v>46315</v>
      </c>
      <c r="F368" t="inlineStr">
        <is>
          <t>HALLANDS LÄN</t>
        </is>
      </c>
      <c r="G368" t="inlineStr">
        <is>
          <t>LAHOLM</t>
        </is>
      </c>
      <c r="I368" t="n">
        <v>0.8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13725-2022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44649</v>
      </c>
      <c r="E369" s="1" t="n">
        <v>46315</v>
      </c>
      <c r="F369" t="inlineStr">
        <is>
          <t>HALLANDS LÄN</t>
        </is>
      </c>
      <c r="G369" t="inlineStr">
        <is>
          <t>HALMSTAD</t>
        </is>
      </c>
      <c r="I369" t="n">
        <v>2.2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6220-2022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44600</v>
      </c>
      <c r="E370" s="1" t="n">
        <v>46315</v>
      </c>
      <c r="F370" t="inlineStr">
        <is>
          <t>HALLANDS LÄN</t>
        </is>
      </c>
      <c r="G370" t="inlineStr">
        <is>
          <t>FALKENBERG</t>
        </is>
      </c>
      <c r="I370" t="n">
        <v>0.6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58836-2021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44489</v>
      </c>
      <c r="E371" s="1" t="n">
        <v>46315</v>
      </c>
      <c r="F371" t="inlineStr">
        <is>
          <t>HALLANDS LÄN</t>
        </is>
      </c>
      <c r="G371" t="inlineStr">
        <is>
          <t>HYLTE</t>
        </is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71711-2021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44539</v>
      </c>
      <c r="E372" s="1" t="n">
        <v>46315</v>
      </c>
      <c r="F372" t="inlineStr">
        <is>
          <t>HALLANDS LÄN</t>
        </is>
      </c>
      <c r="G372" t="inlineStr">
        <is>
          <t>FALKENBERG</t>
        </is>
      </c>
      <c r="I372" t="n">
        <v>12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71765-2021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44539</v>
      </c>
      <c r="E373" s="1" t="n">
        <v>46315</v>
      </c>
      <c r="F373" t="inlineStr">
        <is>
          <t>HALLANDS LÄN</t>
        </is>
      </c>
      <c r="G373" t="inlineStr">
        <is>
          <t>FALKENBERG</t>
        </is>
      </c>
      <c r="I373" t="n">
        <v>6.8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28479-2022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44747</v>
      </c>
      <c r="E374" s="1" t="n">
        <v>46315</v>
      </c>
      <c r="F374" t="inlineStr">
        <is>
          <t>HALLANDS LÄN</t>
        </is>
      </c>
      <c r="G374" t="inlineStr">
        <is>
          <t>FALKENBERG</t>
        </is>
      </c>
      <c r="I374" t="n">
        <v>3.5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30386-2022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44760</v>
      </c>
      <c r="E375" s="1" t="n">
        <v>46315</v>
      </c>
      <c r="F375" t="inlineStr">
        <is>
          <t>HALLANDS LÄN</t>
        </is>
      </c>
      <c r="G375" t="inlineStr">
        <is>
          <t>HALMSTAD</t>
        </is>
      </c>
      <c r="I375" t="n">
        <v>0.9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14991-2022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44657</v>
      </c>
      <c r="E376" s="1" t="n">
        <v>46315</v>
      </c>
      <c r="F376" t="inlineStr">
        <is>
          <t>HALLANDS LÄN</t>
        </is>
      </c>
      <c r="G376" t="inlineStr">
        <is>
          <t>VARBERG</t>
        </is>
      </c>
      <c r="I376" t="n">
        <v>1.8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38582-2022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44813</v>
      </c>
      <c r="E377" s="1" t="n">
        <v>46315</v>
      </c>
      <c r="F377" t="inlineStr">
        <is>
          <t>HALLANDS LÄN</t>
        </is>
      </c>
      <c r="G377" t="inlineStr">
        <is>
          <t>FALKENBERG</t>
        </is>
      </c>
      <c r="I377" t="n">
        <v>1.3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73853-2021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44553</v>
      </c>
      <c r="E378" s="1" t="n">
        <v>46315</v>
      </c>
      <c r="F378" t="inlineStr">
        <is>
          <t>HALLANDS LÄN</t>
        </is>
      </c>
      <c r="G378" t="inlineStr">
        <is>
          <t>LAHOLM</t>
        </is>
      </c>
      <c r="I378" t="n">
        <v>0.4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4243-2022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44588</v>
      </c>
      <c r="E379" s="1" t="n">
        <v>46315</v>
      </c>
      <c r="F379" t="inlineStr">
        <is>
          <t>HALLANDS LÄN</t>
        </is>
      </c>
      <c r="G379" t="inlineStr">
        <is>
          <t>VARBERG</t>
        </is>
      </c>
      <c r="I379" t="n">
        <v>0.9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44953-2022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44841</v>
      </c>
      <c r="E380" s="1" t="n">
        <v>46315</v>
      </c>
      <c r="F380" t="inlineStr">
        <is>
          <t>HALLANDS LÄN</t>
        </is>
      </c>
      <c r="G380" t="inlineStr">
        <is>
          <t>FALKENBERG</t>
        </is>
      </c>
      <c r="I380" t="n">
        <v>1.2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72468-2021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44545</v>
      </c>
      <c r="E381" s="1" t="n">
        <v>46315</v>
      </c>
      <c r="F381" t="inlineStr">
        <is>
          <t>HALLANDS LÄN</t>
        </is>
      </c>
      <c r="G381" t="inlineStr">
        <is>
          <t>FALKENBERG</t>
        </is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53039-2022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44876</v>
      </c>
      <c r="E382" s="1" t="n">
        <v>46315</v>
      </c>
      <c r="F382" t="inlineStr">
        <is>
          <t>HALLANDS LÄN</t>
        </is>
      </c>
      <c r="G382" t="inlineStr">
        <is>
          <t>VARBERG</t>
        </is>
      </c>
      <c r="I382" t="n">
        <v>1.7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53041-2022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44876</v>
      </c>
      <c r="E383" s="1" t="n">
        <v>46315</v>
      </c>
      <c r="F383" t="inlineStr">
        <is>
          <t>HALLANDS LÄN</t>
        </is>
      </c>
      <c r="G383" t="inlineStr">
        <is>
          <t>VARBERG</t>
        </is>
      </c>
      <c r="I383" t="n">
        <v>0.6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30383-2022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44760</v>
      </c>
      <c r="E384" s="1" t="n">
        <v>46315</v>
      </c>
      <c r="F384" t="inlineStr">
        <is>
          <t>HALLANDS LÄN</t>
        </is>
      </c>
      <c r="G384" t="inlineStr">
        <is>
          <t>HALMSTAD</t>
        </is>
      </c>
      <c r="I384" t="n">
        <v>0.7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12493-2022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44638</v>
      </c>
      <c r="E385" s="1" t="n">
        <v>46315</v>
      </c>
      <c r="F385" t="inlineStr">
        <is>
          <t>HALLANDS LÄN</t>
        </is>
      </c>
      <c r="G385" t="inlineStr">
        <is>
          <t>VARBERG</t>
        </is>
      </c>
      <c r="I385" t="n">
        <v>0.6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43364-2022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44834</v>
      </c>
      <c r="E386" s="1" t="n">
        <v>46315</v>
      </c>
      <c r="F386" t="inlineStr">
        <is>
          <t>HALLANDS LÄN</t>
        </is>
      </c>
      <c r="G386" t="inlineStr">
        <is>
          <t>HYLTE</t>
        </is>
      </c>
      <c r="I386" t="n">
        <v>0.6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28252-2022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44746</v>
      </c>
      <c r="E387" s="1" t="n">
        <v>46315</v>
      </c>
      <c r="F387" t="inlineStr">
        <is>
          <t>HALLANDS LÄN</t>
        </is>
      </c>
      <c r="G387" t="inlineStr">
        <is>
          <t>LAHOLM</t>
        </is>
      </c>
      <c r="I387" t="n">
        <v>4.7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23136-2022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44719</v>
      </c>
      <c r="E388" s="1" t="n">
        <v>46315</v>
      </c>
      <c r="F388" t="inlineStr">
        <is>
          <t>HALLANDS LÄN</t>
        </is>
      </c>
      <c r="G388" t="inlineStr">
        <is>
          <t>FALKENBERG</t>
        </is>
      </c>
      <c r="I388" t="n">
        <v>0.7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20495-2022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44699</v>
      </c>
      <c r="E389" s="1" t="n">
        <v>46315</v>
      </c>
      <c r="F389" t="inlineStr">
        <is>
          <t>HALLANDS LÄN</t>
        </is>
      </c>
      <c r="G389" t="inlineStr">
        <is>
          <t>VARBERG</t>
        </is>
      </c>
      <c r="I389" t="n">
        <v>0.6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34902-2022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44796</v>
      </c>
      <c r="E390" s="1" t="n">
        <v>46315</v>
      </c>
      <c r="F390" t="inlineStr">
        <is>
          <t>HALLANDS LÄN</t>
        </is>
      </c>
      <c r="G390" t="inlineStr">
        <is>
          <t>HYLTE</t>
        </is>
      </c>
      <c r="I390" t="n">
        <v>2.7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62174-2021</t>
        </is>
      </c>
      <c r="B391" t="inlineStr">
        <is>
          <t>avverkningsanmälan</t>
        </is>
      </c>
      <c r="C391" t="inlineStr">
        <is>
          <t>Avverkning för annat ändamål</t>
        </is>
      </c>
      <c r="D391" s="1" t="n">
        <v>44502</v>
      </c>
      <c r="E391" s="1" t="n">
        <v>46315</v>
      </c>
      <c r="F391" t="inlineStr">
        <is>
          <t>HALLANDS LÄN</t>
        </is>
      </c>
      <c r="G391" t="inlineStr">
        <is>
          <t>HYLTE</t>
        </is>
      </c>
      <c r="I391" t="n">
        <v>0.3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43170-2022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44834</v>
      </c>
      <c r="E392" s="1" t="n">
        <v>46315</v>
      </c>
      <c r="F392" t="inlineStr">
        <is>
          <t>HALLANDS LÄN</t>
        </is>
      </c>
      <c r="G392" t="inlineStr">
        <is>
          <t>VARBERG</t>
        </is>
      </c>
      <c r="I392" t="n">
        <v>3.8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17069-2022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44677</v>
      </c>
      <c r="E393" s="1" t="n">
        <v>46315</v>
      </c>
      <c r="F393" t="inlineStr">
        <is>
          <t>HALLANDS LÄN</t>
        </is>
      </c>
      <c r="G393" t="inlineStr">
        <is>
          <t>HALMSTAD</t>
        </is>
      </c>
      <c r="I393" t="n">
        <v>0.3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50546-2022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44866</v>
      </c>
      <c r="E394" s="1" t="n">
        <v>46315</v>
      </c>
      <c r="F394" t="inlineStr">
        <is>
          <t>HALLANDS LÄN</t>
        </is>
      </c>
      <c r="G394" t="inlineStr">
        <is>
          <t>FALKENBERG</t>
        </is>
      </c>
      <c r="I394" t="n">
        <v>0.9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48700-2022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44859</v>
      </c>
      <c r="E395" s="1" t="n">
        <v>46315</v>
      </c>
      <c r="F395" t="inlineStr">
        <is>
          <t>HALLANDS LÄN</t>
        </is>
      </c>
      <c r="G395" t="inlineStr">
        <is>
          <t>LAHOLM</t>
        </is>
      </c>
      <c r="I395" t="n">
        <v>2.7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11567-2022</t>
        </is>
      </c>
      <c r="B396" t="inlineStr">
        <is>
          <t>avverkningsanmälan</t>
        </is>
      </c>
      <c r="C396" t="inlineStr">
        <is>
          <t>Avverkning för annat ändamål</t>
        </is>
      </c>
      <c r="D396" s="1" t="n">
        <v>44631</v>
      </c>
      <c r="E396" s="1" t="n">
        <v>46315</v>
      </c>
      <c r="F396" t="inlineStr">
        <is>
          <t>HALLANDS LÄN</t>
        </is>
      </c>
      <c r="G396" t="inlineStr">
        <is>
          <t>HYLTE</t>
        </is>
      </c>
      <c r="I396" t="n">
        <v>1.6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55064-2022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44886</v>
      </c>
      <c r="E397" s="1" t="n">
        <v>46315</v>
      </c>
      <c r="F397" t="inlineStr">
        <is>
          <t>HALLANDS LÄN</t>
        </is>
      </c>
      <c r="G397" t="inlineStr">
        <is>
          <t>VARBERG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53268-2022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44876</v>
      </c>
      <c r="E398" s="1" t="n">
        <v>46315</v>
      </c>
      <c r="F398" t="inlineStr">
        <is>
          <t>HALLANDS LÄN</t>
        </is>
      </c>
      <c r="G398" t="inlineStr">
        <is>
          <t>HYLTE</t>
        </is>
      </c>
      <c r="I398" t="n">
        <v>2.3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15336-2022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44659</v>
      </c>
      <c r="E399" s="1" t="n">
        <v>46315</v>
      </c>
      <c r="F399" t="inlineStr">
        <is>
          <t>HALLANDS LÄN</t>
        </is>
      </c>
      <c r="G399" t="inlineStr">
        <is>
          <t>HYLTE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4993-2022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44593</v>
      </c>
      <c r="E400" s="1" t="n">
        <v>46315</v>
      </c>
      <c r="F400" t="inlineStr">
        <is>
          <t>HALLANDS LÄN</t>
        </is>
      </c>
      <c r="G400" t="inlineStr">
        <is>
          <t>FALKENBERG</t>
        </is>
      </c>
      <c r="H400" t="inlineStr">
        <is>
          <t>Kyrkan</t>
        </is>
      </c>
      <c r="I400" t="n">
        <v>1.5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13252-2022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44644</v>
      </c>
      <c r="E401" s="1" t="n">
        <v>46315</v>
      </c>
      <c r="F401" t="inlineStr">
        <is>
          <t>HALLANDS LÄN</t>
        </is>
      </c>
      <c r="G401" t="inlineStr">
        <is>
          <t>HYLTE</t>
        </is>
      </c>
      <c r="I401" t="n">
        <v>1.4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30885-2022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44767</v>
      </c>
      <c r="E402" s="1" t="n">
        <v>46315</v>
      </c>
      <c r="F402" t="inlineStr">
        <is>
          <t>HALLANDS LÄN</t>
        </is>
      </c>
      <c r="G402" t="inlineStr">
        <is>
          <t>KUNGSBACKA</t>
        </is>
      </c>
      <c r="I402" t="n">
        <v>0.6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65342-2021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44515</v>
      </c>
      <c r="E403" s="1" t="n">
        <v>46315</v>
      </c>
      <c r="F403" t="inlineStr">
        <is>
          <t>HALLANDS LÄN</t>
        </is>
      </c>
      <c r="G403" t="inlineStr">
        <is>
          <t>HYLTE</t>
        </is>
      </c>
      <c r="H403" t="inlineStr">
        <is>
          <t>Bergvik skog väst AB</t>
        </is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70607-2021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44537</v>
      </c>
      <c r="E404" s="1" t="n">
        <v>46315</v>
      </c>
      <c r="F404" t="inlineStr">
        <is>
          <t>HALLANDS LÄN</t>
        </is>
      </c>
      <c r="G404" t="inlineStr">
        <is>
          <t>LAHOLM</t>
        </is>
      </c>
      <c r="I404" t="n">
        <v>1.7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59576-2021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44491</v>
      </c>
      <c r="E405" s="1" t="n">
        <v>46315</v>
      </c>
      <c r="F405" t="inlineStr">
        <is>
          <t>HALLANDS LÄN</t>
        </is>
      </c>
      <c r="G405" t="inlineStr">
        <is>
          <t>LAHOLM</t>
        </is>
      </c>
      <c r="H405" t="inlineStr">
        <is>
          <t>Övriga statliga verk och myndigheter</t>
        </is>
      </c>
      <c r="I405" t="n">
        <v>3.6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32049-2022</t>
        </is>
      </c>
      <c r="B406" t="inlineStr">
        <is>
          <t>avverkningsanmälan</t>
        </is>
      </c>
      <c r="C406" t="inlineStr">
        <is>
          <t>Avverkning för annat ändamål</t>
        </is>
      </c>
      <c r="D406" s="1" t="n">
        <v>44778</v>
      </c>
      <c r="E406" s="1" t="n">
        <v>46315</v>
      </c>
      <c r="F406" t="inlineStr">
        <is>
          <t>HALLANDS LÄN</t>
        </is>
      </c>
      <c r="G406" t="inlineStr">
        <is>
          <t>HYLTE</t>
        </is>
      </c>
      <c r="I406" t="n">
        <v>0.3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50182-2022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44865</v>
      </c>
      <c r="E407" s="1" t="n">
        <v>46315</v>
      </c>
      <c r="F407" t="inlineStr">
        <is>
          <t>HALLANDS LÄN</t>
        </is>
      </c>
      <c r="G407" t="inlineStr">
        <is>
          <t>HALMSTAD</t>
        </is>
      </c>
      <c r="I407" t="n">
        <v>0.6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36242-2022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44803</v>
      </c>
      <c r="E408" s="1" t="n">
        <v>46315</v>
      </c>
      <c r="F408" t="inlineStr">
        <is>
          <t>HALLANDS LÄN</t>
        </is>
      </c>
      <c r="G408" t="inlineStr">
        <is>
          <t>FALKENBERG</t>
        </is>
      </c>
      <c r="I408" t="n">
        <v>0.4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50712-2022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44867</v>
      </c>
      <c r="E409" s="1" t="n">
        <v>46315</v>
      </c>
      <c r="F409" t="inlineStr">
        <is>
          <t>HALLANDS LÄN</t>
        </is>
      </c>
      <c r="G409" t="inlineStr">
        <is>
          <t>HYLTE</t>
        </is>
      </c>
      <c r="I409" t="n">
        <v>2.5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70897-2021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44538</v>
      </c>
      <c r="E410" s="1" t="n">
        <v>46315</v>
      </c>
      <c r="F410" t="inlineStr">
        <is>
          <t>HALLANDS LÄN</t>
        </is>
      </c>
      <c r="G410" t="inlineStr">
        <is>
          <t>HALMSTAD</t>
        </is>
      </c>
      <c r="H410" t="inlineStr">
        <is>
          <t>Kyrkan</t>
        </is>
      </c>
      <c r="I410" t="n">
        <v>1.6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6271-2022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44600</v>
      </c>
      <c r="E411" s="1" t="n">
        <v>46315</v>
      </c>
      <c r="F411" t="inlineStr">
        <is>
          <t>HALLANDS LÄN</t>
        </is>
      </c>
      <c r="G411" t="inlineStr">
        <is>
          <t>LAHOLM</t>
        </is>
      </c>
      <c r="I411" t="n">
        <v>0.5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52358-2022</t>
        </is>
      </c>
      <c r="B412" t="inlineStr">
        <is>
          <t>avverkningsanmälan</t>
        </is>
      </c>
      <c r="C412" t="inlineStr">
        <is>
          <t>Avverkning för annat ändamål</t>
        </is>
      </c>
      <c r="D412" s="1" t="n">
        <v>44874</v>
      </c>
      <c r="E412" s="1" t="n">
        <v>46315</v>
      </c>
      <c r="F412" t="inlineStr">
        <is>
          <t>HALLANDS LÄN</t>
        </is>
      </c>
      <c r="G412" t="inlineStr">
        <is>
          <t>VARBERG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8902-2022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44614</v>
      </c>
      <c r="E413" s="1" t="n">
        <v>46315</v>
      </c>
      <c r="F413" t="inlineStr">
        <is>
          <t>HALLANDS LÄN</t>
        </is>
      </c>
      <c r="G413" t="inlineStr">
        <is>
          <t>FALKENBERG</t>
        </is>
      </c>
      <c r="I413" t="n">
        <v>0.5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11689-2022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44634</v>
      </c>
      <c r="E414" s="1" t="n">
        <v>46315</v>
      </c>
      <c r="F414" t="inlineStr">
        <is>
          <t>HALLANDS LÄN</t>
        </is>
      </c>
      <c r="G414" t="inlineStr">
        <is>
          <t>HYLTE</t>
        </is>
      </c>
      <c r="I414" t="n">
        <v>1.7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63107-2021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44505</v>
      </c>
      <c r="E415" s="1" t="n">
        <v>46315</v>
      </c>
      <c r="F415" t="inlineStr">
        <is>
          <t>HALLANDS LÄN</t>
        </is>
      </c>
      <c r="G415" t="inlineStr">
        <is>
          <t>HYLTE</t>
        </is>
      </c>
      <c r="I415" t="n">
        <v>0.7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63966-2021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44509</v>
      </c>
      <c r="E416" s="1" t="n">
        <v>46315</v>
      </c>
      <c r="F416" t="inlineStr">
        <is>
          <t>HALLANDS LÄN</t>
        </is>
      </c>
      <c r="G416" t="inlineStr">
        <is>
          <t>KUNGSBACKA</t>
        </is>
      </c>
      <c r="I416" t="n">
        <v>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28922-2022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44749</v>
      </c>
      <c r="E417" s="1" t="n">
        <v>46315</v>
      </c>
      <c r="F417" t="inlineStr">
        <is>
          <t>HALLANDS LÄN</t>
        </is>
      </c>
      <c r="G417" t="inlineStr">
        <is>
          <t>LAHOLM</t>
        </is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70724-2021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44537</v>
      </c>
      <c r="E418" s="1" t="n">
        <v>46315</v>
      </c>
      <c r="F418" t="inlineStr">
        <is>
          <t>HALLANDS LÄN</t>
        </is>
      </c>
      <c r="G418" t="inlineStr">
        <is>
          <t>HALMSTAD</t>
        </is>
      </c>
      <c r="H418" t="inlineStr">
        <is>
          <t>Kyrkan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5865-2022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44596</v>
      </c>
      <c r="E419" s="1" t="n">
        <v>46315</v>
      </c>
      <c r="F419" t="inlineStr">
        <is>
          <t>HALLANDS LÄN</t>
        </is>
      </c>
      <c r="G419" t="inlineStr">
        <is>
          <t>FALKENBERG</t>
        </is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18078-2022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44684</v>
      </c>
      <c r="E420" s="1" t="n">
        <v>46315</v>
      </c>
      <c r="F420" t="inlineStr">
        <is>
          <t>HALLANDS LÄN</t>
        </is>
      </c>
      <c r="G420" t="inlineStr">
        <is>
          <t>VARBERG</t>
        </is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20201-2022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44698</v>
      </c>
      <c r="E421" s="1" t="n">
        <v>46315</v>
      </c>
      <c r="F421" t="inlineStr">
        <is>
          <t>HALLANDS LÄN</t>
        </is>
      </c>
      <c r="G421" t="inlineStr">
        <is>
          <t>LAHOLM</t>
        </is>
      </c>
      <c r="H421" t="inlineStr">
        <is>
          <t>Kyrkan</t>
        </is>
      </c>
      <c r="I421" t="n">
        <v>3.4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20204-2022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44698</v>
      </c>
      <c r="E422" s="1" t="n">
        <v>46315</v>
      </c>
      <c r="F422" t="inlineStr">
        <is>
          <t>HALLANDS LÄN</t>
        </is>
      </c>
      <c r="G422" t="inlineStr">
        <is>
          <t>LAHOLM</t>
        </is>
      </c>
      <c r="H422" t="inlineStr">
        <is>
          <t>Kyrkan</t>
        </is>
      </c>
      <c r="I422" t="n">
        <v>1.3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2434-2022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44579</v>
      </c>
      <c r="E423" s="1" t="n">
        <v>46315</v>
      </c>
      <c r="F423" t="inlineStr">
        <is>
          <t>HALLANDS LÄN</t>
        </is>
      </c>
      <c r="G423" t="inlineStr">
        <is>
          <t>HALMSTAD</t>
        </is>
      </c>
      <c r="I423" t="n">
        <v>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18214-2022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44685</v>
      </c>
      <c r="E424" s="1" t="n">
        <v>46315</v>
      </c>
      <c r="F424" t="inlineStr">
        <is>
          <t>HALLANDS LÄN</t>
        </is>
      </c>
      <c r="G424" t="inlineStr">
        <is>
          <t>FALKENBERG</t>
        </is>
      </c>
      <c r="I424" t="n">
        <v>0.5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12537-2022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44638</v>
      </c>
      <c r="E425" s="1" t="n">
        <v>46315</v>
      </c>
      <c r="F425" t="inlineStr">
        <is>
          <t>HALLANDS LÄN</t>
        </is>
      </c>
      <c r="G425" t="inlineStr">
        <is>
          <t>FALKENBERG</t>
        </is>
      </c>
      <c r="I425" t="n">
        <v>1.8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40582-2022</t>
        </is>
      </c>
      <c r="B426" t="inlineStr">
        <is>
          <t>avverkningsanmälan</t>
        </is>
      </c>
      <c r="C426" t="inlineStr">
        <is>
          <t>Avverkning för annat ändamål</t>
        </is>
      </c>
      <c r="D426" s="1" t="n">
        <v>44819</v>
      </c>
      <c r="E426" s="1" t="n">
        <v>46315</v>
      </c>
      <c r="F426" t="inlineStr">
        <is>
          <t>HALLANDS LÄN</t>
        </is>
      </c>
      <c r="G426" t="inlineStr">
        <is>
          <t>KUNGSBACKA</t>
        </is>
      </c>
      <c r="I426" t="n">
        <v>4.1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23773-2022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44722</v>
      </c>
      <c r="E427" s="1" t="n">
        <v>46315</v>
      </c>
      <c r="F427" t="inlineStr">
        <is>
          <t>HALLANDS LÄN</t>
        </is>
      </c>
      <c r="G427" t="inlineStr">
        <is>
          <t>HALMSTAD</t>
        </is>
      </c>
      <c r="I427" t="n">
        <v>1.7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59922-2021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44494</v>
      </c>
      <c r="E428" s="1" t="n">
        <v>46315</v>
      </c>
      <c r="F428" t="inlineStr">
        <is>
          <t>HALLANDS LÄN</t>
        </is>
      </c>
      <c r="G428" t="inlineStr">
        <is>
          <t>HALMSTAD</t>
        </is>
      </c>
      <c r="I428" t="n">
        <v>0.5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24891-2022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44728</v>
      </c>
      <c r="E429" s="1" t="n">
        <v>46315</v>
      </c>
      <c r="F429" t="inlineStr">
        <is>
          <t>HALLANDS LÄN</t>
        </is>
      </c>
      <c r="G429" t="inlineStr">
        <is>
          <t>HYLTE</t>
        </is>
      </c>
      <c r="I429" t="n">
        <v>0.3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22591-2022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44714</v>
      </c>
      <c r="E430" s="1" t="n">
        <v>46315</v>
      </c>
      <c r="F430" t="inlineStr">
        <is>
          <t>HALLANDS LÄN</t>
        </is>
      </c>
      <c r="G430" t="inlineStr">
        <is>
          <t>HYLTE</t>
        </is>
      </c>
      <c r="I430" t="n">
        <v>0.7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52106-2022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44873</v>
      </c>
      <c r="E431" s="1" t="n">
        <v>46315</v>
      </c>
      <c r="F431" t="inlineStr">
        <is>
          <t>HALLANDS LÄN</t>
        </is>
      </c>
      <c r="G431" t="inlineStr">
        <is>
          <t>LAHOLM</t>
        </is>
      </c>
      <c r="I431" t="n">
        <v>1.4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52113-2022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44873</v>
      </c>
      <c r="E432" s="1" t="n">
        <v>46315</v>
      </c>
      <c r="F432" t="inlineStr">
        <is>
          <t>HALLANDS LÄN</t>
        </is>
      </c>
      <c r="G432" t="inlineStr">
        <is>
          <t>LAHOLM</t>
        </is>
      </c>
      <c r="I432" t="n">
        <v>1.2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4322-2022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44588</v>
      </c>
      <c r="E433" s="1" t="n">
        <v>46315</v>
      </c>
      <c r="F433" t="inlineStr">
        <is>
          <t>HALLANDS LÄN</t>
        </is>
      </c>
      <c r="G433" t="inlineStr">
        <is>
          <t>VARBERG</t>
        </is>
      </c>
      <c r="I433" t="n">
        <v>8.6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71703-2021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44539</v>
      </c>
      <c r="E434" s="1" t="n">
        <v>46315</v>
      </c>
      <c r="F434" t="inlineStr">
        <is>
          <t>HALLANDS LÄN</t>
        </is>
      </c>
      <c r="G434" t="inlineStr">
        <is>
          <t>FALKENBERG</t>
        </is>
      </c>
      <c r="I434" t="n">
        <v>5.1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70904-2021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44538</v>
      </c>
      <c r="E435" s="1" t="n">
        <v>46315</v>
      </c>
      <c r="F435" t="inlineStr">
        <is>
          <t>HALLANDS LÄN</t>
        </is>
      </c>
      <c r="G435" t="inlineStr">
        <is>
          <t>KUNGSBACKA</t>
        </is>
      </c>
      <c r="I435" t="n">
        <v>0.9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4971-2022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44593</v>
      </c>
      <c r="E436" s="1" t="n">
        <v>46315</v>
      </c>
      <c r="F436" t="inlineStr">
        <is>
          <t>HALLANDS LÄN</t>
        </is>
      </c>
      <c r="G436" t="inlineStr">
        <is>
          <t>HALMSTAD</t>
        </is>
      </c>
      <c r="I436" t="n">
        <v>1.7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70733-2021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44537</v>
      </c>
      <c r="E437" s="1" t="n">
        <v>46315</v>
      </c>
      <c r="F437" t="inlineStr">
        <is>
          <t>HALLANDS LÄN</t>
        </is>
      </c>
      <c r="G437" t="inlineStr">
        <is>
          <t>FALKENBERG</t>
        </is>
      </c>
      <c r="H437" t="inlineStr">
        <is>
          <t>Kyrkan</t>
        </is>
      </c>
      <c r="I437" t="n">
        <v>0.8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34628-2022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44795</v>
      </c>
      <c r="E438" s="1" t="n">
        <v>46315</v>
      </c>
      <c r="F438" t="inlineStr">
        <is>
          <t>HALLANDS LÄN</t>
        </is>
      </c>
      <c r="G438" t="inlineStr">
        <is>
          <t>HYLTE</t>
        </is>
      </c>
      <c r="I438" t="n">
        <v>0.5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11056-2022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44628</v>
      </c>
      <c r="E439" s="1" t="n">
        <v>46315</v>
      </c>
      <c r="F439" t="inlineStr">
        <is>
          <t>HALLANDS LÄN</t>
        </is>
      </c>
      <c r="G439" t="inlineStr">
        <is>
          <t>FALKENBERG</t>
        </is>
      </c>
      <c r="H439" t="inlineStr">
        <is>
          <t>Bergvik skog väst AB</t>
        </is>
      </c>
      <c r="I439" t="n">
        <v>0.6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39550-2022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44818</v>
      </c>
      <c r="E440" s="1" t="n">
        <v>46315</v>
      </c>
      <c r="F440" t="inlineStr">
        <is>
          <t>HALLANDS LÄN</t>
        </is>
      </c>
      <c r="G440" t="inlineStr">
        <is>
          <t>HYLTE</t>
        </is>
      </c>
      <c r="I440" t="n">
        <v>0.5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5785-2022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44596</v>
      </c>
      <c r="E441" s="1" t="n">
        <v>46315</v>
      </c>
      <c r="F441" t="inlineStr">
        <is>
          <t>HALLANDS LÄN</t>
        </is>
      </c>
      <c r="G441" t="inlineStr">
        <is>
          <t>VARBERG</t>
        </is>
      </c>
      <c r="I441" t="n">
        <v>9.1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35795-2022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44801</v>
      </c>
      <c r="E442" s="1" t="n">
        <v>46315</v>
      </c>
      <c r="F442" t="inlineStr">
        <is>
          <t>HALLANDS LÄN</t>
        </is>
      </c>
      <c r="G442" t="inlineStr">
        <is>
          <t>HYLTE</t>
        </is>
      </c>
      <c r="I442" t="n">
        <v>0.3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5777-2022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44596</v>
      </c>
      <c r="E443" s="1" t="n">
        <v>46315</v>
      </c>
      <c r="F443" t="inlineStr">
        <is>
          <t>HALLANDS LÄN</t>
        </is>
      </c>
      <c r="G443" t="inlineStr">
        <is>
          <t>HYLTE</t>
        </is>
      </c>
      <c r="H443" t="inlineStr">
        <is>
          <t>Bergvik skog väst AB</t>
        </is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6241-2022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44600</v>
      </c>
      <c r="E444" s="1" t="n">
        <v>46315</v>
      </c>
      <c r="F444" t="inlineStr">
        <is>
          <t>HALLANDS LÄN</t>
        </is>
      </c>
      <c r="G444" t="inlineStr">
        <is>
          <t>LAHOLM</t>
        </is>
      </c>
      <c r="I444" t="n">
        <v>0.7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6244-2022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44600</v>
      </c>
      <c r="E445" s="1" t="n">
        <v>46315</v>
      </c>
      <c r="F445" t="inlineStr">
        <is>
          <t>HALLANDS LÄN</t>
        </is>
      </c>
      <c r="G445" t="inlineStr">
        <is>
          <t>LAHOLM</t>
        </is>
      </c>
      <c r="I445" t="n">
        <v>0.3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71740-2021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44543</v>
      </c>
      <c r="E446" s="1" t="n">
        <v>46315</v>
      </c>
      <c r="F446" t="inlineStr">
        <is>
          <t>HALLANDS LÄN</t>
        </is>
      </c>
      <c r="G446" t="inlineStr">
        <is>
          <t>FALKENBERG</t>
        </is>
      </c>
      <c r="I446" t="n">
        <v>2.8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13159-2022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44644</v>
      </c>
      <c r="E447" s="1" t="n">
        <v>46315</v>
      </c>
      <c r="F447" t="inlineStr">
        <is>
          <t>HALLANDS LÄN</t>
        </is>
      </c>
      <c r="G447" t="inlineStr">
        <is>
          <t>HYLTE</t>
        </is>
      </c>
      <c r="I447" t="n">
        <v>0.7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71743-2021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44539</v>
      </c>
      <c r="E448" s="1" t="n">
        <v>46315</v>
      </c>
      <c r="F448" t="inlineStr">
        <is>
          <t>HALLANDS LÄN</t>
        </is>
      </c>
      <c r="G448" t="inlineStr">
        <is>
          <t>FALKENBERG</t>
        </is>
      </c>
      <c r="I448" t="n">
        <v>5.7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67290-2021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44523</v>
      </c>
      <c r="E449" s="1" t="n">
        <v>46315</v>
      </c>
      <c r="F449" t="inlineStr">
        <is>
          <t>HALLANDS LÄN</t>
        </is>
      </c>
      <c r="G449" t="inlineStr">
        <is>
          <t>HYLTE</t>
        </is>
      </c>
      <c r="I449" t="n">
        <v>0.5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61380-2021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44500</v>
      </c>
      <c r="E450" s="1" t="n">
        <v>46315</v>
      </c>
      <c r="F450" t="inlineStr">
        <is>
          <t>HALLANDS LÄN</t>
        </is>
      </c>
      <c r="G450" t="inlineStr">
        <is>
          <t>HYLTE</t>
        </is>
      </c>
      <c r="I450" t="n">
        <v>1.2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18080-2022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44684</v>
      </c>
      <c r="E451" s="1" t="n">
        <v>46315</v>
      </c>
      <c r="F451" t="inlineStr">
        <is>
          <t>HALLANDS LÄN</t>
        </is>
      </c>
      <c r="G451" t="inlineStr">
        <is>
          <t>VARBERG</t>
        </is>
      </c>
      <c r="I451" t="n">
        <v>1.5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24626-2022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44727</v>
      </c>
      <c r="E452" s="1" t="n">
        <v>46315</v>
      </c>
      <c r="F452" t="inlineStr">
        <is>
          <t>HALLANDS LÄN</t>
        </is>
      </c>
      <c r="G452" t="inlineStr">
        <is>
          <t>HYLTE</t>
        </is>
      </c>
      <c r="I452" t="n">
        <v>4.3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24593-2022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44727</v>
      </c>
      <c r="E453" s="1" t="n">
        <v>46315</v>
      </c>
      <c r="F453" t="inlineStr">
        <is>
          <t>HALLANDS LÄN</t>
        </is>
      </c>
      <c r="G453" t="inlineStr">
        <is>
          <t>LAHOLM</t>
        </is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21308-2022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44705</v>
      </c>
      <c r="E454" s="1" t="n">
        <v>46315</v>
      </c>
      <c r="F454" t="inlineStr">
        <is>
          <t>HALLANDS LÄN</t>
        </is>
      </c>
      <c r="G454" t="inlineStr">
        <is>
          <t>HYLTE</t>
        </is>
      </c>
      <c r="I454" t="n">
        <v>1.2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64672-2021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44512</v>
      </c>
      <c r="E455" s="1" t="n">
        <v>46315</v>
      </c>
      <c r="F455" t="inlineStr">
        <is>
          <t>HALLANDS LÄN</t>
        </is>
      </c>
      <c r="G455" t="inlineStr">
        <is>
          <t>LAHOLM</t>
        </is>
      </c>
      <c r="I455" t="n">
        <v>1.3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72139-2021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44544</v>
      </c>
      <c r="E456" s="1" t="n">
        <v>46315</v>
      </c>
      <c r="F456" t="inlineStr">
        <is>
          <t>HALLANDS LÄN</t>
        </is>
      </c>
      <c r="G456" t="inlineStr">
        <is>
          <t>HALMSTAD</t>
        </is>
      </c>
      <c r="I456" t="n">
        <v>0.5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30169-2022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44757</v>
      </c>
      <c r="E457" s="1" t="n">
        <v>46315</v>
      </c>
      <c r="F457" t="inlineStr">
        <is>
          <t>HALLANDS LÄN</t>
        </is>
      </c>
      <c r="G457" t="inlineStr">
        <is>
          <t>HYLTE</t>
        </is>
      </c>
      <c r="I457" t="n">
        <v>0.6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15322-2022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44659</v>
      </c>
      <c r="E458" s="1" t="n">
        <v>46315</v>
      </c>
      <c r="F458" t="inlineStr">
        <is>
          <t>HALLANDS LÄN</t>
        </is>
      </c>
      <c r="G458" t="inlineStr">
        <is>
          <t>HYLTE</t>
        </is>
      </c>
      <c r="H458" t="inlineStr">
        <is>
          <t>Bergvik skog väst AB</t>
        </is>
      </c>
      <c r="I458" t="n">
        <v>0.4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15328-2022</t>
        </is>
      </c>
      <c r="B459" t="inlineStr">
        <is>
          <t>avverkningsanmälan</t>
        </is>
      </c>
      <c r="C459" t="inlineStr">
        <is>
          <t>Avverkning för annat ändamål</t>
        </is>
      </c>
      <c r="D459" s="1" t="n">
        <v>44659</v>
      </c>
      <c r="E459" s="1" t="n">
        <v>46315</v>
      </c>
      <c r="F459" t="inlineStr">
        <is>
          <t>HALLANDS LÄN</t>
        </is>
      </c>
      <c r="G459" t="inlineStr">
        <is>
          <t>HYLTE</t>
        </is>
      </c>
      <c r="H459" t="inlineStr">
        <is>
          <t>Bergvik skog väst AB</t>
        </is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59948-2021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44494</v>
      </c>
      <c r="E460" s="1" t="n">
        <v>46315</v>
      </c>
      <c r="F460" t="inlineStr">
        <is>
          <t>HALLANDS LÄN</t>
        </is>
      </c>
      <c r="G460" t="inlineStr">
        <is>
          <t>HYLTE</t>
        </is>
      </c>
      <c r="I460" t="n">
        <v>3.9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37849-2022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44811</v>
      </c>
      <c r="E461" s="1" t="n">
        <v>46315</v>
      </c>
      <c r="F461" t="inlineStr">
        <is>
          <t>HALLANDS LÄN</t>
        </is>
      </c>
      <c r="G461" t="inlineStr">
        <is>
          <t>VARBERG</t>
        </is>
      </c>
      <c r="I461" t="n">
        <v>1.3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63404-2021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44508</v>
      </c>
      <c r="E462" s="1" t="n">
        <v>46315</v>
      </c>
      <c r="F462" t="inlineStr">
        <is>
          <t>HALLANDS LÄN</t>
        </is>
      </c>
      <c r="G462" t="inlineStr">
        <is>
          <t>LAHOLM</t>
        </is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71732-2021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44539</v>
      </c>
      <c r="E463" s="1" t="n">
        <v>46315</v>
      </c>
      <c r="F463" t="inlineStr">
        <is>
          <t>HALLANDS LÄN</t>
        </is>
      </c>
      <c r="G463" t="inlineStr">
        <is>
          <t>FALKENBERG</t>
        </is>
      </c>
      <c r="I463" t="n">
        <v>2.9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60221-2021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44495</v>
      </c>
      <c r="E464" s="1" t="n">
        <v>46315</v>
      </c>
      <c r="F464" t="inlineStr">
        <is>
          <t>HALLANDS LÄN</t>
        </is>
      </c>
      <c r="G464" t="inlineStr">
        <is>
          <t>HYLTE</t>
        </is>
      </c>
      <c r="I464" t="n">
        <v>1.1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56664-2024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45625</v>
      </c>
      <c r="E465" s="1" t="n">
        <v>46315</v>
      </c>
      <c r="F465" t="inlineStr">
        <is>
          <t>HALLANDS LÄN</t>
        </is>
      </c>
      <c r="G465" t="inlineStr">
        <is>
          <t>LAHOLM</t>
        </is>
      </c>
      <c r="I465" t="n">
        <v>0.8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56701-2024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45627</v>
      </c>
      <c r="E466" s="1" t="n">
        <v>46315</v>
      </c>
      <c r="F466" t="inlineStr">
        <is>
          <t>HALLANDS LÄN</t>
        </is>
      </c>
      <c r="G466" t="inlineStr">
        <is>
          <t>FALKENBERG</t>
        </is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13086-2025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45734</v>
      </c>
      <c r="E467" s="1" t="n">
        <v>46315</v>
      </c>
      <c r="F467" t="inlineStr">
        <is>
          <t>HALLANDS LÄN</t>
        </is>
      </c>
      <c r="G467" t="inlineStr">
        <is>
          <t>LAHOLM</t>
        </is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4766-2025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45688</v>
      </c>
      <c r="E468" s="1" t="n">
        <v>46315</v>
      </c>
      <c r="F468" t="inlineStr">
        <is>
          <t>HALLANDS LÄN</t>
        </is>
      </c>
      <c r="G468" t="inlineStr">
        <is>
          <t>LAHOLM</t>
        </is>
      </c>
      <c r="I468" t="n">
        <v>2.2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18489-2023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45042</v>
      </c>
      <c r="E469" s="1" t="n">
        <v>46315</v>
      </c>
      <c r="F469" t="inlineStr">
        <is>
          <t>HALLANDS LÄN</t>
        </is>
      </c>
      <c r="G469" t="inlineStr">
        <is>
          <t>HYLTE</t>
        </is>
      </c>
      <c r="I469" t="n">
        <v>0.6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7480-2025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45705</v>
      </c>
      <c r="E470" s="1" t="n">
        <v>46315</v>
      </c>
      <c r="F470" t="inlineStr">
        <is>
          <t>HALLANDS LÄN</t>
        </is>
      </c>
      <c r="G470" t="inlineStr">
        <is>
          <t>VARBERG</t>
        </is>
      </c>
      <c r="I470" t="n">
        <v>1.2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7516-2025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45705</v>
      </c>
      <c r="E471" s="1" t="n">
        <v>46315</v>
      </c>
      <c r="F471" t="inlineStr">
        <is>
          <t>HALLANDS LÄN</t>
        </is>
      </c>
      <c r="G471" t="inlineStr">
        <is>
          <t>FALKENBERG</t>
        </is>
      </c>
      <c r="I471" t="n">
        <v>0.6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4490-2024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45327</v>
      </c>
      <c r="E472" s="1" t="n">
        <v>46315</v>
      </c>
      <c r="F472" t="inlineStr">
        <is>
          <t>HALLANDS LÄN</t>
        </is>
      </c>
      <c r="G472" t="inlineStr">
        <is>
          <t>LAHOLM</t>
        </is>
      </c>
      <c r="I472" t="n">
        <v>0.6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4527-2024</t>
        </is>
      </c>
      <c r="B473" t="inlineStr">
        <is>
          <t>avverkningsanmälan</t>
        </is>
      </c>
      <c r="C473" t="inlineStr">
        <is>
          <t>Avverkning för annat ändamål</t>
        </is>
      </c>
      <c r="D473" s="1" t="n">
        <v>45327</v>
      </c>
      <c r="E473" s="1" t="n">
        <v>46315</v>
      </c>
      <c r="F473" t="inlineStr">
        <is>
          <t>HALLANDS LÄN</t>
        </is>
      </c>
      <c r="G473" t="inlineStr">
        <is>
          <t>HYLTE</t>
        </is>
      </c>
      <c r="I473" t="n">
        <v>0.4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7956-2024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45350</v>
      </c>
      <c r="E474" s="1" t="n">
        <v>46315</v>
      </c>
      <c r="F474" t="inlineStr">
        <is>
          <t>HALLANDS LÄN</t>
        </is>
      </c>
      <c r="G474" t="inlineStr">
        <is>
          <t>FALKENBERG</t>
        </is>
      </c>
      <c r="I474" t="n">
        <v>1.4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12074-2024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45377</v>
      </c>
      <c r="E475" s="1" t="n">
        <v>46315</v>
      </c>
      <c r="F475" t="inlineStr">
        <is>
          <t>HALLANDS LÄN</t>
        </is>
      </c>
      <c r="G475" t="inlineStr">
        <is>
          <t>FALKENBERG</t>
        </is>
      </c>
      <c r="I475" t="n">
        <v>1.4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13212-2025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45735</v>
      </c>
      <c r="E476" s="1" t="n">
        <v>46315</v>
      </c>
      <c r="F476" t="inlineStr">
        <is>
          <t>HALLANDS LÄN</t>
        </is>
      </c>
      <c r="G476" t="inlineStr">
        <is>
          <t>HALMSTAD</t>
        </is>
      </c>
      <c r="I476" t="n">
        <v>1.4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41238-2023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45174</v>
      </c>
      <c r="E477" s="1" t="n">
        <v>46315</v>
      </c>
      <c r="F477" t="inlineStr">
        <is>
          <t>HALLANDS LÄN</t>
        </is>
      </c>
      <c r="G477" t="inlineStr">
        <is>
          <t>FALKENBERG</t>
        </is>
      </c>
      <c r="I477" t="n">
        <v>1.8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50791-2023</t>
        </is>
      </c>
      <c r="B478" t="inlineStr">
        <is>
          <t>avverkningsanmälan</t>
        </is>
      </c>
      <c r="C478" t="inlineStr">
        <is>
          <t>Avverkning för annat ändamål</t>
        </is>
      </c>
      <c r="D478" s="1" t="n">
        <v>45217</v>
      </c>
      <c r="E478" s="1" t="n">
        <v>46315</v>
      </c>
      <c r="F478" t="inlineStr">
        <is>
          <t>HALLANDS LÄN</t>
        </is>
      </c>
      <c r="G478" t="inlineStr">
        <is>
          <t>HALMSTAD</t>
        </is>
      </c>
      <c r="I478" t="n">
        <v>0.8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15339-2024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45400</v>
      </c>
      <c r="E479" s="1" t="n">
        <v>46315</v>
      </c>
      <c r="F479" t="inlineStr">
        <is>
          <t>HALLANDS LÄN</t>
        </is>
      </c>
      <c r="G479" t="inlineStr">
        <is>
          <t>FALKENBERG</t>
        </is>
      </c>
      <c r="I479" t="n">
        <v>1.6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31547-2022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44775</v>
      </c>
      <c r="E480" s="1" t="n">
        <v>46315</v>
      </c>
      <c r="F480" t="inlineStr">
        <is>
          <t>HALLANDS LÄN</t>
        </is>
      </c>
      <c r="G480" t="inlineStr">
        <is>
          <t>HALMSTAD</t>
        </is>
      </c>
      <c r="I480" t="n">
        <v>0.7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725-2024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45300</v>
      </c>
      <c r="E481" s="1" t="n">
        <v>46315</v>
      </c>
      <c r="F481" t="inlineStr">
        <is>
          <t>HALLANDS LÄN</t>
        </is>
      </c>
      <c r="G481" t="inlineStr">
        <is>
          <t>VARBERG</t>
        </is>
      </c>
      <c r="I481" t="n">
        <v>0.6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45829-2023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45195</v>
      </c>
      <c r="E482" s="1" t="n">
        <v>46315</v>
      </c>
      <c r="F482" t="inlineStr">
        <is>
          <t>HALLANDS LÄN</t>
        </is>
      </c>
      <c r="G482" t="inlineStr">
        <is>
          <t>FALKENBERG</t>
        </is>
      </c>
      <c r="I482" t="n">
        <v>1.8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49549-2023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45211</v>
      </c>
      <c r="E483" s="1" t="n">
        <v>46315</v>
      </c>
      <c r="F483" t="inlineStr">
        <is>
          <t>HALLANDS LÄN</t>
        </is>
      </c>
      <c r="G483" t="inlineStr">
        <is>
          <t>LAHOLM</t>
        </is>
      </c>
      <c r="I483" t="n">
        <v>3.2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16899-2024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45411</v>
      </c>
      <c r="E484" s="1" t="n">
        <v>46315</v>
      </c>
      <c r="F484" t="inlineStr">
        <is>
          <t>HALLANDS LÄN</t>
        </is>
      </c>
      <c r="G484" t="inlineStr">
        <is>
          <t>VARBERG</t>
        </is>
      </c>
      <c r="I484" t="n">
        <v>0.3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62189-2022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44922</v>
      </c>
      <c r="E485" s="1" t="n">
        <v>46315</v>
      </c>
      <c r="F485" t="inlineStr">
        <is>
          <t>HALLANDS LÄN</t>
        </is>
      </c>
      <c r="G485" t="inlineStr">
        <is>
          <t>HALMSTAD</t>
        </is>
      </c>
      <c r="I485" t="n">
        <v>1.2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653-2024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45299</v>
      </c>
      <c r="E486" s="1" t="n">
        <v>46315</v>
      </c>
      <c r="F486" t="inlineStr">
        <is>
          <t>HALLANDS LÄN</t>
        </is>
      </c>
      <c r="G486" t="inlineStr">
        <is>
          <t>HYLTE</t>
        </is>
      </c>
      <c r="I486" t="n">
        <v>1.3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48682-2023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45208</v>
      </c>
      <c r="E487" s="1" t="n">
        <v>46315</v>
      </c>
      <c r="F487" t="inlineStr">
        <is>
          <t>HALLANDS LÄN</t>
        </is>
      </c>
      <c r="G487" t="inlineStr">
        <is>
          <t>LAHOLM</t>
        </is>
      </c>
      <c r="I487" t="n">
        <v>2.4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45855-2023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45195</v>
      </c>
      <c r="E488" s="1" t="n">
        <v>46315</v>
      </c>
      <c r="F488" t="inlineStr">
        <is>
          <t>HALLANDS LÄN</t>
        </is>
      </c>
      <c r="G488" t="inlineStr">
        <is>
          <t>LAHOLM</t>
        </is>
      </c>
      <c r="I488" t="n">
        <v>2.3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48734-2023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45208</v>
      </c>
      <c r="E489" s="1" t="n">
        <v>46315</v>
      </c>
      <c r="F489" t="inlineStr">
        <is>
          <t>HALLANDS LÄN</t>
        </is>
      </c>
      <c r="G489" t="inlineStr">
        <is>
          <t>HYLTE</t>
        </is>
      </c>
      <c r="I489" t="n">
        <v>2.6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10137-2025</t>
        </is>
      </c>
      <c r="B490" t="inlineStr">
        <is>
          <t>avverkningsanmälan</t>
        </is>
      </c>
      <c r="C490" t="inlineStr">
        <is>
          <t>Avverkning för annat ändamål</t>
        </is>
      </c>
      <c r="D490" s="1" t="n">
        <v>45719</v>
      </c>
      <c r="E490" s="1" t="n">
        <v>46315</v>
      </c>
      <c r="F490" t="inlineStr">
        <is>
          <t>HALLANDS LÄN</t>
        </is>
      </c>
      <c r="G490" t="inlineStr">
        <is>
          <t>KUNGSBACKA</t>
        </is>
      </c>
      <c r="I490" t="n">
        <v>0.9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59626-2023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45254</v>
      </c>
      <c r="E491" s="1" t="n">
        <v>46315</v>
      </c>
      <c r="F491" t="inlineStr">
        <is>
          <t>HALLANDS LÄN</t>
        </is>
      </c>
      <c r="G491" t="inlineStr">
        <is>
          <t>HYLTE</t>
        </is>
      </c>
      <c r="I491" t="n">
        <v>0.5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57946-2022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44900</v>
      </c>
      <c r="E492" s="1" t="n">
        <v>46315</v>
      </c>
      <c r="F492" t="inlineStr">
        <is>
          <t>HALLANDS LÄN</t>
        </is>
      </c>
      <c r="G492" t="inlineStr">
        <is>
          <t>HYLTE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53605-2023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45230</v>
      </c>
      <c r="E493" s="1" t="n">
        <v>46315</v>
      </c>
      <c r="F493" t="inlineStr">
        <is>
          <t>HALLANDS LÄN</t>
        </is>
      </c>
      <c r="G493" t="inlineStr">
        <is>
          <t>LAHOLM</t>
        </is>
      </c>
      <c r="I493" t="n">
        <v>1.4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50452-2022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44866</v>
      </c>
      <c r="E494" s="1" t="n">
        <v>46315</v>
      </c>
      <c r="F494" t="inlineStr">
        <is>
          <t>HALLANDS LÄN</t>
        </is>
      </c>
      <c r="G494" t="inlineStr">
        <is>
          <t>HYLTE</t>
        </is>
      </c>
      <c r="I494" t="n">
        <v>5.5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53642-2023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45230</v>
      </c>
      <c r="E495" s="1" t="n">
        <v>46315</v>
      </c>
      <c r="F495" t="inlineStr">
        <is>
          <t>HALLANDS LÄN</t>
        </is>
      </c>
      <c r="G495" t="inlineStr">
        <is>
          <t>HALMSTAD</t>
        </is>
      </c>
      <c r="I495" t="n">
        <v>1.1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10084-2024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45364</v>
      </c>
      <c r="E496" s="1" t="n">
        <v>46315</v>
      </c>
      <c r="F496" t="inlineStr">
        <is>
          <t>HALLANDS LÄN</t>
        </is>
      </c>
      <c r="G496" t="inlineStr">
        <is>
          <t>LAHOLM</t>
        </is>
      </c>
      <c r="I496" t="n">
        <v>3.4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57938-2022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44900</v>
      </c>
      <c r="E497" s="1" t="n">
        <v>46315</v>
      </c>
      <c r="F497" t="inlineStr">
        <is>
          <t>HALLANDS LÄN</t>
        </is>
      </c>
      <c r="G497" t="inlineStr">
        <is>
          <t>HYLTE</t>
        </is>
      </c>
      <c r="I497" t="n">
        <v>11.6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5436-2024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45331</v>
      </c>
      <c r="E498" s="1" t="n">
        <v>46315</v>
      </c>
      <c r="F498" t="inlineStr">
        <is>
          <t>HALLANDS LÄN</t>
        </is>
      </c>
      <c r="G498" t="inlineStr">
        <is>
          <t>HYLTE</t>
        </is>
      </c>
      <c r="I498" t="n">
        <v>1.7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36980-2022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44806</v>
      </c>
      <c r="E499" s="1" t="n">
        <v>46315</v>
      </c>
      <c r="F499" t="inlineStr">
        <is>
          <t>HALLANDS LÄN</t>
        </is>
      </c>
      <c r="G499" t="inlineStr">
        <is>
          <t>FALKENBERG</t>
        </is>
      </c>
      <c r="I499" t="n">
        <v>4.2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41573-2022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44827</v>
      </c>
      <c r="E500" s="1" t="n">
        <v>46315</v>
      </c>
      <c r="F500" t="inlineStr">
        <is>
          <t>HALLANDS LÄN</t>
        </is>
      </c>
      <c r="G500" t="inlineStr">
        <is>
          <t>LAHOLM</t>
        </is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34050-2023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45135</v>
      </c>
      <c r="E501" s="1" t="n">
        <v>46315</v>
      </c>
      <c r="F501" t="inlineStr">
        <is>
          <t>HALLANDS LÄN</t>
        </is>
      </c>
      <c r="G501" t="inlineStr">
        <is>
          <t>LAHOLM</t>
        </is>
      </c>
      <c r="I501" t="n">
        <v>0.6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31280-2022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44771</v>
      </c>
      <c r="E502" s="1" t="n">
        <v>46315</v>
      </c>
      <c r="F502" t="inlineStr">
        <is>
          <t>HALLANDS LÄN</t>
        </is>
      </c>
      <c r="G502" t="inlineStr">
        <is>
          <t>LAHOLM</t>
        </is>
      </c>
      <c r="I502" t="n">
        <v>1.4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10003-2024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45363</v>
      </c>
      <c r="E503" s="1" t="n">
        <v>46315</v>
      </c>
      <c r="F503" t="inlineStr">
        <is>
          <t>HALLANDS LÄN</t>
        </is>
      </c>
      <c r="G503" t="inlineStr">
        <is>
          <t>FALKENBERG</t>
        </is>
      </c>
      <c r="I503" t="n">
        <v>0.4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46251-2022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44847</v>
      </c>
      <c r="E504" s="1" t="n">
        <v>46315</v>
      </c>
      <c r="F504" t="inlineStr">
        <is>
          <t>HALLANDS LÄN</t>
        </is>
      </c>
      <c r="G504" t="inlineStr">
        <is>
          <t>HYLTE</t>
        </is>
      </c>
      <c r="I504" t="n">
        <v>0.6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59421-2023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45254</v>
      </c>
      <c r="E505" s="1" t="n">
        <v>46315</v>
      </c>
      <c r="F505" t="inlineStr">
        <is>
          <t>HALLANDS LÄN</t>
        </is>
      </c>
      <c r="G505" t="inlineStr">
        <is>
          <t>HYLTE</t>
        </is>
      </c>
      <c r="I505" t="n">
        <v>0.7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59423-2023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45254</v>
      </c>
      <c r="E506" s="1" t="n">
        <v>46315</v>
      </c>
      <c r="F506" t="inlineStr">
        <is>
          <t>HALLANDS LÄN</t>
        </is>
      </c>
      <c r="G506" t="inlineStr">
        <is>
          <t>HYLTE</t>
        </is>
      </c>
      <c r="I506" t="n">
        <v>0.6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51131-2023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45219</v>
      </c>
      <c r="E507" s="1" t="n">
        <v>46315</v>
      </c>
      <c r="F507" t="inlineStr">
        <is>
          <t>HALLANDS LÄN</t>
        </is>
      </c>
      <c r="G507" t="inlineStr">
        <is>
          <t>LAHOLM</t>
        </is>
      </c>
      <c r="I507" t="n">
        <v>3.6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20719-2024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45436</v>
      </c>
      <c r="E508" s="1" t="n">
        <v>46315</v>
      </c>
      <c r="F508" t="inlineStr">
        <is>
          <t>HALLANDS LÄN</t>
        </is>
      </c>
      <c r="G508" t="inlineStr">
        <is>
          <t>VARBERG</t>
        </is>
      </c>
      <c r="H508" t="inlineStr">
        <is>
          <t>Kyrkan</t>
        </is>
      </c>
      <c r="I508" t="n">
        <v>3.2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13686-2024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45390</v>
      </c>
      <c r="E509" s="1" t="n">
        <v>46315</v>
      </c>
      <c r="F509" t="inlineStr">
        <is>
          <t>HALLANDS LÄN</t>
        </is>
      </c>
      <c r="G509" t="inlineStr">
        <is>
          <t>HYLTE</t>
        </is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9694-2024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45362</v>
      </c>
      <c r="E510" s="1" t="n">
        <v>46315</v>
      </c>
      <c r="F510" t="inlineStr">
        <is>
          <t>HALLANDS LÄN</t>
        </is>
      </c>
      <c r="G510" t="inlineStr">
        <is>
          <t>LAHOLM</t>
        </is>
      </c>
      <c r="I510" t="n">
        <v>6.3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5201-2024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45330</v>
      </c>
      <c r="E511" s="1" t="n">
        <v>46315</v>
      </c>
      <c r="F511" t="inlineStr">
        <is>
          <t>HALLANDS LÄN</t>
        </is>
      </c>
      <c r="G511" t="inlineStr">
        <is>
          <t>KUNGSBACKA</t>
        </is>
      </c>
      <c r="I511" t="n">
        <v>6.7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9348-2024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45359</v>
      </c>
      <c r="E512" s="1" t="n">
        <v>46315</v>
      </c>
      <c r="F512" t="inlineStr">
        <is>
          <t>HALLANDS LÄN</t>
        </is>
      </c>
      <c r="G512" t="inlineStr">
        <is>
          <t>VARBERG</t>
        </is>
      </c>
      <c r="I512" t="n">
        <v>1.3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49760-2023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45212</v>
      </c>
      <c r="E513" s="1" t="n">
        <v>46315</v>
      </c>
      <c r="F513" t="inlineStr">
        <is>
          <t>HALLANDS LÄN</t>
        </is>
      </c>
      <c r="G513" t="inlineStr">
        <is>
          <t>FALKENBERG</t>
        </is>
      </c>
      <c r="I513" t="n">
        <v>3.6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51332-2022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44869</v>
      </c>
      <c r="E514" s="1" t="n">
        <v>46315</v>
      </c>
      <c r="F514" t="inlineStr">
        <is>
          <t>HALLANDS LÄN</t>
        </is>
      </c>
      <c r="G514" t="inlineStr">
        <is>
          <t>KUNGSBACKA</t>
        </is>
      </c>
      <c r="I514" t="n">
        <v>1.1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51943-2022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44872</v>
      </c>
      <c r="E515" s="1" t="n">
        <v>46315</v>
      </c>
      <c r="F515" t="inlineStr">
        <is>
          <t>HALLANDS LÄN</t>
        </is>
      </c>
      <c r="G515" t="inlineStr">
        <is>
          <t>HYLTE</t>
        </is>
      </c>
      <c r="I515" t="n">
        <v>1.9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18732-2024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45426</v>
      </c>
      <c r="E516" s="1" t="n">
        <v>46315</v>
      </c>
      <c r="F516" t="inlineStr">
        <is>
          <t>HALLANDS LÄN</t>
        </is>
      </c>
      <c r="G516" t="inlineStr">
        <is>
          <t>FALKENBERG</t>
        </is>
      </c>
      <c r="I516" t="n">
        <v>3.8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60396-2023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45259</v>
      </c>
      <c r="E517" s="1" t="n">
        <v>46315</v>
      </c>
      <c r="F517" t="inlineStr">
        <is>
          <t>HALLANDS LÄN</t>
        </is>
      </c>
      <c r="G517" t="inlineStr">
        <is>
          <t>HALMSTAD</t>
        </is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56320-2022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44890</v>
      </c>
      <c r="E518" s="1" t="n">
        <v>46315</v>
      </c>
      <c r="F518" t="inlineStr">
        <is>
          <t>HALLANDS LÄN</t>
        </is>
      </c>
      <c r="G518" t="inlineStr">
        <is>
          <t>VARBERG</t>
        </is>
      </c>
      <c r="I518" t="n">
        <v>5.5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49764-2023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45212</v>
      </c>
      <c r="E519" s="1" t="n">
        <v>46315</v>
      </c>
      <c r="F519" t="inlineStr">
        <is>
          <t>HALLANDS LÄN</t>
        </is>
      </c>
      <c r="G519" t="inlineStr">
        <is>
          <t>FALKENBERG</t>
        </is>
      </c>
      <c r="I519" t="n">
        <v>4.5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3758-2024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45321</v>
      </c>
      <c r="E520" s="1" t="n">
        <v>46315</v>
      </c>
      <c r="F520" t="inlineStr">
        <is>
          <t>HALLANDS LÄN</t>
        </is>
      </c>
      <c r="G520" t="inlineStr">
        <is>
          <t>HALMSTAD</t>
        </is>
      </c>
      <c r="I520" t="n">
        <v>1.7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21459-2024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45441</v>
      </c>
      <c r="E521" s="1" t="n">
        <v>46315</v>
      </c>
      <c r="F521" t="inlineStr">
        <is>
          <t>HALLANDS LÄN</t>
        </is>
      </c>
      <c r="G521" t="inlineStr">
        <is>
          <t>HYLTE</t>
        </is>
      </c>
      <c r="I521" t="n">
        <v>0.6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53400-2023</t>
        </is>
      </c>
      <c r="B522" t="inlineStr">
        <is>
          <t>avverkningsanmälan</t>
        </is>
      </c>
      <c r="C522" t="inlineStr">
        <is>
          <t>Avverkning för annat ändamål</t>
        </is>
      </c>
      <c r="D522" s="1" t="n">
        <v>45229</v>
      </c>
      <c r="E522" s="1" t="n">
        <v>46315</v>
      </c>
      <c r="F522" t="inlineStr">
        <is>
          <t>HALLANDS LÄN</t>
        </is>
      </c>
      <c r="G522" t="inlineStr">
        <is>
          <t>FALKENBERG</t>
        </is>
      </c>
      <c r="I522" t="n">
        <v>4.6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37725-2022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44810</v>
      </c>
      <c r="E523" s="1" t="n">
        <v>46315</v>
      </c>
      <c r="F523" t="inlineStr">
        <is>
          <t>HALLANDS LÄN</t>
        </is>
      </c>
      <c r="G523" t="inlineStr">
        <is>
          <t>LAHOLM</t>
        </is>
      </c>
      <c r="I523" t="n">
        <v>3.7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37705-2022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44810</v>
      </c>
      <c r="E524" s="1" t="n">
        <v>46315</v>
      </c>
      <c r="F524" t="inlineStr">
        <is>
          <t>HALLANDS LÄN</t>
        </is>
      </c>
      <c r="G524" t="inlineStr">
        <is>
          <t>LAHOLM</t>
        </is>
      </c>
      <c r="I524" t="n">
        <v>1.8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59496-2023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45254</v>
      </c>
      <c r="E525" s="1" t="n">
        <v>46315</v>
      </c>
      <c r="F525" t="inlineStr">
        <is>
          <t>HALLANDS LÄN</t>
        </is>
      </c>
      <c r="G525" t="inlineStr">
        <is>
          <t>HYLTE</t>
        </is>
      </c>
      <c r="I525" t="n">
        <v>1.7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59518-2023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45254</v>
      </c>
      <c r="E526" s="1" t="n">
        <v>46315</v>
      </c>
      <c r="F526" t="inlineStr">
        <is>
          <t>HALLANDS LÄN</t>
        </is>
      </c>
      <c r="G526" t="inlineStr">
        <is>
          <t>HYLTE</t>
        </is>
      </c>
      <c r="I526" t="n">
        <v>0.3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21088-2023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45061</v>
      </c>
      <c r="E527" s="1" t="n">
        <v>46315</v>
      </c>
      <c r="F527" t="inlineStr">
        <is>
          <t>HALLANDS LÄN</t>
        </is>
      </c>
      <c r="G527" t="inlineStr">
        <is>
          <t>HYLTE</t>
        </is>
      </c>
      <c r="I527" t="n">
        <v>1.4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17212-2025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45756</v>
      </c>
      <c r="E528" s="1" t="n">
        <v>46315</v>
      </c>
      <c r="F528" t="inlineStr">
        <is>
          <t>HALLANDS LÄN</t>
        </is>
      </c>
      <c r="G528" t="inlineStr">
        <is>
          <t>KUNGSBACKA</t>
        </is>
      </c>
      <c r="I528" t="n">
        <v>1.8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16920-2025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45752</v>
      </c>
      <c r="E529" s="1" t="n">
        <v>46315</v>
      </c>
      <c r="F529" t="inlineStr">
        <is>
          <t>HALLANDS LÄN</t>
        </is>
      </c>
      <c r="G529" t="inlineStr">
        <is>
          <t>HYLTE</t>
        </is>
      </c>
      <c r="H529" t="inlineStr">
        <is>
          <t>Kyrkan</t>
        </is>
      </c>
      <c r="I529" t="n">
        <v>2.9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12259-2024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45378</v>
      </c>
      <c r="E530" s="1" t="n">
        <v>46315</v>
      </c>
      <c r="F530" t="inlineStr">
        <is>
          <t>HALLANDS LÄN</t>
        </is>
      </c>
      <c r="G530" t="inlineStr">
        <is>
          <t>HYLTE</t>
        </is>
      </c>
      <c r="I530" t="n">
        <v>0.5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12608-2024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45382</v>
      </c>
      <c r="E531" s="1" t="n">
        <v>46315</v>
      </c>
      <c r="F531" t="inlineStr">
        <is>
          <t>HALLANDS LÄN</t>
        </is>
      </c>
      <c r="G531" t="inlineStr">
        <is>
          <t>HYLTE</t>
        </is>
      </c>
      <c r="I531" t="n">
        <v>0.5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31316-2022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44774</v>
      </c>
      <c r="E532" s="1" t="n">
        <v>46315</v>
      </c>
      <c r="F532" t="inlineStr">
        <is>
          <t>HALLANDS LÄN</t>
        </is>
      </c>
      <c r="G532" t="inlineStr">
        <is>
          <t>VARBERG</t>
        </is>
      </c>
      <c r="I532" t="n">
        <v>3.9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30901-2022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44767</v>
      </c>
      <c r="E533" s="1" t="n">
        <v>46315</v>
      </c>
      <c r="F533" t="inlineStr">
        <is>
          <t>HALLANDS LÄN</t>
        </is>
      </c>
      <c r="G533" t="inlineStr">
        <is>
          <t>KUNGSBACKA</t>
        </is>
      </c>
      <c r="I533" t="n">
        <v>1.9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59130-2023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45253</v>
      </c>
      <c r="E534" s="1" t="n">
        <v>46315</v>
      </c>
      <c r="F534" t="inlineStr">
        <is>
          <t>HALLANDS LÄN</t>
        </is>
      </c>
      <c r="G534" t="inlineStr">
        <is>
          <t>HYLTE</t>
        </is>
      </c>
      <c r="I534" t="n">
        <v>4.7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16755-2024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45411</v>
      </c>
      <c r="E535" s="1" t="n">
        <v>46315</v>
      </c>
      <c r="F535" t="inlineStr">
        <is>
          <t>HALLANDS LÄN</t>
        </is>
      </c>
      <c r="G535" t="inlineStr">
        <is>
          <t>VARBERG</t>
        </is>
      </c>
      <c r="I535" t="n">
        <v>2.8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58361-2022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44901</v>
      </c>
      <c r="E536" s="1" t="n">
        <v>46315</v>
      </c>
      <c r="F536" t="inlineStr">
        <is>
          <t>HALLANDS LÄN</t>
        </is>
      </c>
      <c r="G536" t="inlineStr">
        <is>
          <t>LAHOLM</t>
        </is>
      </c>
      <c r="I536" t="n">
        <v>2.4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25214-2024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45462</v>
      </c>
      <c r="E537" s="1" t="n">
        <v>46315</v>
      </c>
      <c r="F537" t="inlineStr">
        <is>
          <t>HALLANDS LÄN</t>
        </is>
      </c>
      <c r="G537" t="inlineStr">
        <is>
          <t>FALKENBERG</t>
        </is>
      </c>
      <c r="I537" t="n">
        <v>0.8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44788-2024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45574</v>
      </c>
      <c r="E538" s="1" t="n">
        <v>46315</v>
      </c>
      <c r="F538" t="inlineStr">
        <is>
          <t>HALLANDS LÄN</t>
        </is>
      </c>
      <c r="G538" t="inlineStr">
        <is>
          <t>VARBERG</t>
        </is>
      </c>
      <c r="I538" t="n">
        <v>1.7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61853-2023</t>
        </is>
      </c>
      <c r="B539" t="inlineStr">
        <is>
          <t>avverkningsanmälan</t>
        </is>
      </c>
      <c r="C539" t="inlineStr">
        <is>
          <t>Avverkning för annat ändamål</t>
        </is>
      </c>
      <c r="D539" s="1" t="n">
        <v>45265</v>
      </c>
      <c r="E539" s="1" t="n">
        <v>46315</v>
      </c>
      <c r="F539" t="inlineStr">
        <is>
          <t>HALLANDS LÄN</t>
        </is>
      </c>
      <c r="G539" t="inlineStr">
        <is>
          <t>HALMSTAD</t>
        </is>
      </c>
      <c r="I539" t="n">
        <v>1.6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20358-2024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45435</v>
      </c>
      <c r="E540" s="1" t="n">
        <v>46315</v>
      </c>
      <c r="F540" t="inlineStr">
        <is>
          <t>HALLANDS LÄN</t>
        </is>
      </c>
      <c r="G540" t="inlineStr">
        <is>
          <t>FALKENBERG</t>
        </is>
      </c>
      <c r="I540" t="n">
        <v>3.4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20750-2024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45436</v>
      </c>
      <c r="E541" s="1" t="n">
        <v>46315</v>
      </c>
      <c r="F541" t="inlineStr">
        <is>
          <t>HALLANDS LÄN</t>
        </is>
      </c>
      <c r="G541" t="inlineStr">
        <is>
          <t>KUNGSBACKA</t>
        </is>
      </c>
      <c r="I541" t="n">
        <v>0.7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38419-2024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45546</v>
      </c>
      <c r="E542" s="1" t="n">
        <v>46315</v>
      </c>
      <c r="F542" t="inlineStr">
        <is>
          <t>HALLANDS LÄN</t>
        </is>
      </c>
      <c r="G542" t="inlineStr">
        <is>
          <t>FALKENBERG</t>
        </is>
      </c>
      <c r="I542" t="n">
        <v>3.8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4815-2023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44952</v>
      </c>
      <c r="E543" s="1" t="n">
        <v>46315</v>
      </c>
      <c r="F543" t="inlineStr">
        <is>
          <t>HALLANDS LÄN</t>
        </is>
      </c>
      <c r="G543" t="inlineStr">
        <is>
          <t>HALMSTAD</t>
        </is>
      </c>
      <c r="I543" t="n">
        <v>0.9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17846-2024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45419</v>
      </c>
      <c r="E544" s="1" t="n">
        <v>46315</v>
      </c>
      <c r="F544" t="inlineStr">
        <is>
          <t>HALLANDS LÄN</t>
        </is>
      </c>
      <c r="G544" t="inlineStr">
        <is>
          <t>FALKENBERG</t>
        </is>
      </c>
      <c r="I544" t="n">
        <v>0.6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1848-2023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44938</v>
      </c>
      <c r="E545" s="1" t="n">
        <v>46315</v>
      </c>
      <c r="F545" t="inlineStr">
        <is>
          <t>HALLANDS LÄN</t>
        </is>
      </c>
      <c r="G545" t="inlineStr">
        <is>
          <t>FALKENBERG</t>
        </is>
      </c>
      <c r="I545" t="n">
        <v>0.5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31940-2023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45119</v>
      </c>
      <c r="E546" s="1" t="n">
        <v>46315</v>
      </c>
      <c r="F546" t="inlineStr">
        <is>
          <t>HALLANDS LÄN</t>
        </is>
      </c>
      <c r="G546" t="inlineStr">
        <is>
          <t>LAHOLM</t>
        </is>
      </c>
      <c r="I546" t="n">
        <v>1.4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58931-2022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44903</v>
      </c>
      <c r="E547" s="1" t="n">
        <v>46315</v>
      </c>
      <c r="F547" t="inlineStr">
        <is>
          <t>HALLANDS LÄN</t>
        </is>
      </c>
      <c r="G547" t="inlineStr">
        <is>
          <t>FALKENBERG</t>
        </is>
      </c>
      <c r="I547" t="n">
        <v>4.6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4082-2024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45323</v>
      </c>
      <c r="E548" s="1" t="n">
        <v>46315</v>
      </c>
      <c r="F548" t="inlineStr">
        <is>
          <t>HALLANDS LÄN</t>
        </is>
      </c>
      <c r="G548" t="inlineStr">
        <is>
          <t>VARBERG</t>
        </is>
      </c>
      <c r="I548" t="n">
        <v>1.6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62742-2022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44925</v>
      </c>
      <c r="E549" s="1" t="n">
        <v>46315</v>
      </c>
      <c r="F549" t="inlineStr">
        <is>
          <t>HALLANDS LÄN</t>
        </is>
      </c>
      <c r="G549" t="inlineStr">
        <is>
          <t>KUNGSBACKA</t>
        </is>
      </c>
      <c r="I549" t="n">
        <v>0.4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45839-2024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45580</v>
      </c>
      <c r="E550" s="1" t="n">
        <v>46315</v>
      </c>
      <c r="F550" t="inlineStr">
        <is>
          <t>HALLANDS LÄN</t>
        </is>
      </c>
      <c r="G550" t="inlineStr">
        <is>
          <t>FALKENBERG</t>
        </is>
      </c>
      <c r="I550" t="n">
        <v>7.4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27627-2023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45097</v>
      </c>
      <c r="E551" s="1" t="n">
        <v>46315</v>
      </c>
      <c r="F551" t="inlineStr">
        <is>
          <t>HALLANDS LÄN</t>
        </is>
      </c>
      <c r="G551" t="inlineStr">
        <is>
          <t>HYLTE</t>
        </is>
      </c>
      <c r="I551" t="n">
        <v>1.8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38174-2022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44802</v>
      </c>
      <c r="E552" s="1" t="n">
        <v>46315</v>
      </c>
      <c r="F552" t="inlineStr">
        <is>
          <t>HALLANDS LÄN</t>
        </is>
      </c>
      <c r="G552" t="inlineStr">
        <is>
          <t>HALMSTAD</t>
        </is>
      </c>
      <c r="I552" t="n">
        <v>1.9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27652-2023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45097</v>
      </c>
      <c r="E553" s="1" t="n">
        <v>46315</v>
      </c>
      <c r="F553" t="inlineStr">
        <is>
          <t>HALLANDS LÄN</t>
        </is>
      </c>
      <c r="G553" t="inlineStr">
        <is>
          <t>VARBERG</t>
        </is>
      </c>
      <c r="I553" t="n">
        <v>3.7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27654-2023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45097</v>
      </c>
      <c r="E554" s="1" t="n">
        <v>46315</v>
      </c>
      <c r="F554" t="inlineStr">
        <is>
          <t>HALLANDS LÄN</t>
        </is>
      </c>
      <c r="G554" t="inlineStr">
        <is>
          <t>VARBERG</t>
        </is>
      </c>
      <c r="I554" t="n">
        <v>1.5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4059-2024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45323</v>
      </c>
      <c r="E555" s="1" t="n">
        <v>46315</v>
      </c>
      <c r="F555" t="inlineStr">
        <is>
          <t>HALLANDS LÄN</t>
        </is>
      </c>
      <c r="G555" t="inlineStr">
        <is>
          <t>FALKENBERG</t>
        </is>
      </c>
      <c r="I555" t="n">
        <v>2.9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58683-2022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44902</v>
      </c>
      <c r="E556" s="1" t="n">
        <v>46315</v>
      </c>
      <c r="F556" t="inlineStr">
        <is>
          <t>HALLANDS LÄN</t>
        </is>
      </c>
      <c r="G556" t="inlineStr">
        <is>
          <t>VARBERG</t>
        </is>
      </c>
      <c r="I556" t="n">
        <v>2.4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35384-2024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45531</v>
      </c>
      <c r="E557" s="1" t="n">
        <v>46315</v>
      </c>
      <c r="F557" t="inlineStr">
        <is>
          <t>HALLANDS LÄN</t>
        </is>
      </c>
      <c r="G557" t="inlineStr">
        <is>
          <t>HALMSTAD</t>
        </is>
      </c>
      <c r="I557" t="n">
        <v>0.5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28541-2024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45478</v>
      </c>
      <c r="E558" s="1" t="n">
        <v>46315</v>
      </c>
      <c r="F558" t="inlineStr">
        <is>
          <t>HALLANDS LÄN</t>
        </is>
      </c>
      <c r="G558" t="inlineStr">
        <is>
          <t>HYLTE</t>
        </is>
      </c>
      <c r="I558" t="n">
        <v>1.6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1646-2024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45306</v>
      </c>
      <c r="E559" s="1" t="n">
        <v>46315</v>
      </c>
      <c r="F559" t="inlineStr">
        <is>
          <t>HALLANDS LÄN</t>
        </is>
      </c>
      <c r="G559" t="inlineStr">
        <is>
          <t>HALMSTAD</t>
        </is>
      </c>
      <c r="I559" t="n">
        <v>1.5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35686-2023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45147</v>
      </c>
      <c r="E560" s="1" t="n">
        <v>46315</v>
      </c>
      <c r="F560" t="inlineStr">
        <is>
          <t>HALLANDS LÄN</t>
        </is>
      </c>
      <c r="G560" t="inlineStr">
        <is>
          <t>FALKENBERG</t>
        </is>
      </c>
      <c r="I560" t="n">
        <v>1.4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35867-2024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45533</v>
      </c>
      <c r="E561" s="1" t="n">
        <v>46315</v>
      </c>
      <c r="F561" t="inlineStr">
        <is>
          <t>HALLANDS LÄN</t>
        </is>
      </c>
      <c r="G561" t="inlineStr">
        <is>
          <t>FALKENBERG</t>
        </is>
      </c>
      <c r="I561" t="n">
        <v>1.3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31293-2024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45504</v>
      </c>
      <c r="E562" s="1" t="n">
        <v>46315</v>
      </c>
      <c r="F562" t="inlineStr">
        <is>
          <t>HALLANDS LÄN</t>
        </is>
      </c>
      <c r="G562" t="inlineStr">
        <is>
          <t>KUNGSBACKA</t>
        </is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21037-2024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45439</v>
      </c>
      <c r="E563" s="1" t="n">
        <v>46315</v>
      </c>
      <c r="F563" t="inlineStr">
        <is>
          <t>HALLANDS LÄN</t>
        </is>
      </c>
      <c r="G563" t="inlineStr">
        <is>
          <t>FALKENBERG</t>
        </is>
      </c>
      <c r="I563" t="n">
        <v>0.5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57020-2023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45244</v>
      </c>
      <c r="E564" s="1" t="n">
        <v>46315</v>
      </c>
      <c r="F564" t="inlineStr">
        <is>
          <t>HALLANDS LÄN</t>
        </is>
      </c>
      <c r="G564" t="inlineStr">
        <is>
          <t>FALKENBERG</t>
        </is>
      </c>
      <c r="I564" t="n">
        <v>3.1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58030-2023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45247</v>
      </c>
      <c r="E565" s="1" t="n">
        <v>46315</v>
      </c>
      <c r="F565" t="inlineStr">
        <is>
          <t>HALLANDS LÄN</t>
        </is>
      </c>
      <c r="G565" t="inlineStr">
        <is>
          <t>FALKENBERG</t>
        </is>
      </c>
      <c r="I565" t="n">
        <v>1.9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55006-2022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44886</v>
      </c>
      <c r="E566" s="1" t="n">
        <v>46315</v>
      </c>
      <c r="F566" t="inlineStr">
        <is>
          <t>HALLANDS LÄN</t>
        </is>
      </c>
      <c r="G566" t="inlineStr">
        <is>
          <t>HALMSTAD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63310-2023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45274</v>
      </c>
      <c r="E567" s="1" t="n">
        <v>46315</v>
      </c>
      <c r="F567" t="inlineStr">
        <is>
          <t>HALLANDS LÄN</t>
        </is>
      </c>
      <c r="G567" t="inlineStr">
        <is>
          <t>FALKENBERG</t>
        </is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72277-2021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44545</v>
      </c>
      <c r="E568" s="1" t="n">
        <v>46315</v>
      </c>
      <c r="F568" t="inlineStr">
        <is>
          <t>HALLANDS LÄN</t>
        </is>
      </c>
      <c r="G568" t="inlineStr">
        <is>
          <t>FALKENBERG</t>
        </is>
      </c>
      <c r="I568" t="n">
        <v>9.699999999999999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36714-2024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45537</v>
      </c>
      <c r="E569" s="1" t="n">
        <v>46315</v>
      </c>
      <c r="F569" t="inlineStr">
        <is>
          <t>HALLANDS LÄN</t>
        </is>
      </c>
      <c r="G569" t="inlineStr">
        <is>
          <t>HALMSTAD</t>
        </is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56967-2022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44894</v>
      </c>
      <c r="E570" s="1" t="n">
        <v>46315</v>
      </c>
      <c r="F570" t="inlineStr">
        <is>
          <t>HALLANDS LÄN</t>
        </is>
      </c>
      <c r="G570" t="inlineStr">
        <is>
          <t>VARBERG</t>
        </is>
      </c>
      <c r="I570" t="n">
        <v>1.1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6783-2024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45342</v>
      </c>
      <c r="E571" s="1" t="n">
        <v>46315</v>
      </c>
      <c r="F571" t="inlineStr">
        <is>
          <t>HALLANDS LÄN</t>
        </is>
      </c>
      <c r="G571" t="inlineStr">
        <is>
          <t>FALKENBERG</t>
        </is>
      </c>
      <c r="H571" t="inlineStr">
        <is>
          <t>Kommuner</t>
        </is>
      </c>
      <c r="I571" t="n">
        <v>3.7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50345-2024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45600</v>
      </c>
      <c r="E572" s="1" t="n">
        <v>46315</v>
      </c>
      <c r="F572" t="inlineStr">
        <is>
          <t>HALLANDS LÄN</t>
        </is>
      </c>
      <c r="G572" t="inlineStr">
        <is>
          <t>HYLTE</t>
        </is>
      </c>
      <c r="I572" t="n">
        <v>1.8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3621-2023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44950</v>
      </c>
      <c r="E573" s="1" t="n">
        <v>46315</v>
      </c>
      <c r="F573" t="inlineStr">
        <is>
          <t>HALLANDS LÄN</t>
        </is>
      </c>
      <c r="G573" t="inlineStr">
        <is>
          <t>HYLTE</t>
        </is>
      </c>
      <c r="I573" t="n">
        <v>1.2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651-2024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45299</v>
      </c>
      <c r="E574" s="1" t="n">
        <v>46315</v>
      </c>
      <c r="F574" t="inlineStr">
        <is>
          <t>HALLANDS LÄN</t>
        </is>
      </c>
      <c r="G574" t="inlineStr">
        <is>
          <t>HYLTE</t>
        </is>
      </c>
      <c r="I574" t="n">
        <v>0.5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667-2024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45300</v>
      </c>
      <c r="E575" s="1" t="n">
        <v>46315</v>
      </c>
      <c r="F575" t="inlineStr">
        <is>
          <t>HALLANDS LÄN</t>
        </is>
      </c>
      <c r="G575" t="inlineStr">
        <is>
          <t>FALKENBERG</t>
        </is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60211-2021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44495</v>
      </c>
      <c r="E576" s="1" t="n">
        <v>46315</v>
      </c>
      <c r="F576" t="inlineStr">
        <is>
          <t>HALLANDS LÄN</t>
        </is>
      </c>
      <c r="G576" t="inlineStr">
        <is>
          <t>HYLTE</t>
        </is>
      </c>
      <c r="I576" t="n">
        <v>5.1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728-2024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45300</v>
      </c>
      <c r="E577" s="1" t="n">
        <v>46315</v>
      </c>
      <c r="F577" t="inlineStr">
        <is>
          <t>HALLANDS LÄN</t>
        </is>
      </c>
      <c r="G577" t="inlineStr">
        <is>
          <t>FALKENBERG</t>
        </is>
      </c>
      <c r="I577" t="n">
        <v>2.2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755-2024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45300</v>
      </c>
      <c r="E578" s="1" t="n">
        <v>46315</v>
      </c>
      <c r="F578" t="inlineStr">
        <is>
          <t>HALLANDS LÄN</t>
        </is>
      </c>
      <c r="G578" t="inlineStr">
        <is>
          <t>FALKENBERG</t>
        </is>
      </c>
      <c r="I578" t="n">
        <v>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3167-2023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44946</v>
      </c>
      <c r="E579" s="1" t="n">
        <v>46315</v>
      </c>
      <c r="F579" t="inlineStr">
        <is>
          <t>HALLANDS LÄN</t>
        </is>
      </c>
      <c r="G579" t="inlineStr">
        <is>
          <t>FALKENBERG</t>
        </is>
      </c>
      <c r="I579" t="n">
        <v>2.7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10949-2024</t>
        </is>
      </c>
      <c r="B580" t="inlineStr">
        <is>
          <t>avverkningsanmälan</t>
        </is>
      </c>
      <c r="C580" t="inlineStr">
        <is>
          <t>Avverkning för annat ändamål</t>
        </is>
      </c>
      <c r="D580" s="1" t="n">
        <v>45370</v>
      </c>
      <c r="E580" s="1" t="n">
        <v>46315</v>
      </c>
      <c r="F580" t="inlineStr">
        <is>
          <t>HALLANDS LÄN</t>
        </is>
      </c>
      <c r="G580" t="inlineStr">
        <is>
          <t>KUNGSBACKA</t>
        </is>
      </c>
      <c r="I580" t="n">
        <v>0.4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40702-2023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45168</v>
      </c>
      <c r="E581" s="1" t="n">
        <v>46315</v>
      </c>
      <c r="F581" t="inlineStr">
        <is>
          <t>HALLANDS LÄN</t>
        </is>
      </c>
      <c r="G581" t="inlineStr">
        <is>
          <t>HALMSTAD</t>
        </is>
      </c>
      <c r="H581" t="inlineStr">
        <is>
          <t>Kommuner</t>
        </is>
      </c>
      <c r="I581" t="n">
        <v>1.2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21430-2024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45441</v>
      </c>
      <c r="E582" s="1" t="n">
        <v>46315</v>
      </c>
      <c r="F582" t="inlineStr">
        <is>
          <t>HALLANDS LÄN</t>
        </is>
      </c>
      <c r="G582" t="inlineStr">
        <is>
          <t>FALKENBERG</t>
        </is>
      </c>
      <c r="H582" t="inlineStr">
        <is>
          <t>Kyrkan</t>
        </is>
      </c>
      <c r="I582" t="n">
        <v>1.6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28029-2024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45476</v>
      </c>
      <c r="E583" s="1" t="n">
        <v>46315</v>
      </c>
      <c r="F583" t="inlineStr">
        <is>
          <t>HALLANDS LÄN</t>
        </is>
      </c>
      <c r="G583" t="inlineStr">
        <is>
          <t>HALMSTAD</t>
        </is>
      </c>
      <c r="I583" t="n">
        <v>1.2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28031-2024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45476</v>
      </c>
      <c r="E584" s="1" t="n">
        <v>46315</v>
      </c>
      <c r="F584" t="inlineStr">
        <is>
          <t>HALLANDS LÄN</t>
        </is>
      </c>
      <c r="G584" t="inlineStr">
        <is>
          <t>HALMSTAD</t>
        </is>
      </c>
      <c r="I584" t="n">
        <v>1.6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55704-2023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45239</v>
      </c>
      <c r="E585" s="1" t="n">
        <v>46315</v>
      </c>
      <c r="F585" t="inlineStr">
        <is>
          <t>HALLANDS LÄN</t>
        </is>
      </c>
      <c r="G585" t="inlineStr">
        <is>
          <t>LAHOLM</t>
        </is>
      </c>
      <c r="I585" t="n">
        <v>1.4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55724-2023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45239</v>
      </c>
      <c r="E586" s="1" t="n">
        <v>46315</v>
      </c>
      <c r="F586" t="inlineStr">
        <is>
          <t>HALLANDS LÄN</t>
        </is>
      </c>
      <c r="G586" t="inlineStr">
        <is>
          <t>LAHOLM</t>
        </is>
      </c>
      <c r="I586" t="n">
        <v>0.5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8293-2024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45352</v>
      </c>
      <c r="E587" s="1" t="n">
        <v>46315</v>
      </c>
      <c r="F587" t="inlineStr">
        <is>
          <t>HALLANDS LÄN</t>
        </is>
      </c>
      <c r="G587" t="inlineStr">
        <is>
          <t>HYLTE</t>
        </is>
      </c>
      <c r="I587" t="n">
        <v>0.7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51515-2022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44869</v>
      </c>
      <c r="E588" s="1" t="n">
        <v>46315</v>
      </c>
      <c r="F588" t="inlineStr">
        <is>
          <t>HALLANDS LÄN</t>
        </is>
      </c>
      <c r="G588" t="inlineStr">
        <is>
          <t>LAHOLM</t>
        </is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51517-2022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44869</v>
      </c>
      <c r="E589" s="1" t="n">
        <v>46315</v>
      </c>
      <c r="F589" t="inlineStr">
        <is>
          <t>HALLANDS LÄN</t>
        </is>
      </c>
      <c r="G589" t="inlineStr">
        <is>
          <t>LAHOLM</t>
        </is>
      </c>
      <c r="I589" t="n">
        <v>0.5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51150-2022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44865</v>
      </c>
      <c r="E590" s="1" t="n">
        <v>46315</v>
      </c>
      <c r="F590" t="inlineStr">
        <is>
          <t>HALLANDS LÄN</t>
        </is>
      </c>
      <c r="G590" t="inlineStr">
        <is>
          <t>HYLTE</t>
        </is>
      </c>
      <c r="I590" t="n">
        <v>3.4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2415-2023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44942</v>
      </c>
      <c r="E591" s="1" t="n">
        <v>46315</v>
      </c>
      <c r="F591" t="inlineStr">
        <is>
          <t>HALLANDS LÄN</t>
        </is>
      </c>
      <c r="G591" t="inlineStr">
        <is>
          <t>KUNGSBACKA</t>
        </is>
      </c>
      <c r="I591" t="n">
        <v>19.2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50805-2022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44867</v>
      </c>
      <c r="E592" s="1" t="n">
        <v>46315</v>
      </c>
      <c r="F592" t="inlineStr">
        <is>
          <t>HALLANDS LÄN</t>
        </is>
      </c>
      <c r="G592" t="inlineStr">
        <is>
          <t>VARBERG</t>
        </is>
      </c>
      <c r="I592" t="n">
        <v>1.5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29996-2024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45488</v>
      </c>
      <c r="E593" s="1" t="n">
        <v>46315</v>
      </c>
      <c r="F593" t="inlineStr">
        <is>
          <t>HALLANDS LÄN</t>
        </is>
      </c>
      <c r="G593" t="inlineStr">
        <is>
          <t>HALMSTAD</t>
        </is>
      </c>
      <c r="I593" t="n">
        <v>1.2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29818-2024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45485</v>
      </c>
      <c r="E594" s="1" t="n">
        <v>46315</v>
      </c>
      <c r="F594" t="inlineStr">
        <is>
          <t>HALLANDS LÄN</t>
        </is>
      </c>
      <c r="G594" t="inlineStr">
        <is>
          <t>HALMSTAD</t>
        </is>
      </c>
      <c r="I594" t="n">
        <v>1.4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62134-2022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44922</v>
      </c>
      <c r="E595" s="1" t="n">
        <v>46315</v>
      </c>
      <c r="F595" t="inlineStr">
        <is>
          <t>HALLANDS LÄN</t>
        </is>
      </c>
      <c r="G595" t="inlineStr">
        <is>
          <t>LAHOLM</t>
        </is>
      </c>
      <c r="I595" t="n">
        <v>0.5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61155-2024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45644</v>
      </c>
      <c r="E596" s="1" t="n">
        <v>46315</v>
      </c>
      <c r="F596" t="inlineStr">
        <is>
          <t>HALLANDS LÄN</t>
        </is>
      </c>
      <c r="G596" t="inlineStr">
        <is>
          <t>FALKENBERG</t>
        </is>
      </c>
      <c r="I596" t="n">
        <v>5.1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8305-2024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45352</v>
      </c>
      <c r="E597" s="1" t="n">
        <v>46315</v>
      </c>
      <c r="F597" t="inlineStr">
        <is>
          <t>HALLANDS LÄN</t>
        </is>
      </c>
      <c r="G597" t="inlineStr">
        <is>
          <t>HYLTE</t>
        </is>
      </c>
      <c r="I597" t="n">
        <v>0.7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7335-2023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44971</v>
      </c>
      <c r="E598" s="1" t="n">
        <v>46315</v>
      </c>
      <c r="F598" t="inlineStr">
        <is>
          <t>HALLANDS LÄN</t>
        </is>
      </c>
      <c r="G598" t="inlineStr">
        <is>
          <t>KUNGSBACKA</t>
        </is>
      </c>
      <c r="I598" t="n">
        <v>0.5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35804-2024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45532</v>
      </c>
      <c r="E599" s="1" t="n">
        <v>46315</v>
      </c>
      <c r="F599" t="inlineStr">
        <is>
          <t>HALLANDS LÄN</t>
        </is>
      </c>
      <c r="G599" t="inlineStr">
        <is>
          <t>KUNGSBACKA</t>
        </is>
      </c>
      <c r="I599" t="n">
        <v>7.4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35808-2024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45532</v>
      </c>
      <c r="E600" s="1" t="n">
        <v>46315</v>
      </c>
      <c r="F600" t="inlineStr">
        <is>
          <t>HALLANDS LÄN</t>
        </is>
      </c>
      <c r="G600" t="inlineStr">
        <is>
          <t>KUNGSBACKA</t>
        </is>
      </c>
      <c r="I600" t="n">
        <v>1.8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35811-2024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45532</v>
      </c>
      <c r="E601" s="1" t="n">
        <v>46315</v>
      </c>
      <c r="F601" t="inlineStr">
        <is>
          <t>HALLANDS LÄN</t>
        </is>
      </c>
      <c r="G601" t="inlineStr">
        <is>
          <t>KUNGSBACKA</t>
        </is>
      </c>
      <c r="I601" t="n">
        <v>2.5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264-2023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44928</v>
      </c>
      <c r="E602" s="1" t="n">
        <v>46315</v>
      </c>
      <c r="F602" t="inlineStr">
        <is>
          <t>HALLANDS LÄN</t>
        </is>
      </c>
      <c r="G602" t="inlineStr">
        <is>
          <t>LAHOLM</t>
        </is>
      </c>
      <c r="I602" t="n">
        <v>6.5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6200-2024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45337</v>
      </c>
      <c r="E603" s="1" t="n">
        <v>46315</v>
      </c>
      <c r="F603" t="inlineStr">
        <is>
          <t>HALLANDS LÄN</t>
        </is>
      </c>
      <c r="G603" t="inlineStr">
        <is>
          <t>LAHOLM</t>
        </is>
      </c>
      <c r="I603" t="n">
        <v>0.4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15642-2023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45020</v>
      </c>
      <c r="E604" s="1" t="n">
        <v>46315</v>
      </c>
      <c r="F604" t="inlineStr">
        <is>
          <t>HALLANDS LÄN</t>
        </is>
      </c>
      <c r="G604" t="inlineStr">
        <is>
          <t>LAHOLM</t>
        </is>
      </c>
      <c r="I604" t="n">
        <v>0.6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70720-2021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44537</v>
      </c>
      <c r="E605" s="1" t="n">
        <v>46315</v>
      </c>
      <c r="F605" t="inlineStr">
        <is>
          <t>HALLANDS LÄN</t>
        </is>
      </c>
      <c r="G605" t="inlineStr">
        <is>
          <t>HALMSTAD</t>
        </is>
      </c>
      <c r="H605" t="inlineStr">
        <is>
          <t>Kyrkan</t>
        </is>
      </c>
      <c r="I605" t="n">
        <v>1.9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64566-2021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44511</v>
      </c>
      <c r="E606" s="1" t="n">
        <v>46315</v>
      </c>
      <c r="F606" t="inlineStr">
        <is>
          <t>HALLANDS LÄN</t>
        </is>
      </c>
      <c r="G606" t="inlineStr">
        <is>
          <t>LAHOLM</t>
        </is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64575-2021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44511</v>
      </c>
      <c r="E607" s="1" t="n">
        <v>46315</v>
      </c>
      <c r="F607" t="inlineStr">
        <is>
          <t>HALLANDS LÄN</t>
        </is>
      </c>
      <c r="G607" t="inlineStr">
        <is>
          <t>LAHOLM</t>
        </is>
      </c>
      <c r="I607" t="n">
        <v>0.5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57657-2023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45246</v>
      </c>
      <c r="E608" s="1" t="n">
        <v>46315</v>
      </c>
      <c r="F608" t="inlineStr">
        <is>
          <t>HALLANDS LÄN</t>
        </is>
      </c>
      <c r="G608" t="inlineStr">
        <is>
          <t>VARBERG</t>
        </is>
      </c>
      <c r="I608" t="n">
        <v>2.9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57660-2023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45246</v>
      </c>
      <c r="E609" s="1" t="n">
        <v>46315</v>
      </c>
      <c r="F609" t="inlineStr">
        <is>
          <t>HALLANDS LÄN</t>
        </is>
      </c>
      <c r="G609" t="inlineStr">
        <is>
          <t>VARBERG</t>
        </is>
      </c>
      <c r="I609" t="n">
        <v>1.2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57667-2023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45246</v>
      </c>
      <c r="E610" s="1" t="n">
        <v>46315</v>
      </c>
      <c r="F610" t="inlineStr">
        <is>
          <t>HALLANDS LÄN</t>
        </is>
      </c>
      <c r="G610" t="inlineStr">
        <is>
          <t>VARBERG</t>
        </is>
      </c>
      <c r="I610" t="n">
        <v>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43366-2022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44834</v>
      </c>
      <c r="E611" s="1" t="n">
        <v>46315</v>
      </c>
      <c r="F611" t="inlineStr">
        <is>
          <t>HALLANDS LÄN</t>
        </is>
      </c>
      <c r="G611" t="inlineStr">
        <is>
          <t>HYLTE</t>
        </is>
      </c>
      <c r="I611" t="n">
        <v>1.1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54869-2022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44885</v>
      </c>
      <c r="E612" s="1" t="n">
        <v>46315</v>
      </c>
      <c r="F612" t="inlineStr">
        <is>
          <t>HALLANDS LÄN</t>
        </is>
      </c>
      <c r="G612" t="inlineStr">
        <is>
          <t>HALMSTAD</t>
        </is>
      </c>
      <c r="I612" t="n">
        <v>1.3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57660-2022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44897</v>
      </c>
      <c r="E613" s="1" t="n">
        <v>46315</v>
      </c>
      <c r="F613" t="inlineStr">
        <is>
          <t>HALLANDS LÄN</t>
        </is>
      </c>
      <c r="G613" t="inlineStr">
        <is>
          <t>FALKENBERG</t>
        </is>
      </c>
      <c r="I613" t="n">
        <v>5.2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24149-2024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45456</v>
      </c>
      <c r="E614" s="1" t="n">
        <v>46315</v>
      </c>
      <c r="F614" t="inlineStr">
        <is>
          <t>HALLANDS LÄN</t>
        </is>
      </c>
      <c r="G614" t="inlineStr">
        <is>
          <t>HYLTE</t>
        </is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41769-2024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45561</v>
      </c>
      <c r="E615" s="1" t="n">
        <v>46315</v>
      </c>
      <c r="F615" t="inlineStr">
        <is>
          <t>HALLANDS LÄN</t>
        </is>
      </c>
      <c r="G615" t="inlineStr">
        <is>
          <t>VARBERG</t>
        </is>
      </c>
      <c r="I615" t="n">
        <v>0.9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57422-2022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44896</v>
      </c>
      <c r="E616" s="1" t="n">
        <v>46315</v>
      </c>
      <c r="F616" t="inlineStr">
        <is>
          <t>HALLANDS LÄN</t>
        </is>
      </c>
      <c r="G616" t="inlineStr">
        <is>
          <t>HYLTE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1784-2022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44574</v>
      </c>
      <c r="E617" s="1" t="n">
        <v>46315</v>
      </c>
      <c r="F617" t="inlineStr">
        <is>
          <t>HALLANDS LÄN</t>
        </is>
      </c>
      <c r="G617" t="inlineStr">
        <is>
          <t>VARBERG</t>
        </is>
      </c>
      <c r="I617" t="n">
        <v>3.8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41777-2024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45561</v>
      </c>
      <c r="E618" s="1" t="n">
        <v>46315</v>
      </c>
      <c r="F618" t="inlineStr">
        <is>
          <t>HALLANDS LÄN</t>
        </is>
      </c>
      <c r="G618" t="inlineStr">
        <is>
          <t>HALMSTAD</t>
        </is>
      </c>
      <c r="I618" t="n">
        <v>0.5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4892-2024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45329</v>
      </c>
      <c r="E619" s="1" t="n">
        <v>46315</v>
      </c>
      <c r="F619" t="inlineStr">
        <is>
          <t>HALLANDS LÄN</t>
        </is>
      </c>
      <c r="G619" t="inlineStr">
        <is>
          <t>FALKENBERG</t>
        </is>
      </c>
      <c r="I619" t="n">
        <v>2.7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61546-2022</t>
        </is>
      </c>
      <c r="B620" t="inlineStr">
        <is>
          <t>avverkningsanmälan</t>
        </is>
      </c>
      <c r="C620" t="inlineStr">
        <is>
          <t>Avverkning för annat ändamål</t>
        </is>
      </c>
      <c r="D620" s="1" t="n">
        <v>44916</v>
      </c>
      <c r="E620" s="1" t="n">
        <v>46315</v>
      </c>
      <c r="F620" t="inlineStr">
        <is>
          <t>HALLANDS LÄN</t>
        </is>
      </c>
      <c r="G620" t="inlineStr">
        <is>
          <t>FALKENBERG</t>
        </is>
      </c>
      <c r="I620" t="n">
        <v>3.7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47937-2022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44855</v>
      </c>
      <c r="E621" s="1" t="n">
        <v>46315</v>
      </c>
      <c r="F621" t="inlineStr">
        <is>
          <t>HALLANDS LÄN</t>
        </is>
      </c>
      <c r="G621" t="inlineStr">
        <is>
          <t>LAHOLM</t>
        </is>
      </c>
      <c r="I621" t="n">
        <v>1.8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58072-2022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44900</v>
      </c>
      <c r="E622" s="1" t="n">
        <v>46315</v>
      </c>
      <c r="F622" t="inlineStr">
        <is>
          <t>HALLANDS LÄN</t>
        </is>
      </c>
      <c r="G622" t="inlineStr">
        <is>
          <t>FALKENBERG</t>
        </is>
      </c>
      <c r="I622" t="n">
        <v>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2078-2022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44576</v>
      </c>
      <c r="E623" s="1" t="n">
        <v>46315</v>
      </c>
      <c r="F623" t="inlineStr">
        <is>
          <t>HALLANDS LÄN</t>
        </is>
      </c>
      <c r="G623" t="inlineStr">
        <is>
          <t>FALKENBERG</t>
        </is>
      </c>
      <c r="I623" t="n">
        <v>1.1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6703-2022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44602</v>
      </c>
      <c r="E624" s="1" t="n">
        <v>46315</v>
      </c>
      <c r="F624" t="inlineStr">
        <is>
          <t>HALLANDS LÄN</t>
        </is>
      </c>
      <c r="G624" t="inlineStr">
        <is>
          <t>FALKENBERG</t>
        </is>
      </c>
      <c r="I624" t="n">
        <v>0.5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34163-2024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45524</v>
      </c>
      <c r="E625" s="1" t="n">
        <v>46315</v>
      </c>
      <c r="F625" t="inlineStr">
        <is>
          <t>HALLANDS LÄN</t>
        </is>
      </c>
      <c r="G625" t="inlineStr">
        <is>
          <t>FALKENBERG</t>
        </is>
      </c>
      <c r="I625" t="n">
        <v>5.3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22546-2023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45071</v>
      </c>
      <c r="E626" s="1" t="n">
        <v>46315</v>
      </c>
      <c r="F626" t="inlineStr">
        <is>
          <t>HALLANDS LÄN</t>
        </is>
      </c>
      <c r="G626" t="inlineStr">
        <is>
          <t>FALKENBERG</t>
        </is>
      </c>
      <c r="I626" t="n">
        <v>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29361-2024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45483</v>
      </c>
      <c r="E627" s="1" t="n">
        <v>46315</v>
      </c>
      <c r="F627" t="inlineStr">
        <is>
          <t>HALLANDS LÄN</t>
        </is>
      </c>
      <c r="G627" t="inlineStr">
        <is>
          <t>LAHOLM</t>
        </is>
      </c>
      <c r="I627" t="n">
        <v>6.8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52131-2022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44873</v>
      </c>
      <c r="E628" s="1" t="n">
        <v>46315</v>
      </c>
      <c r="F628" t="inlineStr">
        <is>
          <t>HALLANDS LÄN</t>
        </is>
      </c>
      <c r="G628" t="inlineStr">
        <is>
          <t>LAHOLM</t>
        </is>
      </c>
      <c r="I628" t="n">
        <v>3.1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19513-2024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45429</v>
      </c>
      <c r="E629" s="1" t="n">
        <v>46315</v>
      </c>
      <c r="F629" t="inlineStr">
        <is>
          <t>HALLANDS LÄN</t>
        </is>
      </c>
      <c r="G629" t="inlineStr">
        <is>
          <t>HYLTE</t>
        </is>
      </c>
      <c r="I629" t="n">
        <v>1.4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58841-2021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44489</v>
      </c>
      <c r="E630" s="1" t="n">
        <v>46315</v>
      </c>
      <c r="F630" t="inlineStr">
        <is>
          <t>HALLANDS LÄN</t>
        </is>
      </c>
      <c r="G630" t="inlineStr">
        <is>
          <t>HYLTE</t>
        </is>
      </c>
      <c r="I630" t="n">
        <v>2.1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45586-2023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45194</v>
      </c>
      <c r="E631" s="1" t="n">
        <v>46315</v>
      </c>
      <c r="F631" t="inlineStr">
        <is>
          <t>HALLANDS LÄN</t>
        </is>
      </c>
      <c r="G631" t="inlineStr">
        <is>
          <t>HALMSTAD</t>
        </is>
      </c>
      <c r="I631" t="n">
        <v>1.5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893-2022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44571</v>
      </c>
      <c r="E632" s="1" t="n">
        <v>46315</v>
      </c>
      <c r="F632" t="inlineStr">
        <is>
          <t>HALLANDS LÄN</t>
        </is>
      </c>
      <c r="G632" t="inlineStr">
        <is>
          <t>HALMSTAD</t>
        </is>
      </c>
      <c r="I632" t="n">
        <v>1.2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40154-2024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45554</v>
      </c>
      <c r="E633" s="1" t="n">
        <v>46315</v>
      </c>
      <c r="F633" t="inlineStr">
        <is>
          <t>HALLANDS LÄN</t>
        </is>
      </c>
      <c r="G633" t="inlineStr">
        <is>
          <t>FALKENBERG</t>
        </is>
      </c>
      <c r="I633" t="n">
        <v>1.3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10531-2024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45366</v>
      </c>
      <c r="E634" s="1" t="n">
        <v>46315</v>
      </c>
      <c r="F634" t="inlineStr">
        <is>
          <t>HALLANDS LÄN</t>
        </is>
      </c>
      <c r="G634" t="inlineStr">
        <is>
          <t>HYLTE</t>
        </is>
      </c>
      <c r="I634" t="n">
        <v>3.4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7783-2024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45349</v>
      </c>
      <c r="E635" s="1" t="n">
        <v>46315</v>
      </c>
      <c r="F635" t="inlineStr">
        <is>
          <t>HALLANDS LÄN</t>
        </is>
      </c>
      <c r="G635" t="inlineStr">
        <is>
          <t>LAHOLM</t>
        </is>
      </c>
      <c r="I635" t="n">
        <v>0.8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36801-2024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45538</v>
      </c>
      <c r="E636" s="1" t="n">
        <v>46315</v>
      </c>
      <c r="F636" t="inlineStr">
        <is>
          <t>HALLANDS LÄN</t>
        </is>
      </c>
      <c r="G636" t="inlineStr">
        <is>
          <t>HYLTE</t>
        </is>
      </c>
      <c r="I636" t="n">
        <v>2.9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38929-2024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45548</v>
      </c>
      <c r="E637" s="1" t="n">
        <v>46315</v>
      </c>
      <c r="F637" t="inlineStr">
        <is>
          <t>HALLANDS LÄN</t>
        </is>
      </c>
      <c r="G637" t="inlineStr">
        <is>
          <t>LAHOLM</t>
        </is>
      </c>
      <c r="I637" t="n">
        <v>0.7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39930-2024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45553</v>
      </c>
      <c r="E638" s="1" t="n">
        <v>46315</v>
      </c>
      <c r="F638" t="inlineStr">
        <is>
          <t>HALLANDS LÄN</t>
        </is>
      </c>
      <c r="G638" t="inlineStr">
        <is>
          <t>LAHOLM</t>
        </is>
      </c>
      <c r="I638" t="n">
        <v>0.9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11958-2023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44994</v>
      </c>
      <c r="E639" s="1" t="n">
        <v>46315</v>
      </c>
      <c r="F639" t="inlineStr">
        <is>
          <t>HALLANDS LÄN</t>
        </is>
      </c>
      <c r="G639" t="inlineStr">
        <is>
          <t>KUNGSBACKA</t>
        </is>
      </c>
      <c r="I639" t="n">
        <v>3.2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8989-2022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44615</v>
      </c>
      <c r="E640" s="1" t="n">
        <v>46315</v>
      </c>
      <c r="F640" t="inlineStr">
        <is>
          <t>HALLANDS LÄN</t>
        </is>
      </c>
      <c r="G640" t="inlineStr">
        <is>
          <t>VARBERG</t>
        </is>
      </c>
      <c r="I640" t="n">
        <v>1.3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61757-2022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44917</v>
      </c>
      <c r="E641" s="1" t="n">
        <v>46315</v>
      </c>
      <c r="F641" t="inlineStr">
        <is>
          <t>HALLANDS LÄN</t>
        </is>
      </c>
      <c r="G641" t="inlineStr">
        <is>
          <t>HALMSTAD</t>
        </is>
      </c>
      <c r="I641" t="n">
        <v>0.4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8284-2022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44610</v>
      </c>
      <c r="E642" s="1" t="n">
        <v>46315</v>
      </c>
      <c r="F642" t="inlineStr">
        <is>
          <t>HALLANDS LÄN</t>
        </is>
      </c>
      <c r="G642" t="inlineStr">
        <is>
          <t>HALMSTAD</t>
        </is>
      </c>
      <c r="I642" t="n">
        <v>2.1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57790-2022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44897</v>
      </c>
      <c r="E643" s="1" t="n">
        <v>46315</v>
      </c>
      <c r="F643" t="inlineStr">
        <is>
          <t>HALLANDS LÄN</t>
        </is>
      </c>
      <c r="G643" t="inlineStr">
        <is>
          <t>KUNGSBACKA</t>
        </is>
      </c>
      <c r="I643" t="n">
        <v>18.8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64363-2023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45280</v>
      </c>
      <c r="E644" s="1" t="n">
        <v>46315</v>
      </c>
      <c r="F644" t="inlineStr">
        <is>
          <t>HALLANDS LÄN</t>
        </is>
      </c>
      <c r="G644" t="inlineStr">
        <is>
          <t>KUNGSBACKA</t>
        </is>
      </c>
      <c r="I644" t="n">
        <v>0.7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3291-2022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44584</v>
      </c>
      <c r="E645" s="1" t="n">
        <v>46315</v>
      </c>
      <c r="F645" t="inlineStr">
        <is>
          <t>HALLANDS LÄN</t>
        </is>
      </c>
      <c r="G645" t="inlineStr">
        <is>
          <t>FALKENBERG</t>
        </is>
      </c>
      <c r="I645" t="n">
        <v>1.7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63034-2023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45272</v>
      </c>
      <c r="E646" s="1" t="n">
        <v>46315</v>
      </c>
      <c r="F646" t="inlineStr">
        <is>
          <t>HALLANDS LÄN</t>
        </is>
      </c>
      <c r="G646" t="inlineStr">
        <is>
          <t>FALKENBERG</t>
        </is>
      </c>
      <c r="I646" t="n">
        <v>0.6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12586-2022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44639</v>
      </c>
      <c r="E647" s="1" t="n">
        <v>46315</v>
      </c>
      <c r="F647" t="inlineStr">
        <is>
          <t>HALLANDS LÄN</t>
        </is>
      </c>
      <c r="G647" t="inlineStr">
        <is>
          <t>LAHOLM</t>
        </is>
      </c>
      <c r="I647" t="n">
        <v>0.5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7696-2024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45349</v>
      </c>
      <c r="E648" s="1" t="n">
        <v>46315</v>
      </c>
      <c r="F648" t="inlineStr">
        <is>
          <t>HALLANDS LÄN</t>
        </is>
      </c>
      <c r="G648" t="inlineStr">
        <is>
          <t>FALKENBERG</t>
        </is>
      </c>
      <c r="I648" t="n">
        <v>2.6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32030-2024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45510</v>
      </c>
      <c r="E649" s="1" t="n">
        <v>46315</v>
      </c>
      <c r="F649" t="inlineStr">
        <is>
          <t>HALLANDS LÄN</t>
        </is>
      </c>
      <c r="G649" t="inlineStr">
        <is>
          <t>KUNGSBACKA</t>
        </is>
      </c>
      <c r="H649" t="inlineStr">
        <is>
          <t>Kyrkan</t>
        </is>
      </c>
      <c r="I649" t="n">
        <v>3.1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61785-2021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44501</v>
      </c>
      <c r="E650" s="1" t="n">
        <v>46315</v>
      </c>
      <c r="F650" t="inlineStr">
        <is>
          <t>HALLANDS LÄN</t>
        </is>
      </c>
      <c r="G650" t="inlineStr">
        <is>
          <t>LAHOLM</t>
        </is>
      </c>
      <c r="I650" t="n">
        <v>0.5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60205-2022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44910</v>
      </c>
      <c r="E651" s="1" t="n">
        <v>46315</v>
      </c>
      <c r="F651" t="inlineStr">
        <is>
          <t>HALLANDS LÄN</t>
        </is>
      </c>
      <c r="G651" t="inlineStr">
        <is>
          <t>VARBERG</t>
        </is>
      </c>
      <c r="I651" t="n">
        <v>1.5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6397-2025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45699</v>
      </c>
      <c r="E652" s="1" t="n">
        <v>46315</v>
      </c>
      <c r="F652" t="inlineStr">
        <is>
          <t>HALLANDS LÄN</t>
        </is>
      </c>
      <c r="G652" t="inlineStr">
        <is>
          <t>HALMSTAD</t>
        </is>
      </c>
      <c r="I652" t="n">
        <v>11.8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1849-2023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44938</v>
      </c>
      <c r="E653" s="1" t="n">
        <v>46315</v>
      </c>
      <c r="F653" t="inlineStr">
        <is>
          <t>HALLANDS LÄN</t>
        </is>
      </c>
      <c r="G653" t="inlineStr">
        <is>
          <t>FALKENBERG</t>
        </is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42917-2024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45567</v>
      </c>
      <c r="E654" s="1" t="n">
        <v>46315</v>
      </c>
      <c r="F654" t="inlineStr">
        <is>
          <t>HALLANDS LÄN</t>
        </is>
      </c>
      <c r="G654" t="inlineStr">
        <is>
          <t>VARBERG</t>
        </is>
      </c>
      <c r="I654" t="n">
        <v>0.7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1755-2023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44938</v>
      </c>
      <c r="E655" s="1" t="n">
        <v>46315</v>
      </c>
      <c r="F655" t="inlineStr">
        <is>
          <t>HALLANDS LÄN</t>
        </is>
      </c>
      <c r="G655" t="inlineStr">
        <is>
          <t>HALMSTAD</t>
        </is>
      </c>
      <c r="I655" t="n">
        <v>0.9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41065-2024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45558</v>
      </c>
      <c r="E656" s="1" t="n">
        <v>46315</v>
      </c>
      <c r="F656" t="inlineStr">
        <is>
          <t>HALLANDS LÄN</t>
        </is>
      </c>
      <c r="G656" t="inlineStr">
        <is>
          <t>HYLTE</t>
        </is>
      </c>
      <c r="I656" t="n">
        <v>1.1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33419-2024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45519</v>
      </c>
      <c r="E657" s="1" t="n">
        <v>46315</v>
      </c>
      <c r="F657" t="inlineStr">
        <is>
          <t>HALLANDS LÄN</t>
        </is>
      </c>
      <c r="G657" t="inlineStr">
        <is>
          <t>LAHOLM</t>
        </is>
      </c>
      <c r="I657" t="n">
        <v>0.7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9349-2024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45359</v>
      </c>
      <c r="E658" s="1" t="n">
        <v>46315</v>
      </c>
      <c r="F658" t="inlineStr">
        <is>
          <t>HALLANDS LÄN</t>
        </is>
      </c>
      <c r="G658" t="inlineStr">
        <is>
          <t>VARBERG</t>
        </is>
      </c>
      <c r="I658" t="n">
        <v>1.4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11432-2025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45726</v>
      </c>
      <c r="E659" s="1" t="n">
        <v>46315</v>
      </c>
      <c r="F659" t="inlineStr">
        <is>
          <t>HALLANDS LÄN</t>
        </is>
      </c>
      <c r="G659" t="inlineStr">
        <is>
          <t>KUNGSBACKA</t>
        </is>
      </c>
      <c r="I659" t="n">
        <v>1.1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7874-2024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45350</v>
      </c>
      <c r="E660" s="1" t="n">
        <v>46315</v>
      </c>
      <c r="F660" t="inlineStr">
        <is>
          <t>HALLANDS LÄN</t>
        </is>
      </c>
      <c r="G660" t="inlineStr">
        <is>
          <t>FALKENBERG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1798-2025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45671</v>
      </c>
      <c r="E661" s="1" t="n">
        <v>46315</v>
      </c>
      <c r="F661" t="inlineStr">
        <is>
          <t>HALLANDS LÄN</t>
        </is>
      </c>
      <c r="G661" t="inlineStr">
        <is>
          <t>HYLTE</t>
        </is>
      </c>
      <c r="I661" t="n">
        <v>1.4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22070-2022</t>
        </is>
      </c>
      <c r="B662" t="inlineStr">
        <is>
          <t>avverkningsanmälan</t>
        </is>
      </c>
      <c r="C662" t="inlineStr">
        <is>
          <t>Avverkning för annat ändamål</t>
        </is>
      </c>
      <c r="D662" s="1" t="n">
        <v>44711</v>
      </c>
      <c r="E662" s="1" t="n">
        <v>46315</v>
      </c>
      <c r="F662" t="inlineStr">
        <is>
          <t>HALLANDS LÄN</t>
        </is>
      </c>
      <c r="G662" t="inlineStr">
        <is>
          <t>HALMSTAD</t>
        </is>
      </c>
      <c r="I662" t="n">
        <v>5.3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62743-2022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44925</v>
      </c>
      <c r="E663" s="1" t="n">
        <v>46315</v>
      </c>
      <c r="F663" t="inlineStr">
        <is>
          <t>HALLANDS LÄN</t>
        </is>
      </c>
      <c r="G663" t="inlineStr">
        <is>
          <t>KUNGSBACKA</t>
        </is>
      </c>
      <c r="I663" t="n">
        <v>0.4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51398-2023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45219</v>
      </c>
      <c r="E664" s="1" t="n">
        <v>46315</v>
      </c>
      <c r="F664" t="inlineStr">
        <is>
          <t>HALLANDS LÄN</t>
        </is>
      </c>
      <c r="G664" t="inlineStr">
        <is>
          <t>FALKENBERG</t>
        </is>
      </c>
      <c r="I664" t="n">
        <v>2.9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39716-2024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45552</v>
      </c>
      <c r="E665" s="1" t="n">
        <v>46315</v>
      </c>
      <c r="F665" t="inlineStr">
        <is>
          <t>HALLANDS LÄN</t>
        </is>
      </c>
      <c r="G665" t="inlineStr">
        <is>
          <t>FALKENBERG</t>
        </is>
      </c>
      <c r="I665" t="n">
        <v>0.3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8516-2024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45355</v>
      </c>
      <c r="E666" s="1" t="n">
        <v>46315</v>
      </c>
      <c r="F666" t="inlineStr">
        <is>
          <t>HALLANDS LÄN</t>
        </is>
      </c>
      <c r="G666" t="inlineStr">
        <is>
          <t>FALKENBERG</t>
        </is>
      </c>
      <c r="I666" t="n">
        <v>1.2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51015-2024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45603</v>
      </c>
      <c r="E667" s="1" t="n">
        <v>46315</v>
      </c>
      <c r="F667" t="inlineStr">
        <is>
          <t>HALLANDS LÄN</t>
        </is>
      </c>
      <c r="G667" t="inlineStr">
        <is>
          <t>LAHOLM</t>
        </is>
      </c>
      <c r="I667" t="n">
        <v>1.3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51022-2024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45603</v>
      </c>
      <c r="E668" s="1" t="n">
        <v>46315</v>
      </c>
      <c r="F668" t="inlineStr">
        <is>
          <t>HALLANDS LÄN</t>
        </is>
      </c>
      <c r="G668" t="inlineStr">
        <is>
          <t>LAHOLM</t>
        </is>
      </c>
      <c r="I668" t="n">
        <v>3.5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14577-2025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45742</v>
      </c>
      <c r="E669" s="1" t="n">
        <v>46315</v>
      </c>
      <c r="F669" t="inlineStr">
        <is>
          <t>HALLANDS LÄN</t>
        </is>
      </c>
      <c r="G669" t="inlineStr">
        <is>
          <t>VARBERG</t>
        </is>
      </c>
      <c r="I669" t="n">
        <v>2.4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6411-2022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44600</v>
      </c>
      <c r="E670" s="1" t="n">
        <v>46315</v>
      </c>
      <c r="F670" t="inlineStr">
        <is>
          <t>HALLANDS LÄN</t>
        </is>
      </c>
      <c r="G670" t="inlineStr">
        <is>
          <t>LAHOLM</t>
        </is>
      </c>
      <c r="I670" t="n">
        <v>1.7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23037-2022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44719</v>
      </c>
      <c r="E671" s="1" t="n">
        <v>46315</v>
      </c>
      <c r="F671" t="inlineStr">
        <is>
          <t>HALLANDS LÄN</t>
        </is>
      </c>
      <c r="G671" t="inlineStr">
        <is>
          <t>HYLTE</t>
        </is>
      </c>
      <c r="I671" t="n">
        <v>1.1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56011-2023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45240</v>
      </c>
      <c r="E672" s="1" t="n">
        <v>46315</v>
      </c>
      <c r="F672" t="inlineStr">
        <is>
          <t>HALLANDS LÄN</t>
        </is>
      </c>
      <c r="G672" t="inlineStr">
        <is>
          <t>HALMSTAD</t>
        </is>
      </c>
      <c r="I672" t="n">
        <v>1.7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18598-2022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44687</v>
      </c>
      <c r="E673" s="1" t="n">
        <v>46315</v>
      </c>
      <c r="F673" t="inlineStr">
        <is>
          <t>HALLANDS LÄN</t>
        </is>
      </c>
      <c r="G673" t="inlineStr">
        <is>
          <t>HALMSTAD</t>
        </is>
      </c>
      <c r="I673" t="n">
        <v>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38715-2024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45547</v>
      </c>
      <c r="E674" s="1" t="n">
        <v>46315</v>
      </c>
      <c r="F674" t="inlineStr">
        <is>
          <t>HALLANDS LÄN</t>
        </is>
      </c>
      <c r="G674" t="inlineStr">
        <is>
          <t>FALKENBERG</t>
        </is>
      </c>
      <c r="I674" t="n">
        <v>0.3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3469-2024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45320</v>
      </c>
      <c r="E675" s="1" t="n">
        <v>46315</v>
      </c>
      <c r="F675" t="inlineStr">
        <is>
          <t>HALLANDS LÄN</t>
        </is>
      </c>
      <c r="G675" t="inlineStr">
        <is>
          <t>LAHOLM</t>
        </is>
      </c>
      <c r="I675" t="n">
        <v>0.4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52317-2022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44873</v>
      </c>
      <c r="E676" s="1" t="n">
        <v>46315</v>
      </c>
      <c r="F676" t="inlineStr">
        <is>
          <t>HALLANDS LÄN</t>
        </is>
      </c>
      <c r="G676" t="inlineStr">
        <is>
          <t>KUNGSBACKA</t>
        </is>
      </c>
      <c r="I676" t="n">
        <v>1.4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41508-2024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45560</v>
      </c>
      <c r="E677" s="1" t="n">
        <v>46315</v>
      </c>
      <c r="F677" t="inlineStr">
        <is>
          <t>HALLANDS LÄN</t>
        </is>
      </c>
      <c r="G677" t="inlineStr">
        <is>
          <t>KUNGSBACKA</t>
        </is>
      </c>
      <c r="I677" t="n">
        <v>2.6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40581-2024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45555</v>
      </c>
      <c r="E678" s="1" t="n">
        <v>46315</v>
      </c>
      <c r="F678" t="inlineStr">
        <is>
          <t>HALLANDS LÄN</t>
        </is>
      </c>
      <c r="G678" t="inlineStr">
        <is>
          <t>FALKENBERG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6218-2022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44600</v>
      </c>
      <c r="E679" s="1" t="n">
        <v>46315</v>
      </c>
      <c r="F679" t="inlineStr">
        <is>
          <t>HALLANDS LÄN</t>
        </is>
      </c>
      <c r="G679" t="inlineStr">
        <is>
          <t>FALKENBERG</t>
        </is>
      </c>
      <c r="I679" t="n">
        <v>1.4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6260-2022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44600</v>
      </c>
      <c r="E680" s="1" t="n">
        <v>46315</v>
      </c>
      <c r="F680" t="inlineStr">
        <is>
          <t>HALLANDS LÄN</t>
        </is>
      </c>
      <c r="G680" t="inlineStr">
        <is>
          <t>KUNGSBACKA</t>
        </is>
      </c>
      <c r="I680" t="n">
        <v>2.4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14042-2024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45392</v>
      </c>
      <c r="E681" s="1" t="n">
        <v>46315</v>
      </c>
      <c r="F681" t="inlineStr">
        <is>
          <t>HALLANDS LÄN</t>
        </is>
      </c>
      <c r="G681" t="inlineStr">
        <is>
          <t>VARBERG</t>
        </is>
      </c>
      <c r="I681" t="n">
        <v>5.5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44963-2024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45575</v>
      </c>
      <c r="E682" s="1" t="n">
        <v>46315</v>
      </c>
      <c r="F682" t="inlineStr">
        <is>
          <t>HALLANDS LÄN</t>
        </is>
      </c>
      <c r="G682" t="inlineStr">
        <is>
          <t>FALKENBERG</t>
        </is>
      </c>
      <c r="I682" t="n">
        <v>0.6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50113-2023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45215</v>
      </c>
      <c r="E683" s="1" t="n">
        <v>46315</v>
      </c>
      <c r="F683" t="inlineStr">
        <is>
          <t>HALLANDS LÄN</t>
        </is>
      </c>
      <c r="G683" t="inlineStr">
        <is>
          <t>HALMSTAD</t>
        </is>
      </c>
      <c r="I683" t="n">
        <v>1.9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46569-2024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45582</v>
      </c>
      <c r="E684" s="1" t="n">
        <v>46315</v>
      </c>
      <c r="F684" t="inlineStr">
        <is>
          <t>HALLANDS LÄN</t>
        </is>
      </c>
      <c r="G684" t="inlineStr">
        <is>
          <t>LAHOLM</t>
        </is>
      </c>
      <c r="I684" t="n">
        <v>0.4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8262-2023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44974</v>
      </c>
      <c r="E685" s="1" t="n">
        <v>46315</v>
      </c>
      <c r="F685" t="inlineStr">
        <is>
          <t>HALLANDS LÄN</t>
        </is>
      </c>
      <c r="G685" t="inlineStr">
        <is>
          <t>FALKENBERG</t>
        </is>
      </c>
      <c r="I685" t="n">
        <v>2.4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15426-2022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44659</v>
      </c>
      <c r="E686" s="1" t="n">
        <v>46315</v>
      </c>
      <c r="F686" t="inlineStr">
        <is>
          <t>HALLANDS LÄN</t>
        </is>
      </c>
      <c r="G686" t="inlineStr">
        <is>
          <t>VARBERG</t>
        </is>
      </c>
      <c r="I686" t="n">
        <v>3.6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19502-2022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44693</v>
      </c>
      <c r="E687" s="1" t="n">
        <v>46315</v>
      </c>
      <c r="F687" t="inlineStr">
        <is>
          <t>HALLANDS LÄN</t>
        </is>
      </c>
      <c r="G687" t="inlineStr">
        <is>
          <t>KUNGSBACKA</t>
        </is>
      </c>
      <c r="I687" t="n">
        <v>1.6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20796-2022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44701</v>
      </c>
      <c r="E688" s="1" t="n">
        <v>46315</v>
      </c>
      <c r="F688" t="inlineStr">
        <is>
          <t>HALLANDS LÄN</t>
        </is>
      </c>
      <c r="G688" t="inlineStr">
        <is>
          <t>HYLTE</t>
        </is>
      </c>
      <c r="H688" t="inlineStr">
        <is>
          <t>Bergvik skog väst AB</t>
        </is>
      </c>
      <c r="I688" t="n">
        <v>1.6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57621-2023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45246</v>
      </c>
      <c r="E689" s="1" t="n">
        <v>46315</v>
      </c>
      <c r="F689" t="inlineStr">
        <is>
          <t>HALLANDS LÄN</t>
        </is>
      </c>
      <c r="G689" t="inlineStr">
        <is>
          <t>FALKENBERG</t>
        </is>
      </c>
      <c r="I689" t="n">
        <v>1.4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8114-2023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44974</v>
      </c>
      <c r="E690" s="1" t="n">
        <v>46315</v>
      </c>
      <c r="F690" t="inlineStr">
        <is>
          <t>HALLANDS LÄN</t>
        </is>
      </c>
      <c r="G690" t="inlineStr">
        <is>
          <t>HALMSTAD</t>
        </is>
      </c>
      <c r="I690" t="n">
        <v>3.4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57709-2023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45246</v>
      </c>
      <c r="E691" s="1" t="n">
        <v>46315</v>
      </c>
      <c r="F691" t="inlineStr">
        <is>
          <t>HALLANDS LÄN</t>
        </is>
      </c>
      <c r="G691" t="inlineStr">
        <is>
          <t>KUNGSBACKA</t>
        </is>
      </c>
      <c r="I691" t="n">
        <v>6.6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48015-2024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45589</v>
      </c>
      <c r="E692" s="1" t="n">
        <v>46315</v>
      </c>
      <c r="F692" t="inlineStr">
        <is>
          <t>HALLANDS LÄN</t>
        </is>
      </c>
      <c r="G692" t="inlineStr">
        <is>
          <t>HALMSTAD</t>
        </is>
      </c>
      <c r="I692" t="n">
        <v>7.3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48065-2024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45589</v>
      </c>
      <c r="E693" s="1" t="n">
        <v>46315</v>
      </c>
      <c r="F693" t="inlineStr">
        <is>
          <t>HALLANDS LÄN</t>
        </is>
      </c>
      <c r="G693" t="inlineStr">
        <is>
          <t>VARBERG</t>
        </is>
      </c>
      <c r="I693" t="n">
        <v>1.9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8222-2023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44974</v>
      </c>
      <c r="E694" s="1" t="n">
        <v>46315</v>
      </c>
      <c r="F694" t="inlineStr">
        <is>
          <t>HALLANDS LÄN</t>
        </is>
      </c>
      <c r="G694" t="inlineStr">
        <is>
          <t>HYLTE</t>
        </is>
      </c>
      <c r="I694" t="n">
        <v>1.6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48679-2023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45208</v>
      </c>
      <c r="E695" s="1" t="n">
        <v>46315</v>
      </c>
      <c r="F695" t="inlineStr">
        <is>
          <t>HALLANDS LÄN</t>
        </is>
      </c>
      <c r="G695" t="inlineStr">
        <is>
          <t>VARBERG</t>
        </is>
      </c>
      <c r="I695" t="n">
        <v>1.7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60421-2023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45259</v>
      </c>
      <c r="E696" s="1" t="n">
        <v>46315</v>
      </c>
      <c r="F696" t="inlineStr">
        <is>
          <t>HALLANDS LÄN</t>
        </is>
      </c>
      <c r="G696" t="inlineStr">
        <is>
          <t>HYLTE</t>
        </is>
      </c>
      <c r="I696" t="n">
        <v>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22587-2022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44714</v>
      </c>
      <c r="E697" s="1" t="n">
        <v>46315</v>
      </c>
      <c r="F697" t="inlineStr">
        <is>
          <t>HALLANDS LÄN</t>
        </is>
      </c>
      <c r="G697" t="inlineStr">
        <is>
          <t>HYLTE</t>
        </is>
      </c>
      <c r="I697" t="n">
        <v>1.4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12890-2022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44642</v>
      </c>
      <c r="E698" s="1" t="n">
        <v>46315</v>
      </c>
      <c r="F698" t="inlineStr">
        <is>
          <t>HALLANDS LÄN</t>
        </is>
      </c>
      <c r="G698" t="inlineStr">
        <is>
          <t>HALMSTAD</t>
        </is>
      </c>
      <c r="I698" t="n">
        <v>3.6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53331-2023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45229</v>
      </c>
      <c r="E699" s="1" t="n">
        <v>46315</v>
      </c>
      <c r="F699" t="inlineStr">
        <is>
          <t>HALLANDS LÄN</t>
        </is>
      </c>
      <c r="G699" t="inlineStr">
        <is>
          <t>HYLTE</t>
        </is>
      </c>
      <c r="I699" t="n">
        <v>1.6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8263-2023</t>
        </is>
      </c>
      <c r="B700" t="inlineStr">
        <is>
          <t>avverkningsanmälan</t>
        </is>
      </c>
      <c r="C700" t="inlineStr">
        <is>
          <t>Avverkning för annat ändamål</t>
        </is>
      </c>
      <c r="D700" s="1" t="n">
        <v>44974</v>
      </c>
      <c r="E700" s="1" t="n">
        <v>46315</v>
      </c>
      <c r="F700" t="inlineStr">
        <is>
          <t>HALLANDS LÄN</t>
        </is>
      </c>
      <c r="G700" t="inlineStr">
        <is>
          <t>VARBERG</t>
        </is>
      </c>
      <c r="I700" t="n">
        <v>0.7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2548-2023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44943</v>
      </c>
      <c r="E701" s="1" t="n">
        <v>46315</v>
      </c>
      <c r="F701" t="inlineStr">
        <is>
          <t>HALLANDS LÄN</t>
        </is>
      </c>
      <c r="G701" t="inlineStr">
        <is>
          <t>LAHOLM</t>
        </is>
      </c>
      <c r="H701" t="inlineStr">
        <is>
          <t>Kommuner</t>
        </is>
      </c>
      <c r="I701" t="n">
        <v>0.6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46692-2023</t>
        </is>
      </c>
      <c r="B702" t="inlineStr">
        <is>
          <t>avverkningsanmälan</t>
        </is>
      </c>
      <c r="C702" t="inlineStr">
        <is>
          <t>Avverkning för annat ändamål</t>
        </is>
      </c>
      <c r="D702" s="1" t="n">
        <v>45198</v>
      </c>
      <c r="E702" s="1" t="n">
        <v>46315</v>
      </c>
      <c r="F702" t="inlineStr">
        <is>
          <t>HALLANDS LÄN</t>
        </is>
      </c>
      <c r="G702" t="inlineStr">
        <is>
          <t>HYLTE</t>
        </is>
      </c>
      <c r="I702" t="n">
        <v>0.7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56706-2024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45627</v>
      </c>
      <c r="E703" s="1" t="n">
        <v>46315</v>
      </c>
      <c r="F703" t="inlineStr">
        <is>
          <t>HALLANDS LÄN</t>
        </is>
      </c>
      <c r="G703" t="inlineStr">
        <is>
          <t>HALMSTAD</t>
        </is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8142-2023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44974</v>
      </c>
      <c r="E704" s="1" t="n">
        <v>46315</v>
      </c>
      <c r="F704" t="inlineStr">
        <is>
          <t>HALLANDS LÄN</t>
        </is>
      </c>
      <c r="G704" t="inlineStr">
        <is>
          <t>HALMSTAD</t>
        </is>
      </c>
      <c r="I704" t="n">
        <v>1.9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1302-2022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44572</v>
      </c>
      <c r="E705" s="1" t="n">
        <v>46315</v>
      </c>
      <c r="F705" t="inlineStr">
        <is>
          <t>HALLANDS LÄN</t>
        </is>
      </c>
      <c r="G705" t="inlineStr">
        <is>
          <t>LAHOLM</t>
        </is>
      </c>
      <c r="I705" t="n">
        <v>4.1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14753-2022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44656</v>
      </c>
      <c r="E706" s="1" t="n">
        <v>46315</v>
      </c>
      <c r="F706" t="inlineStr">
        <is>
          <t>HALLANDS LÄN</t>
        </is>
      </c>
      <c r="G706" t="inlineStr">
        <is>
          <t>FALKENBERG</t>
        </is>
      </c>
      <c r="I706" t="n">
        <v>0.9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8349-2022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44610</v>
      </c>
      <c r="E707" s="1" t="n">
        <v>46315</v>
      </c>
      <c r="F707" t="inlineStr">
        <is>
          <t>HALLANDS LÄN</t>
        </is>
      </c>
      <c r="G707" t="inlineStr">
        <is>
          <t>FALKENBERG</t>
        </is>
      </c>
      <c r="I707" t="n">
        <v>3.4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47938-2024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45589</v>
      </c>
      <c r="E708" s="1" t="n">
        <v>46315</v>
      </c>
      <c r="F708" t="inlineStr">
        <is>
          <t>HALLANDS LÄN</t>
        </is>
      </c>
      <c r="G708" t="inlineStr">
        <is>
          <t>LAHOLM</t>
        </is>
      </c>
      <c r="I708" t="n">
        <v>0.7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19749-2022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44694</v>
      </c>
      <c r="E709" s="1" t="n">
        <v>46315</v>
      </c>
      <c r="F709" t="inlineStr">
        <is>
          <t>HALLANDS LÄN</t>
        </is>
      </c>
      <c r="G709" t="inlineStr">
        <is>
          <t>FALKENBERG</t>
        </is>
      </c>
      <c r="I709" t="n">
        <v>2.4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59494-2022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44900</v>
      </c>
      <c r="E710" s="1" t="n">
        <v>46315</v>
      </c>
      <c r="F710" t="inlineStr">
        <is>
          <t>HALLANDS LÄN</t>
        </is>
      </c>
      <c r="G710" t="inlineStr">
        <is>
          <t>HYLTE</t>
        </is>
      </c>
      <c r="I710" t="n">
        <v>0.8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47587-2024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45587</v>
      </c>
      <c r="E711" s="1" t="n">
        <v>46315</v>
      </c>
      <c r="F711" t="inlineStr">
        <is>
          <t>HALLANDS LÄN</t>
        </is>
      </c>
      <c r="G711" t="inlineStr">
        <is>
          <t>LAHOLM</t>
        </is>
      </c>
      <c r="I711" t="n">
        <v>0.6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21464-2024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45441</v>
      </c>
      <c r="E712" s="1" t="n">
        <v>46315</v>
      </c>
      <c r="F712" t="inlineStr">
        <is>
          <t>HALLANDS LÄN</t>
        </is>
      </c>
      <c r="G712" t="inlineStr">
        <is>
          <t>HYLTE</t>
        </is>
      </c>
      <c r="I712" t="n">
        <v>0.7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62757-2022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44926</v>
      </c>
      <c r="E713" s="1" t="n">
        <v>46315</v>
      </c>
      <c r="F713" t="inlineStr">
        <is>
          <t>HALLANDS LÄN</t>
        </is>
      </c>
      <c r="G713" t="inlineStr">
        <is>
          <t>HYLTE</t>
        </is>
      </c>
      <c r="H713" t="inlineStr">
        <is>
          <t>Kyrkan</t>
        </is>
      </c>
      <c r="I713" t="n">
        <v>3.4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10269-2023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44986</v>
      </c>
      <c r="E714" s="1" t="n">
        <v>46315</v>
      </c>
      <c r="F714" t="inlineStr">
        <is>
          <t>HALLANDS LÄN</t>
        </is>
      </c>
      <c r="G714" t="inlineStr">
        <is>
          <t>KUNGSBACKA</t>
        </is>
      </c>
      <c r="I714" t="n">
        <v>1.3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20543-2023</t>
        </is>
      </c>
      <c r="B715" t="inlineStr">
        <is>
          <t>avverkningsanmälan</t>
        </is>
      </c>
      <c r="C715" t="inlineStr">
        <is>
          <t>Avverkning för annat ändamål</t>
        </is>
      </c>
      <c r="D715" s="1" t="n">
        <v>45055</v>
      </c>
      <c r="E715" s="1" t="n">
        <v>46315</v>
      </c>
      <c r="F715" t="inlineStr">
        <is>
          <t>HALLANDS LÄN</t>
        </is>
      </c>
      <c r="G715" t="inlineStr">
        <is>
          <t>FALKENBERG</t>
        </is>
      </c>
      <c r="I715" t="n">
        <v>0.8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20546-2023</t>
        </is>
      </c>
      <c r="B716" t="inlineStr">
        <is>
          <t>avverkningsanmälan</t>
        </is>
      </c>
      <c r="C716" t="inlineStr">
        <is>
          <t>Avverkning för annat ändamål</t>
        </is>
      </c>
      <c r="D716" s="1" t="n">
        <v>45055</v>
      </c>
      <c r="E716" s="1" t="n">
        <v>46315</v>
      </c>
      <c r="F716" t="inlineStr">
        <is>
          <t>HALLANDS LÄN</t>
        </is>
      </c>
      <c r="G716" t="inlineStr">
        <is>
          <t>FALKENBERG</t>
        </is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25698-2023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45090</v>
      </c>
      <c r="E717" s="1" t="n">
        <v>46315</v>
      </c>
      <c r="F717" t="inlineStr">
        <is>
          <t>HALLANDS LÄN</t>
        </is>
      </c>
      <c r="G717" t="inlineStr">
        <is>
          <t>HALMSTAD</t>
        </is>
      </c>
      <c r="I717" t="n">
        <v>0.6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44960-2024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45575</v>
      </c>
      <c r="E718" s="1" t="n">
        <v>46315</v>
      </c>
      <c r="F718" t="inlineStr">
        <is>
          <t>HALLANDS LÄN</t>
        </is>
      </c>
      <c r="G718" t="inlineStr">
        <is>
          <t>FALKENBERG</t>
        </is>
      </c>
      <c r="I718" t="n">
        <v>1.5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29958-2022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44756</v>
      </c>
      <c r="E719" s="1" t="n">
        <v>46315</v>
      </c>
      <c r="F719" t="inlineStr">
        <is>
          <t>HALLANDS LÄN</t>
        </is>
      </c>
      <c r="G719" t="inlineStr">
        <is>
          <t>HYLTE</t>
        </is>
      </c>
      <c r="I719" t="n">
        <v>3.2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7639-2022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44607</v>
      </c>
      <c r="E720" s="1" t="n">
        <v>46315</v>
      </c>
      <c r="F720" t="inlineStr">
        <is>
          <t>HALLANDS LÄN</t>
        </is>
      </c>
      <c r="G720" t="inlineStr">
        <is>
          <t>HALMSTAD</t>
        </is>
      </c>
      <c r="I720" t="n">
        <v>1.4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38444-2023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45162</v>
      </c>
      <c r="E721" s="1" t="n">
        <v>46315</v>
      </c>
      <c r="F721" t="inlineStr">
        <is>
          <t>HALLANDS LÄN</t>
        </is>
      </c>
      <c r="G721" t="inlineStr">
        <is>
          <t>HYLTE</t>
        </is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38469-2023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45162</v>
      </c>
      <c r="E722" s="1" t="n">
        <v>46315</v>
      </c>
      <c r="F722" t="inlineStr">
        <is>
          <t>HALLANDS LÄN</t>
        </is>
      </c>
      <c r="G722" t="inlineStr">
        <is>
          <t>HYLTE</t>
        </is>
      </c>
      <c r="I722" t="n">
        <v>0.5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25592-2023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45089</v>
      </c>
      <c r="E723" s="1" t="n">
        <v>46315</v>
      </c>
      <c r="F723" t="inlineStr">
        <is>
          <t>HALLANDS LÄN</t>
        </is>
      </c>
      <c r="G723" t="inlineStr">
        <is>
          <t>LAHOLM</t>
        </is>
      </c>
      <c r="H723" t="inlineStr">
        <is>
          <t>Sveaskog</t>
        </is>
      </c>
      <c r="I723" t="n">
        <v>1.2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12315-2023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44999</v>
      </c>
      <c r="E724" s="1" t="n">
        <v>46315</v>
      </c>
      <c r="F724" t="inlineStr">
        <is>
          <t>HALLANDS LÄN</t>
        </is>
      </c>
      <c r="G724" t="inlineStr">
        <is>
          <t>HYLTE</t>
        </is>
      </c>
      <c r="I724" t="n">
        <v>0.5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62472-2023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45268</v>
      </c>
      <c r="E725" s="1" t="n">
        <v>46315</v>
      </c>
      <c r="F725" t="inlineStr">
        <is>
          <t>HALLANDS LÄN</t>
        </is>
      </c>
      <c r="G725" t="inlineStr">
        <is>
          <t>HYLTE</t>
        </is>
      </c>
      <c r="I725" t="n">
        <v>0.9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63097-2023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45273</v>
      </c>
      <c r="E726" s="1" t="n">
        <v>46315</v>
      </c>
      <c r="F726" t="inlineStr">
        <is>
          <t>HALLANDS LÄN</t>
        </is>
      </c>
      <c r="G726" t="inlineStr">
        <is>
          <t>FALKENBERG</t>
        </is>
      </c>
      <c r="I726" t="n">
        <v>1.3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40652-2023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45168</v>
      </c>
      <c r="E727" s="1" t="n">
        <v>46315</v>
      </c>
      <c r="F727" t="inlineStr">
        <is>
          <t>HALLANDS LÄN</t>
        </is>
      </c>
      <c r="G727" t="inlineStr">
        <is>
          <t>HALMSTAD</t>
        </is>
      </c>
      <c r="H727" t="inlineStr">
        <is>
          <t>Kommuner</t>
        </is>
      </c>
      <c r="I727" t="n">
        <v>1.1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10229-2023</t>
        </is>
      </c>
      <c r="B728" t="inlineStr">
        <is>
          <t>avverkningsanmälan</t>
        </is>
      </c>
      <c r="C728" t="inlineStr">
        <is>
          <t>Avverkning för annat ändamål</t>
        </is>
      </c>
      <c r="D728" s="1" t="n">
        <v>44980</v>
      </c>
      <c r="E728" s="1" t="n">
        <v>46315</v>
      </c>
      <c r="F728" t="inlineStr">
        <is>
          <t>HALLANDS LÄN</t>
        </is>
      </c>
      <c r="G728" t="inlineStr">
        <is>
          <t>VARBERG</t>
        </is>
      </c>
      <c r="H728" t="inlineStr">
        <is>
          <t>Övriga statliga verk och myndigheter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13504-2023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45006</v>
      </c>
      <c r="E729" s="1" t="n">
        <v>46315</v>
      </c>
      <c r="F729" t="inlineStr">
        <is>
          <t>HALLANDS LÄN</t>
        </is>
      </c>
      <c r="G729" t="inlineStr">
        <is>
          <t>LAHOLM</t>
        </is>
      </c>
      <c r="I729" t="n">
        <v>1.2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13505-2023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45006</v>
      </c>
      <c r="E730" s="1" t="n">
        <v>46315</v>
      </c>
      <c r="F730" t="inlineStr">
        <is>
          <t>HALLANDS LÄN</t>
        </is>
      </c>
      <c r="G730" t="inlineStr">
        <is>
          <t>LAHOLM</t>
        </is>
      </c>
      <c r="I730" t="n">
        <v>1.4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13594-2023</t>
        </is>
      </c>
      <c r="B731" t="inlineStr">
        <is>
          <t>avverkningsanmälan</t>
        </is>
      </c>
      <c r="C731" t="inlineStr">
        <is>
          <t>Avverkning för annat ändamål</t>
        </is>
      </c>
      <c r="D731" s="1" t="n">
        <v>45006</v>
      </c>
      <c r="E731" s="1" t="n">
        <v>46315</v>
      </c>
      <c r="F731" t="inlineStr">
        <is>
          <t>HALLANDS LÄN</t>
        </is>
      </c>
      <c r="G731" t="inlineStr">
        <is>
          <t>HALMSTAD</t>
        </is>
      </c>
      <c r="H731" t="inlineStr">
        <is>
          <t>Bergvik skog väst AB</t>
        </is>
      </c>
      <c r="I731" t="n">
        <v>8.6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58817-2022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44903</v>
      </c>
      <c r="E732" s="1" t="n">
        <v>46315</v>
      </c>
      <c r="F732" t="inlineStr">
        <is>
          <t>HALLANDS LÄN</t>
        </is>
      </c>
      <c r="G732" t="inlineStr">
        <is>
          <t>HYLTE</t>
        </is>
      </c>
      <c r="I732" t="n">
        <v>2.1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12001-2024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45377</v>
      </c>
      <c r="E733" s="1" t="n">
        <v>46315</v>
      </c>
      <c r="F733" t="inlineStr">
        <is>
          <t>HALLANDS LÄN</t>
        </is>
      </c>
      <c r="G733" t="inlineStr">
        <is>
          <t>LAHOLM</t>
        </is>
      </c>
      <c r="I733" t="n">
        <v>0.9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13713-2023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45007</v>
      </c>
      <c r="E734" s="1" t="n">
        <v>46315</v>
      </c>
      <c r="F734" t="inlineStr">
        <is>
          <t>HALLANDS LÄN</t>
        </is>
      </c>
      <c r="G734" t="inlineStr">
        <is>
          <t>VARBERG</t>
        </is>
      </c>
      <c r="I734" t="n">
        <v>0.9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30996-2023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45113</v>
      </c>
      <c r="E735" s="1" t="n">
        <v>46315</v>
      </c>
      <c r="F735" t="inlineStr">
        <is>
          <t>HALLANDS LÄN</t>
        </is>
      </c>
      <c r="G735" t="inlineStr">
        <is>
          <t>KUNGSBACKA</t>
        </is>
      </c>
      <c r="I735" t="n">
        <v>1.2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42205-2024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45562</v>
      </c>
      <c r="E736" s="1" t="n">
        <v>46315</v>
      </c>
      <c r="F736" t="inlineStr">
        <is>
          <t>HALLANDS LÄN</t>
        </is>
      </c>
      <c r="G736" t="inlineStr">
        <is>
          <t>HALMSTAD</t>
        </is>
      </c>
      <c r="I736" t="n">
        <v>0.6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19732-2024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45432</v>
      </c>
      <c r="E737" s="1" t="n">
        <v>46315</v>
      </c>
      <c r="F737" t="inlineStr">
        <is>
          <t>HALLANDS LÄN</t>
        </is>
      </c>
      <c r="G737" t="inlineStr">
        <is>
          <t>VARBERG</t>
        </is>
      </c>
      <c r="I737" t="n">
        <v>6.5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10089-2024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45364</v>
      </c>
      <c r="E738" s="1" t="n">
        <v>46315</v>
      </c>
      <c r="F738" t="inlineStr">
        <is>
          <t>HALLANDS LÄN</t>
        </is>
      </c>
      <c r="G738" t="inlineStr">
        <is>
          <t>LAHOLM</t>
        </is>
      </c>
      <c r="I738" t="n">
        <v>1.5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14500-2025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45741</v>
      </c>
      <c r="E739" s="1" t="n">
        <v>46315</v>
      </c>
      <c r="F739" t="inlineStr">
        <is>
          <t>HALLANDS LÄN</t>
        </is>
      </c>
      <c r="G739" t="inlineStr">
        <is>
          <t>FALKENBERG</t>
        </is>
      </c>
      <c r="I739" t="n">
        <v>0.9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27365-2022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44742</v>
      </c>
      <c r="E740" s="1" t="n">
        <v>46315</v>
      </c>
      <c r="F740" t="inlineStr">
        <is>
          <t>HALLANDS LÄN</t>
        </is>
      </c>
      <c r="G740" t="inlineStr">
        <is>
          <t>HALMSTAD</t>
        </is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46782-2024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45583</v>
      </c>
      <c r="E741" s="1" t="n">
        <v>46315</v>
      </c>
      <c r="F741" t="inlineStr">
        <is>
          <t>HALLANDS LÄN</t>
        </is>
      </c>
      <c r="G741" t="inlineStr">
        <is>
          <t>VARBERG</t>
        </is>
      </c>
      <c r="I741" t="n">
        <v>10.9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19595-2025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45770</v>
      </c>
      <c r="E742" s="1" t="n">
        <v>46315</v>
      </c>
      <c r="F742" t="inlineStr">
        <is>
          <t>HALLANDS LÄN</t>
        </is>
      </c>
      <c r="G742" t="inlineStr">
        <is>
          <t>VARBERG</t>
        </is>
      </c>
      <c r="I742" t="n">
        <v>0.4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42562-2022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44831</v>
      </c>
      <c r="E743" s="1" t="n">
        <v>46315</v>
      </c>
      <c r="F743" t="inlineStr">
        <is>
          <t>HALLANDS LÄN</t>
        </is>
      </c>
      <c r="G743" t="inlineStr">
        <is>
          <t>LAHOLM</t>
        </is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57135-2022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44895</v>
      </c>
      <c r="E744" s="1" t="n">
        <v>46315</v>
      </c>
      <c r="F744" t="inlineStr">
        <is>
          <t>HALLANDS LÄN</t>
        </is>
      </c>
      <c r="G744" t="inlineStr">
        <is>
          <t>LAHOLM</t>
        </is>
      </c>
      <c r="I744" t="n">
        <v>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50319-2024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45600</v>
      </c>
      <c r="E745" s="1" t="n">
        <v>46315</v>
      </c>
      <c r="F745" t="inlineStr">
        <is>
          <t>HALLANDS LÄN</t>
        </is>
      </c>
      <c r="G745" t="inlineStr">
        <is>
          <t>HALMSTAD</t>
        </is>
      </c>
      <c r="I745" t="n">
        <v>7.1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6486-2023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44966</v>
      </c>
      <c r="E746" s="1" t="n">
        <v>46315</v>
      </c>
      <c r="F746" t="inlineStr">
        <is>
          <t>HALLANDS LÄN</t>
        </is>
      </c>
      <c r="G746" t="inlineStr">
        <is>
          <t>VARBERG</t>
        </is>
      </c>
      <c r="I746" t="n">
        <v>1.9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60831-2023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45260</v>
      </c>
      <c r="E747" s="1" t="n">
        <v>46315</v>
      </c>
      <c r="F747" t="inlineStr">
        <is>
          <t>HALLANDS LÄN</t>
        </is>
      </c>
      <c r="G747" t="inlineStr">
        <is>
          <t>HALMSTAD</t>
        </is>
      </c>
      <c r="I747" t="n">
        <v>5.2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47904-2024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45589</v>
      </c>
      <c r="E748" s="1" t="n">
        <v>46315</v>
      </c>
      <c r="F748" t="inlineStr">
        <is>
          <t>HALLANDS LÄN</t>
        </is>
      </c>
      <c r="G748" t="inlineStr">
        <is>
          <t>HALMSTAD</t>
        </is>
      </c>
      <c r="I748" t="n">
        <v>0.9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46063-2024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45581</v>
      </c>
      <c r="E749" s="1" t="n">
        <v>46315</v>
      </c>
      <c r="F749" t="inlineStr">
        <is>
          <t>HALLANDS LÄN</t>
        </is>
      </c>
      <c r="G749" t="inlineStr">
        <is>
          <t>FALKENBERG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24585-2024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45460</v>
      </c>
      <c r="E750" s="1" t="n">
        <v>46315</v>
      </c>
      <c r="F750" t="inlineStr">
        <is>
          <t>HALLANDS LÄN</t>
        </is>
      </c>
      <c r="G750" t="inlineStr">
        <is>
          <t>HYLTE</t>
        </is>
      </c>
      <c r="I750" t="n">
        <v>1.4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45626-2024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45579</v>
      </c>
      <c r="E751" s="1" t="n">
        <v>46315</v>
      </c>
      <c r="F751" t="inlineStr">
        <is>
          <t>HALLANDS LÄN</t>
        </is>
      </c>
      <c r="G751" t="inlineStr">
        <is>
          <t>VARBERG</t>
        </is>
      </c>
      <c r="I751" t="n">
        <v>1.7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6272-2023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44965</v>
      </c>
      <c r="E752" s="1" t="n">
        <v>46315</v>
      </c>
      <c r="F752" t="inlineStr">
        <is>
          <t>HALLANDS LÄN</t>
        </is>
      </c>
      <c r="G752" t="inlineStr">
        <is>
          <t>HYLTE</t>
        </is>
      </c>
      <c r="H752" t="inlineStr">
        <is>
          <t>Bergvik skog väst AB</t>
        </is>
      </c>
      <c r="I752" t="n">
        <v>6.6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14052-2023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45008</v>
      </c>
      <c r="E753" s="1" t="n">
        <v>46315</v>
      </c>
      <c r="F753" t="inlineStr">
        <is>
          <t>HALLANDS LÄN</t>
        </is>
      </c>
      <c r="G753" t="inlineStr">
        <is>
          <t>KUNGSBACKA</t>
        </is>
      </c>
      <c r="I753" t="n">
        <v>2.2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9352-2025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45714</v>
      </c>
      <c r="E754" s="1" t="n">
        <v>46315</v>
      </c>
      <c r="F754" t="inlineStr">
        <is>
          <t>HALLANDS LÄN</t>
        </is>
      </c>
      <c r="G754" t="inlineStr">
        <is>
          <t>FALKENBERG</t>
        </is>
      </c>
      <c r="I754" t="n">
        <v>2.3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56903-2024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45628</v>
      </c>
      <c r="E755" s="1" t="n">
        <v>46315</v>
      </c>
      <c r="F755" t="inlineStr">
        <is>
          <t>HALLANDS LÄN</t>
        </is>
      </c>
      <c r="G755" t="inlineStr">
        <is>
          <t>LAHOLM</t>
        </is>
      </c>
      <c r="I755" t="n">
        <v>1.4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5210-2023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44959</v>
      </c>
      <c r="E756" s="1" t="n">
        <v>46315</v>
      </c>
      <c r="F756" t="inlineStr">
        <is>
          <t>HALLANDS LÄN</t>
        </is>
      </c>
      <c r="G756" t="inlineStr">
        <is>
          <t>HALMSTAD</t>
        </is>
      </c>
      <c r="I756" t="n">
        <v>2.2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3178-2023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44946</v>
      </c>
      <c r="E757" s="1" t="n">
        <v>46315</v>
      </c>
      <c r="F757" t="inlineStr">
        <is>
          <t>HALLANDS LÄN</t>
        </is>
      </c>
      <c r="G757" t="inlineStr">
        <is>
          <t>FALKENBERG</t>
        </is>
      </c>
      <c r="I757" t="n">
        <v>1.2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7301-2023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44970</v>
      </c>
      <c r="E758" s="1" t="n">
        <v>46315</v>
      </c>
      <c r="F758" t="inlineStr">
        <is>
          <t>HALLANDS LÄN</t>
        </is>
      </c>
      <c r="G758" t="inlineStr">
        <is>
          <t>HYLTE</t>
        </is>
      </c>
      <c r="I758" t="n">
        <v>2.7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59627-2023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45254</v>
      </c>
      <c r="E759" s="1" t="n">
        <v>46315</v>
      </c>
      <c r="F759" t="inlineStr">
        <is>
          <t>HALLANDS LÄN</t>
        </is>
      </c>
      <c r="G759" t="inlineStr">
        <is>
          <t>HYLTE</t>
        </is>
      </c>
      <c r="I759" t="n">
        <v>0.7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7302-2023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44970</v>
      </c>
      <c r="E760" s="1" t="n">
        <v>46315</v>
      </c>
      <c r="F760" t="inlineStr">
        <is>
          <t>HALLANDS LÄN</t>
        </is>
      </c>
      <c r="G760" t="inlineStr">
        <is>
          <t>HYLTE</t>
        </is>
      </c>
      <c r="I760" t="n">
        <v>0.5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52325-2024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45609</v>
      </c>
      <c r="E761" s="1" t="n">
        <v>46315</v>
      </c>
      <c r="F761" t="inlineStr">
        <is>
          <t>HALLANDS LÄN</t>
        </is>
      </c>
      <c r="G761" t="inlineStr">
        <is>
          <t>VARBERG</t>
        </is>
      </c>
      <c r="I761" t="n">
        <v>2.6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59999-2022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44909</v>
      </c>
      <c r="E762" s="1" t="n">
        <v>46315</v>
      </c>
      <c r="F762" t="inlineStr">
        <is>
          <t>HALLANDS LÄN</t>
        </is>
      </c>
      <c r="G762" t="inlineStr">
        <is>
          <t>LAHOLM</t>
        </is>
      </c>
      <c r="I762" t="n">
        <v>2.6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8676-2025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45712</v>
      </c>
      <c r="E763" s="1" t="n">
        <v>46315</v>
      </c>
      <c r="F763" t="inlineStr">
        <is>
          <t>HALLANDS LÄN</t>
        </is>
      </c>
      <c r="G763" t="inlineStr">
        <is>
          <t>HALMSTAD</t>
        </is>
      </c>
      <c r="I763" t="n">
        <v>9.300000000000001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29819-2023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45107</v>
      </c>
      <c r="E764" s="1" t="n">
        <v>46315</v>
      </c>
      <c r="F764" t="inlineStr">
        <is>
          <t>HALLANDS LÄN</t>
        </is>
      </c>
      <c r="G764" t="inlineStr">
        <is>
          <t>HYLTE</t>
        </is>
      </c>
      <c r="I764" t="n">
        <v>4.3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27021-2022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44740</v>
      </c>
      <c r="E765" s="1" t="n">
        <v>46315</v>
      </c>
      <c r="F765" t="inlineStr">
        <is>
          <t>HALLANDS LÄN</t>
        </is>
      </c>
      <c r="G765" t="inlineStr">
        <is>
          <t>VARBERG</t>
        </is>
      </c>
      <c r="I765" t="n">
        <v>5.3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24045-2024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45456</v>
      </c>
      <c r="E766" s="1" t="n">
        <v>46315</v>
      </c>
      <c r="F766" t="inlineStr">
        <is>
          <t>HALLANDS LÄN</t>
        </is>
      </c>
      <c r="G766" t="inlineStr">
        <is>
          <t>HYLTE</t>
        </is>
      </c>
      <c r="I766" t="n">
        <v>3.8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26432-2023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45092</v>
      </c>
      <c r="E767" s="1" t="n">
        <v>46315</v>
      </c>
      <c r="F767" t="inlineStr">
        <is>
          <t>HALLANDS LÄN</t>
        </is>
      </c>
      <c r="G767" t="inlineStr">
        <is>
          <t>HYLTE</t>
        </is>
      </c>
      <c r="I767" t="n">
        <v>3.7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20645-2023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45058</v>
      </c>
      <c r="E768" s="1" t="n">
        <v>46315</v>
      </c>
      <c r="F768" t="inlineStr">
        <is>
          <t>HALLANDS LÄN</t>
        </is>
      </c>
      <c r="G768" t="inlineStr">
        <is>
          <t>VARBERG</t>
        </is>
      </c>
      <c r="I768" t="n">
        <v>0.6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1277-2025</t>
        </is>
      </c>
      <c r="B769" t="inlineStr">
        <is>
          <t>avverkningsanmälan</t>
        </is>
      </c>
      <c r="C769" t="inlineStr">
        <is>
          <t>Avverkning för annat ändamål</t>
        </is>
      </c>
      <c r="D769" s="1" t="n">
        <v>45667</v>
      </c>
      <c r="E769" s="1" t="n">
        <v>46315</v>
      </c>
      <c r="F769" t="inlineStr">
        <is>
          <t>HALLANDS LÄN</t>
        </is>
      </c>
      <c r="G769" t="inlineStr">
        <is>
          <t>FALKENBERG</t>
        </is>
      </c>
      <c r="H769" t="inlineStr">
        <is>
          <t>Kyrkan</t>
        </is>
      </c>
      <c r="I769" t="n">
        <v>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7810-2025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45706</v>
      </c>
      <c r="E770" s="1" t="n">
        <v>46315</v>
      </c>
      <c r="F770" t="inlineStr">
        <is>
          <t>HALLANDS LÄN</t>
        </is>
      </c>
      <c r="G770" t="inlineStr">
        <is>
          <t>KUNGSBACKA</t>
        </is>
      </c>
      <c r="I770" t="n">
        <v>3.8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14538-2025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45741</v>
      </c>
      <c r="E771" s="1" t="n">
        <v>46315</v>
      </c>
      <c r="F771" t="inlineStr">
        <is>
          <t>HALLANDS LÄN</t>
        </is>
      </c>
      <c r="G771" t="inlineStr">
        <is>
          <t>VARBERG</t>
        </is>
      </c>
      <c r="I771" t="n">
        <v>0.6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24964-2024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45461</v>
      </c>
      <c r="E772" s="1" t="n">
        <v>46315</v>
      </c>
      <c r="F772" t="inlineStr">
        <is>
          <t>HALLANDS LÄN</t>
        </is>
      </c>
      <c r="G772" t="inlineStr">
        <is>
          <t>KUNGSBACKA</t>
        </is>
      </c>
      <c r="H772" t="inlineStr">
        <is>
          <t>Kommuner</t>
        </is>
      </c>
      <c r="I772" t="n">
        <v>3.2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47412-2023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45202</v>
      </c>
      <c r="E773" s="1" t="n">
        <v>46315</v>
      </c>
      <c r="F773" t="inlineStr">
        <is>
          <t>HALLANDS LÄN</t>
        </is>
      </c>
      <c r="G773" t="inlineStr">
        <is>
          <t>FALKENBERG</t>
        </is>
      </c>
      <c r="I773" t="n">
        <v>2.6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63608-2023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45275</v>
      </c>
      <c r="E774" s="1" t="n">
        <v>46315</v>
      </c>
      <c r="F774" t="inlineStr">
        <is>
          <t>HALLANDS LÄN</t>
        </is>
      </c>
      <c r="G774" t="inlineStr">
        <is>
          <t>HALMSTAD</t>
        </is>
      </c>
      <c r="I774" t="n">
        <v>0.6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33461-2023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45131</v>
      </c>
      <c r="E775" s="1" t="n">
        <v>46315</v>
      </c>
      <c r="F775" t="inlineStr">
        <is>
          <t>HALLANDS LÄN</t>
        </is>
      </c>
      <c r="G775" t="inlineStr">
        <is>
          <t>VARBERG</t>
        </is>
      </c>
      <c r="I775" t="n">
        <v>1.3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61889-2023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45266</v>
      </c>
      <c r="E776" s="1" t="n">
        <v>46315</v>
      </c>
      <c r="F776" t="inlineStr">
        <is>
          <t>HALLANDS LÄN</t>
        </is>
      </c>
      <c r="G776" t="inlineStr">
        <is>
          <t>FALKENBERG</t>
        </is>
      </c>
      <c r="I776" t="n">
        <v>1.1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64922-2023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45282</v>
      </c>
      <c r="E777" s="1" t="n">
        <v>46315</v>
      </c>
      <c r="F777" t="inlineStr">
        <is>
          <t>HALLANDS LÄN</t>
        </is>
      </c>
      <c r="G777" t="inlineStr">
        <is>
          <t>LAHOLM</t>
        </is>
      </c>
      <c r="H777" t="inlineStr">
        <is>
          <t>Övriga Aktiebolag</t>
        </is>
      </c>
      <c r="I777" t="n">
        <v>1.6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53182-2023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45229</v>
      </c>
      <c r="E778" s="1" t="n">
        <v>46315</v>
      </c>
      <c r="F778" t="inlineStr">
        <is>
          <t>HALLANDS LÄN</t>
        </is>
      </c>
      <c r="G778" t="inlineStr">
        <is>
          <t>HYLTE</t>
        </is>
      </c>
      <c r="I778" t="n">
        <v>1.2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13214-2023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45002</v>
      </c>
      <c r="E779" s="1" t="n">
        <v>46315</v>
      </c>
      <c r="F779" t="inlineStr">
        <is>
          <t>HALLANDS LÄN</t>
        </is>
      </c>
      <c r="G779" t="inlineStr">
        <is>
          <t>HYLTE</t>
        </is>
      </c>
      <c r="I779" t="n">
        <v>3.9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20694-2023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45058</v>
      </c>
      <c r="E780" s="1" t="n">
        <v>46315</v>
      </c>
      <c r="F780" t="inlineStr">
        <is>
          <t>HALLANDS LÄN</t>
        </is>
      </c>
      <c r="G780" t="inlineStr">
        <is>
          <t>FALKENBERG</t>
        </is>
      </c>
      <c r="I780" t="n">
        <v>1.6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15640-2023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45020</v>
      </c>
      <c r="E781" s="1" t="n">
        <v>46315</v>
      </c>
      <c r="F781" t="inlineStr">
        <is>
          <t>HALLANDS LÄN</t>
        </is>
      </c>
      <c r="G781" t="inlineStr">
        <is>
          <t>LAHOLM</t>
        </is>
      </c>
      <c r="I781" t="n">
        <v>2.9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14895-2023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45015</v>
      </c>
      <c r="E782" s="1" t="n">
        <v>46315</v>
      </c>
      <c r="F782" t="inlineStr">
        <is>
          <t>HALLANDS LÄN</t>
        </is>
      </c>
      <c r="G782" t="inlineStr">
        <is>
          <t>FALKENBERG</t>
        </is>
      </c>
      <c r="I782" t="n">
        <v>0.7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6978-2023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44967</v>
      </c>
      <c r="E783" s="1" t="n">
        <v>46315</v>
      </c>
      <c r="F783" t="inlineStr">
        <is>
          <t>HALLANDS LÄN</t>
        </is>
      </c>
      <c r="G783" t="inlineStr">
        <is>
          <t>KUNGSBACKA</t>
        </is>
      </c>
      <c r="I783" t="n">
        <v>0.8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62740-2023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45271</v>
      </c>
      <c r="E784" s="1" t="n">
        <v>46315</v>
      </c>
      <c r="F784" t="inlineStr">
        <is>
          <t>HALLANDS LÄN</t>
        </is>
      </c>
      <c r="G784" t="inlineStr">
        <is>
          <t>VARBERG</t>
        </is>
      </c>
      <c r="I784" t="n">
        <v>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29718-2023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45107</v>
      </c>
      <c r="E785" s="1" t="n">
        <v>46315</v>
      </c>
      <c r="F785" t="inlineStr">
        <is>
          <t>HALLANDS LÄN</t>
        </is>
      </c>
      <c r="G785" t="inlineStr">
        <is>
          <t>HYLTE</t>
        </is>
      </c>
      <c r="I785" t="n">
        <v>1.7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30692-2025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45831</v>
      </c>
      <c r="E786" s="1" t="n">
        <v>46315</v>
      </c>
      <c r="F786" t="inlineStr">
        <is>
          <t>HALLANDS LÄN</t>
        </is>
      </c>
      <c r="G786" t="inlineStr">
        <is>
          <t>HALMSTAD</t>
        </is>
      </c>
      <c r="I786" t="n">
        <v>1.1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12632-2023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45000</v>
      </c>
      <c r="E787" s="1" t="n">
        <v>46315</v>
      </c>
      <c r="F787" t="inlineStr">
        <is>
          <t>HALLANDS LÄN</t>
        </is>
      </c>
      <c r="G787" t="inlineStr">
        <is>
          <t>HALMSTAD</t>
        </is>
      </c>
      <c r="I787" t="n">
        <v>3.4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8705-2024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45356</v>
      </c>
      <c r="E788" s="1" t="n">
        <v>46315</v>
      </c>
      <c r="F788" t="inlineStr">
        <is>
          <t>HALLANDS LÄN</t>
        </is>
      </c>
      <c r="G788" t="inlineStr">
        <is>
          <t>HALMSTAD</t>
        </is>
      </c>
      <c r="I788" t="n">
        <v>0.7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24699-2023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45084</v>
      </c>
      <c r="E789" s="1" t="n">
        <v>46315</v>
      </c>
      <c r="F789" t="inlineStr">
        <is>
          <t>HALLANDS LÄN</t>
        </is>
      </c>
      <c r="G789" t="inlineStr">
        <is>
          <t>FALKENBERG</t>
        </is>
      </c>
      <c r="I789" t="n">
        <v>8.1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15122-2025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45744</v>
      </c>
      <c r="E790" s="1" t="n">
        <v>46315</v>
      </c>
      <c r="F790" t="inlineStr">
        <is>
          <t>HALLANDS LÄN</t>
        </is>
      </c>
      <c r="G790" t="inlineStr">
        <is>
          <t>KUNGSBACKA</t>
        </is>
      </c>
      <c r="I790" t="n">
        <v>1.2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26866-2025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45810</v>
      </c>
      <c r="E791" s="1" t="n">
        <v>46315</v>
      </c>
      <c r="F791" t="inlineStr">
        <is>
          <t>HALLANDS LÄN</t>
        </is>
      </c>
      <c r="G791" t="inlineStr">
        <is>
          <t>KUNGSBACKA</t>
        </is>
      </c>
      <c r="I791" t="n">
        <v>3.4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40062-2024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45554</v>
      </c>
      <c r="E792" s="1" t="n">
        <v>46315</v>
      </c>
      <c r="F792" t="inlineStr">
        <is>
          <t>HALLANDS LÄN</t>
        </is>
      </c>
      <c r="G792" t="inlineStr">
        <is>
          <t>VARBERG</t>
        </is>
      </c>
      <c r="I792" t="n">
        <v>1.8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61261-2024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45645</v>
      </c>
      <c r="E793" s="1" t="n">
        <v>46315</v>
      </c>
      <c r="F793" t="inlineStr">
        <is>
          <t>HALLANDS LÄN</t>
        </is>
      </c>
      <c r="G793" t="inlineStr">
        <is>
          <t>HYLTE</t>
        </is>
      </c>
      <c r="I793" t="n">
        <v>0.6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3407-2025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45680</v>
      </c>
      <c r="E794" s="1" t="n">
        <v>46315</v>
      </c>
      <c r="F794" t="inlineStr">
        <is>
          <t>HALLANDS LÄN</t>
        </is>
      </c>
      <c r="G794" t="inlineStr">
        <is>
          <t>LAHOLM</t>
        </is>
      </c>
      <c r="I794" t="n">
        <v>0.9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6036-2023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44964</v>
      </c>
      <c r="E795" s="1" t="n">
        <v>46315</v>
      </c>
      <c r="F795" t="inlineStr">
        <is>
          <t>HALLANDS LÄN</t>
        </is>
      </c>
      <c r="G795" t="inlineStr">
        <is>
          <t>FALKENBERG</t>
        </is>
      </c>
      <c r="I795" t="n">
        <v>1.5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6087-2023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44964</v>
      </c>
      <c r="E796" s="1" t="n">
        <v>46315</v>
      </c>
      <c r="F796" t="inlineStr">
        <is>
          <t>HALLANDS LÄN</t>
        </is>
      </c>
      <c r="G796" t="inlineStr">
        <is>
          <t>HALMSTAD</t>
        </is>
      </c>
      <c r="I796" t="n">
        <v>1.6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49492-2024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45596</v>
      </c>
      <c r="E797" s="1" t="n">
        <v>46315</v>
      </c>
      <c r="F797" t="inlineStr">
        <is>
          <t>HALLANDS LÄN</t>
        </is>
      </c>
      <c r="G797" t="inlineStr">
        <is>
          <t>KUNGSBACKA</t>
        </is>
      </c>
      <c r="I797" t="n">
        <v>0.2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27286-2023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45096</v>
      </c>
      <c r="E798" s="1" t="n">
        <v>46315</v>
      </c>
      <c r="F798" t="inlineStr">
        <is>
          <t>HALLANDS LÄN</t>
        </is>
      </c>
      <c r="G798" t="inlineStr">
        <is>
          <t>VARBERG</t>
        </is>
      </c>
      <c r="I798" t="n">
        <v>1.8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27287-2023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45096</v>
      </c>
      <c r="E799" s="1" t="n">
        <v>46315</v>
      </c>
      <c r="F799" t="inlineStr">
        <is>
          <t>HALLANDS LÄN</t>
        </is>
      </c>
      <c r="G799" t="inlineStr">
        <is>
          <t>KUNGSBACKA</t>
        </is>
      </c>
      <c r="I799" t="n">
        <v>0.4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14987-2023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45015</v>
      </c>
      <c r="E800" s="1" t="n">
        <v>46315</v>
      </c>
      <c r="F800" t="inlineStr">
        <is>
          <t>HALLANDS LÄN</t>
        </is>
      </c>
      <c r="G800" t="inlineStr">
        <is>
          <t>HALMSTAD</t>
        </is>
      </c>
      <c r="I800" t="n">
        <v>5.5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27432-2024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45474</v>
      </c>
      <c r="E801" s="1" t="n">
        <v>46315</v>
      </c>
      <c r="F801" t="inlineStr">
        <is>
          <t>HALLANDS LÄN</t>
        </is>
      </c>
      <c r="G801" t="inlineStr">
        <is>
          <t>FALKENBERG</t>
        </is>
      </c>
      <c r="I801" t="n">
        <v>1.5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48486-2025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45936</v>
      </c>
      <c r="E802" s="1" t="n">
        <v>46315</v>
      </c>
      <c r="F802" t="inlineStr">
        <is>
          <t>HALLANDS LÄN</t>
        </is>
      </c>
      <c r="G802" t="inlineStr">
        <is>
          <t>KUNGSBACKA</t>
        </is>
      </c>
      <c r="I802" t="n">
        <v>2.9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52820-2024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45610</v>
      </c>
      <c r="E803" s="1" t="n">
        <v>46315</v>
      </c>
      <c r="F803" t="inlineStr">
        <is>
          <t>HALLANDS LÄN</t>
        </is>
      </c>
      <c r="G803" t="inlineStr">
        <is>
          <t>HALMSTAD</t>
        </is>
      </c>
      <c r="H803" t="inlineStr">
        <is>
          <t>Kyrkan</t>
        </is>
      </c>
      <c r="I803" t="n">
        <v>1.3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35134-2023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45145</v>
      </c>
      <c r="E804" s="1" t="n">
        <v>46315</v>
      </c>
      <c r="F804" t="inlineStr">
        <is>
          <t>HALLANDS LÄN</t>
        </is>
      </c>
      <c r="G804" t="inlineStr">
        <is>
          <t>HYLTE</t>
        </is>
      </c>
      <c r="I804" t="n">
        <v>1.2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37571-2023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45159</v>
      </c>
      <c r="E805" s="1" t="n">
        <v>46315</v>
      </c>
      <c r="F805" t="inlineStr">
        <is>
          <t>HALLANDS LÄN</t>
        </is>
      </c>
      <c r="G805" t="inlineStr">
        <is>
          <t>HALMSTAD</t>
        </is>
      </c>
      <c r="I805" t="n">
        <v>1.9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13052-2023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45002</v>
      </c>
      <c r="E806" s="1" t="n">
        <v>46315</v>
      </c>
      <c r="F806" t="inlineStr">
        <is>
          <t>HALLANDS LÄN</t>
        </is>
      </c>
      <c r="G806" t="inlineStr">
        <is>
          <t>LAHOLM</t>
        </is>
      </c>
      <c r="I806" t="n">
        <v>1.7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9409-2024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45359</v>
      </c>
      <c r="E807" s="1" t="n">
        <v>46315</v>
      </c>
      <c r="F807" t="inlineStr">
        <is>
          <t>HALLANDS LÄN</t>
        </is>
      </c>
      <c r="G807" t="inlineStr">
        <is>
          <t>KUNGSBACKA</t>
        </is>
      </c>
      <c r="H807" t="inlineStr">
        <is>
          <t>Kyrkan</t>
        </is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9412-2024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45359</v>
      </c>
      <c r="E808" s="1" t="n">
        <v>46315</v>
      </c>
      <c r="F808" t="inlineStr">
        <is>
          <t>HALLANDS LÄN</t>
        </is>
      </c>
      <c r="G808" t="inlineStr">
        <is>
          <t>KUNGSBACKA</t>
        </is>
      </c>
      <c r="I808" t="n">
        <v>0.5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61424-2025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46001</v>
      </c>
      <c r="E809" s="1" t="n">
        <v>46315</v>
      </c>
      <c r="F809" t="inlineStr">
        <is>
          <t>HALLANDS LÄN</t>
        </is>
      </c>
      <c r="G809" t="inlineStr">
        <is>
          <t>KUNGSBACKA</t>
        </is>
      </c>
      <c r="I809" t="n">
        <v>1.9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38467-2025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45883</v>
      </c>
      <c r="E810" s="1" t="n">
        <v>46315</v>
      </c>
      <c r="F810" t="inlineStr">
        <is>
          <t>HALLANDS LÄN</t>
        </is>
      </c>
      <c r="G810" t="inlineStr">
        <is>
          <t>HALMSTAD</t>
        </is>
      </c>
      <c r="I810" t="n">
        <v>1.8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8350-2023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44977</v>
      </c>
      <c r="E811" s="1" t="n">
        <v>46315</v>
      </c>
      <c r="F811" t="inlineStr">
        <is>
          <t>HALLANDS LÄN</t>
        </is>
      </c>
      <c r="G811" t="inlineStr">
        <is>
          <t>FALKENBERG</t>
        </is>
      </c>
      <c r="H811" t="inlineStr">
        <is>
          <t>Bergvik skog väst AB</t>
        </is>
      </c>
      <c r="I811" t="n">
        <v>6.3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53873-2022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44880</v>
      </c>
      <c r="E812" s="1" t="n">
        <v>46315</v>
      </c>
      <c r="F812" t="inlineStr">
        <is>
          <t>HALLANDS LÄN</t>
        </is>
      </c>
      <c r="G812" t="inlineStr">
        <is>
          <t>HALMSTAD</t>
        </is>
      </c>
      <c r="I812" t="n">
        <v>1.4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50340-2024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45600</v>
      </c>
      <c r="E813" s="1" t="n">
        <v>46315</v>
      </c>
      <c r="F813" t="inlineStr">
        <is>
          <t>HALLANDS LÄN</t>
        </is>
      </c>
      <c r="G813" t="inlineStr">
        <is>
          <t>VARBERG</t>
        </is>
      </c>
      <c r="I813" t="n">
        <v>0.5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59254-2022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44897</v>
      </c>
      <c r="E814" s="1" t="n">
        <v>46315</v>
      </c>
      <c r="F814" t="inlineStr">
        <is>
          <t>HALLANDS LÄN</t>
        </is>
      </c>
      <c r="G814" t="inlineStr">
        <is>
          <t>HALMSTAD</t>
        </is>
      </c>
      <c r="H814" t="inlineStr">
        <is>
          <t>Bergvik skog väst AB</t>
        </is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55813-2024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45623</v>
      </c>
      <c r="E815" s="1" t="n">
        <v>46315</v>
      </c>
      <c r="F815" t="inlineStr">
        <is>
          <t>HALLANDS LÄN</t>
        </is>
      </c>
      <c r="G815" t="inlineStr">
        <is>
          <t>VARBERG</t>
        </is>
      </c>
      <c r="I815" t="n">
        <v>6.3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11938-2025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45728</v>
      </c>
      <c r="E816" s="1" t="n">
        <v>46315</v>
      </c>
      <c r="F816" t="inlineStr">
        <is>
          <t>HALLANDS LÄN</t>
        </is>
      </c>
      <c r="G816" t="inlineStr">
        <is>
          <t>KUNGSBACKA</t>
        </is>
      </c>
      <c r="I816" t="n">
        <v>2.4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61493-2024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45646</v>
      </c>
      <c r="E817" s="1" t="n">
        <v>46315</v>
      </c>
      <c r="F817" t="inlineStr">
        <is>
          <t>HALLANDS LÄN</t>
        </is>
      </c>
      <c r="G817" t="inlineStr">
        <is>
          <t>LAHOLM</t>
        </is>
      </c>
      <c r="I817" t="n">
        <v>0.4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31344-2024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45504</v>
      </c>
      <c r="E818" s="1" t="n">
        <v>46315</v>
      </c>
      <c r="F818" t="inlineStr">
        <is>
          <t>HALLANDS LÄN</t>
        </is>
      </c>
      <c r="G818" t="inlineStr">
        <is>
          <t>KUNGSBACKA</t>
        </is>
      </c>
      <c r="I818" t="n">
        <v>2.3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33786-2025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45842</v>
      </c>
      <c r="E819" s="1" t="n">
        <v>46315</v>
      </c>
      <c r="F819" t="inlineStr">
        <is>
          <t>HALLANDS LÄN</t>
        </is>
      </c>
      <c r="G819" t="inlineStr">
        <is>
          <t>FALKENBERG</t>
        </is>
      </c>
      <c r="I819" t="n">
        <v>2.2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36284-2025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45867</v>
      </c>
      <c r="E820" s="1" t="n">
        <v>46315</v>
      </c>
      <c r="F820" t="inlineStr">
        <is>
          <t>HALLANDS LÄN</t>
        </is>
      </c>
      <c r="G820" t="inlineStr">
        <is>
          <t>KUNGSBACKA</t>
        </is>
      </c>
      <c r="I820" t="n">
        <v>3.9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29865-2025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45826</v>
      </c>
      <c r="E821" s="1" t="n">
        <v>46315</v>
      </c>
      <c r="F821" t="inlineStr">
        <is>
          <t>HALLANDS LÄN</t>
        </is>
      </c>
      <c r="G821" t="inlineStr">
        <is>
          <t>HALMSTAD</t>
        </is>
      </c>
      <c r="I821" t="n">
        <v>2.3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41891-2024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45561</v>
      </c>
      <c r="E822" s="1" t="n">
        <v>46315</v>
      </c>
      <c r="F822" t="inlineStr">
        <is>
          <t>HALLANDS LÄN</t>
        </is>
      </c>
      <c r="G822" t="inlineStr">
        <is>
          <t>FALKENBERG</t>
        </is>
      </c>
      <c r="I822" t="n">
        <v>1.1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27303-2025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45812</v>
      </c>
      <c r="E823" s="1" t="n">
        <v>46315</v>
      </c>
      <c r="F823" t="inlineStr">
        <is>
          <t>HALLANDS LÄN</t>
        </is>
      </c>
      <c r="G823" t="inlineStr">
        <is>
          <t>LAHOLM</t>
        </is>
      </c>
      <c r="I823" t="n">
        <v>1.1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28879-2025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45820</v>
      </c>
      <c r="E824" s="1" t="n">
        <v>46315</v>
      </c>
      <c r="F824" t="inlineStr">
        <is>
          <t>HALLANDS LÄN</t>
        </is>
      </c>
      <c r="G824" t="inlineStr">
        <is>
          <t>KUNGSBACKA</t>
        </is>
      </c>
      <c r="I824" t="n">
        <v>2.4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29471-2022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44753</v>
      </c>
      <c r="E825" s="1" t="n">
        <v>46315</v>
      </c>
      <c r="F825" t="inlineStr">
        <is>
          <t>HALLANDS LÄN</t>
        </is>
      </c>
      <c r="G825" t="inlineStr">
        <is>
          <t>HALMSTAD</t>
        </is>
      </c>
      <c r="I825" t="n">
        <v>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59618-2024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45638</v>
      </c>
      <c r="E826" s="1" t="n">
        <v>46315</v>
      </c>
      <c r="F826" t="inlineStr">
        <is>
          <t>HALLANDS LÄN</t>
        </is>
      </c>
      <c r="G826" t="inlineStr">
        <is>
          <t>HYLTE</t>
        </is>
      </c>
      <c r="I826" t="n">
        <v>1.9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31641-2025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45834</v>
      </c>
      <c r="E827" s="1" t="n">
        <v>46315</v>
      </c>
      <c r="F827" t="inlineStr">
        <is>
          <t>HALLANDS LÄN</t>
        </is>
      </c>
      <c r="G827" t="inlineStr">
        <is>
          <t>HYLTE</t>
        </is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39139-2025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45888</v>
      </c>
      <c r="E828" s="1" t="n">
        <v>46315</v>
      </c>
      <c r="F828" t="inlineStr">
        <is>
          <t>HALLANDS LÄN</t>
        </is>
      </c>
      <c r="G828" t="inlineStr">
        <is>
          <t>FALKENBERG</t>
        </is>
      </c>
      <c r="I828" t="n">
        <v>0.6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39066-2025</t>
        </is>
      </c>
      <c r="B829" t="inlineStr">
        <is>
          <t>avverkningsanmälan</t>
        </is>
      </c>
      <c r="C829" t="inlineStr">
        <is>
          <t>Avverkning för att bevara och utveckla /försöksver</t>
        </is>
      </c>
      <c r="D829" s="1" t="n">
        <v>45888</v>
      </c>
      <c r="E829" s="1" t="n">
        <v>46315</v>
      </c>
      <c r="F829" t="inlineStr">
        <is>
          <t>HALLANDS LÄN</t>
        </is>
      </c>
      <c r="G829" t="inlineStr">
        <is>
          <t>KUNGSBACKA</t>
        </is>
      </c>
      <c r="I829" t="n">
        <v>2.3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60909-2022</t>
        </is>
      </c>
      <c r="B830" t="inlineStr">
        <is>
          <t>avverkningsanmälan</t>
        </is>
      </c>
      <c r="C830" t="inlineStr">
        <is>
          <t>Avverkning för annat ändamål</t>
        </is>
      </c>
      <c r="D830" s="1" t="n">
        <v>44908</v>
      </c>
      <c r="E830" s="1" t="n">
        <v>46315</v>
      </c>
      <c r="F830" t="inlineStr">
        <is>
          <t>HALLANDS LÄN</t>
        </is>
      </c>
      <c r="G830" t="inlineStr">
        <is>
          <t>FALKENBERG</t>
        </is>
      </c>
      <c r="I830" t="n">
        <v>0.6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59344-2024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45637</v>
      </c>
      <c r="E831" s="1" t="n">
        <v>46315</v>
      </c>
      <c r="F831" t="inlineStr">
        <is>
          <t>HALLANDS LÄN</t>
        </is>
      </c>
      <c r="G831" t="inlineStr">
        <is>
          <t>VARBERG</t>
        </is>
      </c>
      <c r="I831" t="n">
        <v>3.1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17382-2023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45035</v>
      </c>
      <c r="E832" s="1" t="n">
        <v>46315</v>
      </c>
      <c r="F832" t="inlineStr">
        <is>
          <t>HALLANDS LÄN</t>
        </is>
      </c>
      <c r="G832" t="inlineStr">
        <is>
          <t>FALKENBERG</t>
        </is>
      </c>
      <c r="I832" t="n">
        <v>0.7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28489-2024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45477</v>
      </c>
      <c r="E833" s="1" t="n">
        <v>46315</v>
      </c>
      <c r="F833" t="inlineStr">
        <is>
          <t>HALLANDS LÄN</t>
        </is>
      </c>
      <c r="G833" t="inlineStr">
        <is>
          <t>VARBERG</t>
        </is>
      </c>
      <c r="I833" t="n">
        <v>1.6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13799-2022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44649</v>
      </c>
      <c r="E834" s="1" t="n">
        <v>46315</v>
      </c>
      <c r="F834" t="inlineStr">
        <is>
          <t>HALLANDS LÄN</t>
        </is>
      </c>
      <c r="G834" t="inlineStr">
        <is>
          <t>VARBERG</t>
        </is>
      </c>
      <c r="I834" t="n">
        <v>2.1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13825-2022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44649</v>
      </c>
      <c r="E835" s="1" t="n">
        <v>46315</v>
      </c>
      <c r="F835" t="inlineStr">
        <is>
          <t>HALLANDS LÄN</t>
        </is>
      </c>
      <c r="G835" t="inlineStr">
        <is>
          <t>VARBERG</t>
        </is>
      </c>
      <c r="I835" t="n">
        <v>1.4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25349-2025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45800</v>
      </c>
      <c r="E836" s="1" t="n">
        <v>46315</v>
      </c>
      <c r="F836" t="inlineStr">
        <is>
          <t>HALLANDS LÄN</t>
        </is>
      </c>
      <c r="G836" t="inlineStr">
        <is>
          <t>HALMSTAD</t>
        </is>
      </c>
      <c r="I836" t="n">
        <v>1.3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16195-2025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45750</v>
      </c>
      <c r="E837" s="1" t="n">
        <v>46315</v>
      </c>
      <c r="F837" t="inlineStr">
        <is>
          <t>HALLANDS LÄN</t>
        </is>
      </c>
      <c r="G837" t="inlineStr">
        <is>
          <t>HALMSTAD</t>
        </is>
      </c>
      <c r="I837" t="n">
        <v>1.6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33208-2025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45840</v>
      </c>
      <c r="E838" s="1" t="n">
        <v>46315</v>
      </c>
      <c r="F838" t="inlineStr">
        <is>
          <t>HALLANDS LÄN</t>
        </is>
      </c>
      <c r="G838" t="inlineStr">
        <is>
          <t>HYLTE</t>
        </is>
      </c>
      <c r="I838" t="n">
        <v>1.4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25106-2025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45800</v>
      </c>
      <c r="E839" s="1" t="n">
        <v>46315</v>
      </c>
      <c r="F839" t="inlineStr">
        <is>
          <t>HALLANDS LÄN</t>
        </is>
      </c>
      <c r="G839" t="inlineStr">
        <is>
          <t>HALMSTAD</t>
        </is>
      </c>
      <c r="I839" t="n">
        <v>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21465-2025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45782</v>
      </c>
      <c r="E840" s="1" t="n">
        <v>46315</v>
      </c>
      <c r="F840" t="inlineStr">
        <is>
          <t>HALLANDS LÄN</t>
        </is>
      </c>
      <c r="G840" t="inlineStr">
        <is>
          <t>FALKENBERG</t>
        </is>
      </c>
      <c r="I840" t="n">
        <v>1.6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43261-2024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45568</v>
      </c>
      <c r="E841" s="1" t="n">
        <v>46315</v>
      </c>
      <c r="F841" t="inlineStr">
        <is>
          <t>HALLANDS LÄN</t>
        </is>
      </c>
      <c r="G841" t="inlineStr">
        <is>
          <t>HYLTE</t>
        </is>
      </c>
      <c r="I841" t="n">
        <v>1.5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20741-2024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45436</v>
      </c>
      <c r="E842" s="1" t="n">
        <v>46315</v>
      </c>
      <c r="F842" t="inlineStr">
        <is>
          <t>HALLANDS LÄN</t>
        </is>
      </c>
      <c r="G842" t="inlineStr">
        <is>
          <t>HYLTE</t>
        </is>
      </c>
      <c r="I842" t="n">
        <v>1.4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46403-2024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45582</v>
      </c>
      <c r="E843" s="1" t="n">
        <v>46315</v>
      </c>
      <c r="F843" t="inlineStr">
        <is>
          <t>HALLANDS LÄN</t>
        </is>
      </c>
      <c r="G843" t="inlineStr">
        <is>
          <t>FALKENBERG</t>
        </is>
      </c>
      <c r="I843" t="n">
        <v>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51978-2024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45607</v>
      </c>
      <c r="E844" s="1" t="n">
        <v>46315</v>
      </c>
      <c r="F844" t="inlineStr">
        <is>
          <t>HALLANDS LÄN</t>
        </is>
      </c>
      <c r="G844" t="inlineStr">
        <is>
          <t>KUNGSBACKA</t>
        </is>
      </c>
      <c r="I844" t="n">
        <v>0.2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2378-2025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45673</v>
      </c>
      <c r="E845" s="1" t="n">
        <v>46315</v>
      </c>
      <c r="F845" t="inlineStr">
        <is>
          <t>HALLANDS LÄN</t>
        </is>
      </c>
      <c r="G845" t="inlineStr">
        <is>
          <t>HYLTE</t>
        </is>
      </c>
      <c r="I845" t="n">
        <v>6.1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34028-2025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45845</v>
      </c>
      <c r="E846" s="1" t="n">
        <v>46315</v>
      </c>
      <c r="F846" t="inlineStr">
        <is>
          <t>HALLANDS LÄN</t>
        </is>
      </c>
      <c r="G846" t="inlineStr">
        <is>
          <t>VARBERG</t>
        </is>
      </c>
      <c r="I846" t="n">
        <v>0.9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19305-2025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45769</v>
      </c>
      <c r="E847" s="1" t="n">
        <v>46315</v>
      </c>
      <c r="F847" t="inlineStr">
        <is>
          <t>HALLANDS LÄN</t>
        </is>
      </c>
      <c r="G847" t="inlineStr">
        <is>
          <t>HALMSTAD</t>
        </is>
      </c>
      <c r="I847" t="n">
        <v>1.1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31656-2023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45117</v>
      </c>
      <c r="E848" s="1" t="n">
        <v>46315</v>
      </c>
      <c r="F848" t="inlineStr">
        <is>
          <t>HALLANDS LÄN</t>
        </is>
      </c>
      <c r="G848" t="inlineStr">
        <is>
          <t>HALMSTAD</t>
        </is>
      </c>
      <c r="I848" t="n">
        <v>0.7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46567-2024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45582</v>
      </c>
      <c r="E849" s="1" t="n">
        <v>46315</v>
      </c>
      <c r="F849" t="inlineStr">
        <is>
          <t>HALLANDS LÄN</t>
        </is>
      </c>
      <c r="G849" t="inlineStr">
        <is>
          <t>LAHOLM</t>
        </is>
      </c>
      <c r="I849" t="n">
        <v>1.3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39091-2025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45888</v>
      </c>
      <c r="E850" s="1" t="n">
        <v>46315</v>
      </c>
      <c r="F850" t="inlineStr">
        <is>
          <t>HALLANDS LÄN</t>
        </is>
      </c>
      <c r="G850" t="inlineStr">
        <is>
          <t>VARBERG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26097-2025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45805</v>
      </c>
      <c r="E851" s="1" t="n">
        <v>46315</v>
      </c>
      <c r="F851" t="inlineStr">
        <is>
          <t>HALLANDS LÄN</t>
        </is>
      </c>
      <c r="G851" t="inlineStr">
        <is>
          <t>HALMSTAD</t>
        </is>
      </c>
      <c r="I851" t="n">
        <v>3.5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46441-2024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45582</v>
      </c>
      <c r="E852" s="1" t="n">
        <v>46315</v>
      </c>
      <c r="F852" t="inlineStr">
        <is>
          <t>HALLANDS LÄN</t>
        </is>
      </c>
      <c r="G852" t="inlineStr">
        <is>
          <t>FALKENBERG</t>
        </is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9228-2025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45714</v>
      </c>
      <c r="E853" s="1" t="n">
        <v>46315</v>
      </c>
      <c r="F853" t="inlineStr">
        <is>
          <t>HALLANDS LÄN</t>
        </is>
      </c>
      <c r="G853" t="inlineStr">
        <is>
          <t>HALMSTAD</t>
        </is>
      </c>
      <c r="I853" t="n">
        <v>1.2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28129-2025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45818</v>
      </c>
      <c r="E854" s="1" t="n">
        <v>46315</v>
      </c>
      <c r="F854" t="inlineStr">
        <is>
          <t>HALLANDS LÄN</t>
        </is>
      </c>
      <c r="G854" t="inlineStr">
        <is>
          <t>LAHOLM</t>
        </is>
      </c>
      <c r="I854" t="n">
        <v>1.2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40582-2023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45168</v>
      </c>
      <c r="E855" s="1" t="n">
        <v>46315</v>
      </c>
      <c r="F855" t="inlineStr">
        <is>
          <t>HALLANDS LÄN</t>
        </is>
      </c>
      <c r="G855" t="inlineStr">
        <is>
          <t>HALMSTAD</t>
        </is>
      </c>
      <c r="H855" t="inlineStr">
        <is>
          <t>Kommuner</t>
        </is>
      </c>
      <c r="I855" t="n">
        <v>0.6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40658-2023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45168</v>
      </c>
      <c r="E856" s="1" t="n">
        <v>46315</v>
      </c>
      <c r="F856" t="inlineStr">
        <is>
          <t>HALLANDS LÄN</t>
        </is>
      </c>
      <c r="G856" t="inlineStr">
        <is>
          <t>HALMSTAD</t>
        </is>
      </c>
      <c r="H856" t="inlineStr">
        <is>
          <t>Kommuner</t>
        </is>
      </c>
      <c r="I856" t="n">
        <v>1.7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25366-2025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45800</v>
      </c>
      <c r="E857" s="1" t="n">
        <v>46315</v>
      </c>
      <c r="F857" t="inlineStr">
        <is>
          <t>HALLANDS LÄN</t>
        </is>
      </c>
      <c r="G857" t="inlineStr">
        <is>
          <t>FALKENBERG</t>
        </is>
      </c>
      <c r="I857" t="n">
        <v>3.7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22309-2022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44712</v>
      </c>
      <c r="E858" s="1" t="n">
        <v>46315</v>
      </c>
      <c r="F858" t="inlineStr">
        <is>
          <t>HALLANDS LÄN</t>
        </is>
      </c>
      <c r="G858" t="inlineStr">
        <is>
          <t>HYLTE</t>
        </is>
      </c>
      <c r="I858" t="n">
        <v>2.4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49286-2024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45595</v>
      </c>
      <c r="E859" s="1" t="n">
        <v>46315</v>
      </c>
      <c r="F859" t="inlineStr">
        <is>
          <t>HALLANDS LÄN</t>
        </is>
      </c>
      <c r="G859" t="inlineStr">
        <is>
          <t>FALKENBERG</t>
        </is>
      </c>
      <c r="I859" t="n">
        <v>6.4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47832-2023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45204</v>
      </c>
      <c r="E860" s="1" t="n">
        <v>46315</v>
      </c>
      <c r="F860" t="inlineStr">
        <is>
          <t>HALLANDS LÄN</t>
        </is>
      </c>
      <c r="G860" t="inlineStr">
        <is>
          <t>KUNGSBACKA</t>
        </is>
      </c>
      <c r="I860" t="n">
        <v>2.9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39298-2025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45889</v>
      </c>
      <c r="E861" s="1" t="n">
        <v>46315</v>
      </c>
      <c r="F861" t="inlineStr">
        <is>
          <t>HALLANDS LÄN</t>
        </is>
      </c>
      <c r="G861" t="inlineStr">
        <is>
          <t>FALKENBERG</t>
        </is>
      </c>
      <c r="I861" t="n">
        <v>1.9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45984-2024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45580</v>
      </c>
      <c r="E862" s="1" t="n">
        <v>46315</v>
      </c>
      <c r="F862" t="inlineStr">
        <is>
          <t>HALLANDS LÄN</t>
        </is>
      </c>
      <c r="G862" t="inlineStr">
        <is>
          <t>VARBERG</t>
        </is>
      </c>
      <c r="I862" t="n">
        <v>3.1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39292-2025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45889</v>
      </c>
      <c r="E863" s="1" t="n">
        <v>46315</v>
      </c>
      <c r="F863" t="inlineStr">
        <is>
          <t>HALLANDS LÄN</t>
        </is>
      </c>
      <c r="G863" t="inlineStr">
        <is>
          <t>KUNGSBACKA</t>
        </is>
      </c>
      <c r="I863" t="n">
        <v>1.5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39295-2025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45889</v>
      </c>
      <c r="E864" s="1" t="n">
        <v>46315</v>
      </c>
      <c r="F864" t="inlineStr">
        <is>
          <t>HALLANDS LÄN</t>
        </is>
      </c>
      <c r="G864" t="inlineStr">
        <is>
          <t>KUNGSBACKA</t>
        </is>
      </c>
      <c r="I864" t="n">
        <v>0.5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39595-2025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45890</v>
      </c>
      <c r="E865" s="1" t="n">
        <v>46315</v>
      </c>
      <c r="F865" t="inlineStr">
        <is>
          <t>HALLANDS LÄN</t>
        </is>
      </c>
      <c r="G865" t="inlineStr">
        <is>
          <t>HYLTE</t>
        </is>
      </c>
      <c r="I865" t="n">
        <v>7.6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15846-2025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45748</v>
      </c>
      <c r="E866" s="1" t="n">
        <v>46315</v>
      </c>
      <c r="F866" t="inlineStr">
        <is>
          <t>HALLANDS LÄN</t>
        </is>
      </c>
      <c r="G866" t="inlineStr">
        <is>
          <t>HYLTE</t>
        </is>
      </c>
      <c r="I866" t="n">
        <v>2.8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6318-2025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45698</v>
      </c>
      <c r="E867" s="1" t="n">
        <v>46315</v>
      </c>
      <c r="F867" t="inlineStr">
        <is>
          <t>HALLANDS LÄN</t>
        </is>
      </c>
      <c r="G867" t="inlineStr">
        <is>
          <t>KUNGSBACKA</t>
        </is>
      </c>
      <c r="I867" t="n">
        <v>0.8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38615-2025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45884</v>
      </c>
      <c r="E868" s="1" t="n">
        <v>46315</v>
      </c>
      <c r="F868" t="inlineStr">
        <is>
          <t>HALLANDS LÄN</t>
        </is>
      </c>
      <c r="G868" t="inlineStr">
        <is>
          <t>VARBERG</t>
        </is>
      </c>
      <c r="I868" t="n">
        <v>2.1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40047-2025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45894</v>
      </c>
      <c r="E869" s="1" t="n">
        <v>46315</v>
      </c>
      <c r="F869" t="inlineStr">
        <is>
          <t>HALLANDS LÄN</t>
        </is>
      </c>
      <c r="G869" t="inlineStr">
        <is>
          <t>HALMSTAD</t>
        </is>
      </c>
      <c r="I869" t="n">
        <v>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7811-2025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45706</v>
      </c>
      <c r="E870" s="1" t="n">
        <v>46315</v>
      </c>
      <c r="F870" t="inlineStr">
        <is>
          <t>HALLANDS LÄN</t>
        </is>
      </c>
      <c r="G870" t="inlineStr">
        <is>
          <t>VARBERG</t>
        </is>
      </c>
      <c r="H870" t="inlineStr">
        <is>
          <t>Övriga statliga verk och myndigheter</t>
        </is>
      </c>
      <c r="I870" t="n">
        <v>0.5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7812-2025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45706</v>
      </c>
      <c r="E871" s="1" t="n">
        <v>46315</v>
      </c>
      <c r="F871" t="inlineStr">
        <is>
          <t>HALLANDS LÄN</t>
        </is>
      </c>
      <c r="G871" t="inlineStr">
        <is>
          <t>VARBERG</t>
        </is>
      </c>
      <c r="H871" t="inlineStr">
        <is>
          <t>Övriga statliga verk och myndigheter</t>
        </is>
      </c>
      <c r="I871" t="n">
        <v>0.7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35567-2024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45531</v>
      </c>
      <c r="E872" s="1" t="n">
        <v>46315</v>
      </c>
      <c r="F872" t="inlineStr">
        <is>
          <t>HALLANDS LÄN</t>
        </is>
      </c>
      <c r="G872" t="inlineStr">
        <is>
          <t>HYLTE</t>
        </is>
      </c>
      <c r="I872" t="n">
        <v>6.8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39991-2025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45891</v>
      </c>
      <c r="E873" s="1" t="n">
        <v>46315</v>
      </c>
      <c r="F873" t="inlineStr">
        <is>
          <t>HALLANDS LÄN</t>
        </is>
      </c>
      <c r="G873" t="inlineStr">
        <is>
          <t>HYLTE</t>
        </is>
      </c>
      <c r="H873" t="inlineStr">
        <is>
          <t>Kyrkan</t>
        </is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39992-2025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45891</v>
      </c>
      <c r="E874" s="1" t="n">
        <v>46315</v>
      </c>
      <c r="F874" t="inlineStr">
        <is>
          <t>HALLANDS LÄN</t>
        </is>
      </c>
      <c r="G874" t="inlineStr">
        <is>
          <t>HYLTE</t>
        </is>
      </c>
      <c r="H874" t="inlineStr">
        <is>
          <t>Kyrkan</t>
        </is>
      </c>
      <c r="I874" t="n">
        <v>1.2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31543-2022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44775</v>
      </c>
      <c r="E875" s="1" t="n">
        <v>46315</v>
      </c>
      <c r="F875" t="inlineStr">
        <is>
          <t>HALLANDS LÄN</t>
        </is>
      </c>
      <c r="G875" t="inlineStr">
        <is>
          <t>HALMSTAD</t>
        </is>
      </c>
      <c r="I875" t="n">
        <v>2.9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13141-2022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44644</v>
      </c>
      <c r="E876" s="1" t="n">
        <v>46315</v>
      </c>
      <c r="F876" t="inlineStr">
        <is>
          <t>HALLANDS LÄN</t>
        </is>
      </c>
      <c r="G876" t="inlineStr">
        <is>
          <t>VARBERG</t>
        </is>
      </c>
      <c r="I876" t="n">
        <v>1.4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43897-2023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45187</v>
      </c>
      <c r="E877" s="1" t="n">
        <v>46315</v>
      </c>
      <c r="F877" t="inlineStr">
        <is>
          <t>HALLANDS LÄN</t>
        </is>
      </c>
      <c r="G877" t="inlineStr">
        <is>
          <t>FALKENBERG</t>
        </is>
      </c>
      <c r="I877" t="n">
        <v>1.8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19565-2025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45770</v>
      </c>
      <c r="E878" s="1" t="n">
        <v>46315</v>
      </c>
      <c r="F878" t="inlineStr">
        <is>
          <t>HALLANDS LÄN</t>
        </is>
      </c>
      <c r="G878" t="inlineStr">
        <is>
          <t>FALKENBERG</t>
        </is>
      </c>
      <c r="I878" t="n">
        <v>1.3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41233-2023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45174</v>
      </c>
      <c r="E879" s="1" t="n">
        <v>46315</v>
      </c>
      <c r="F879" t="inlineStr">
        <is>
          <t>HALLANDS LÄN</t>
        </is>
      </c>
      <c r="G879" t="inlineStr">
        <is>
          <t>FALKENBERG</t>
        </is>
      </c>
      <c r="I879" t="n">
        <v>1.8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28060-2025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45817</v>
      </c>
      <c r="E880" s="1" t="n">
        <v>46315</v>
      </c>
      <c r="F880" t="inlineStr">
        <is>
          <t>HALLANDS LÄN</t>
        </is>
      </c>
      <c r="G880" t="inlineStr">
        <is>
          <t>HYLTE</t>
        </is>
      </c>
      <c r="I880" t="n">
        <v>3.9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4073-2024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45323</v>
      </c>
      <c r="E881" s="1" t="n">
        <v>46315</v>
      </c>
      <c r="F881" t="inlineStr">
        <is>
          <t>HALLANDS LÄN</t>
        </is>
      </c>
      <c r="G881" t="inlineStr">
        <is>
          <t>HALMSTAD</t>
        </is>
      </c>
      <c r="I881" t="n">
        <v>3.9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32921-2025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45839</v>
      </c>
      <c r="E882" s="1" t="n">
        <v>46315</v>
      </c>
      <c r="F882" t="inlineStr">
        <is>
          <t>HALLANDS LÄN</t>
        </is>
      </c>
      <c r="G882" t="inlineStr">
        <is>
          <t>HYLTE</t>
        </is>
      </c>
      <c r="I882" t="n">
        <v>3.2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17097-2022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44677</v>
      </c>
      <c r="E883" s="1" t="n">
        <v>46315</v>
      </c>
      <c r="F883" t="inlineStr">
        <is>
          <t>HALLANDS LÄN</t>
        </is>
      </c>
      <c r="G883" t="inlineStr">
        <is>
          <t>LAHOLM</t>
        </is>
      </c>
      <c r="I883" t="n">
        <v>1.4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36431-2023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45152</v>
      </c>
      <c r="E884" s="1" t="n">
        <v>46315</v>
      </c>
      <c r="F884" t="inlineStr">
        <is>
          <t>HALLANDS LÄN</t>
        </is>
      </c>
      <c r="G884" t="inlineStr">
        <is>
          <t>FALKENBERG</t>
        </is>
      </c>
      <c r="I884" t="n">
        <v>1.8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10237-2023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44986</v>
      </c>
      <c r="E885" s="1" t="n">
        <v>46315</v>
      </c>
      <c r="F885" t="inlineStr">
        <is>
          <t>HALLANDS LÄN</t>
        </is>
      </c>
      <c r="G885" t="inlineStr">
        <is>
          <t>FALKENBERG</t>
        </is>
      </c>
      <c r="I885" t="n">
        <v>3.1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23491-2023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45076</v>
      </c>
      <c r="E886" s="1" t="n">
        <v>46315</v>
      </c>
      <c r="F886" t="inlineStr">
        <is>
          <t>HALLANDS LÄN</t>
        </is>
      </c>
      <c r="G886" t="inlineStr">
        <is>
          <t>LAHOLM</t>
        </is>
      </c>
      <c r="I886" t="n">
        <v>1.3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40441-2025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45895</v>
      </c>
      <c r="E887" s="1" t="n">
        <v>46315</v>
      </c>
      <c r="F887" t="inlineStr">
        <is>
          <t>HALLANDS LÄN</t>
        </is>
      </c>
      <c r="G887" t="inlineStr">
        <is>
          <t>FALKENBERG</t>
        </is>
      </c>
      <c r="I887" t="n">
        <v>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40448-2025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45895</v>
      </c>
      <c r="E888" s="1" t="n">
        <v>46315</v>
      </c>
      <c r="F888" t="inlineStr">
        <is>
          <t>HALLANDS LÄN</t>
        </is>
      </c>
      <c r="G888" t="inlineStr">
        <is>
          <t>FALKENBERG</t>
        </is>
      </c>
      <c r="I888" t="n">
        <v>2.1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5667-2025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45693</v>
      </c>
      <c r="E889" s="1" t="n">
        <v>46315</v>
      </c>
      <c r="F889" t="inlineStr">
        <is>
          <t>HALLANDS LÄN</t>
        </is>
      </c>
      <c r="G889" t="inlineStr">
        <is>
          <t>LAHOLM</t>
        </is>
      </c>
      <c r="H889" t="inlineStr">
        <is>
          <t>Naturvårdsverket</t>
        </is>
      </c>
      <c r="I889" t="n">
        <v>2.5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35018-2025</t>
        </is>
      </c>
      <c r="B890" t="inlineStr">
        <is>
          <t>avverkningsanmälan</t>
        </is>
      </c>
      <c r="C890" t="inlineStr">
        <is>
          <t>Avverkning för att bevara och utveckla /försöksver</t>
        </is>
      </c>
      <c r="D890" s="1" t="n">
        <v>45851</v>
      </c>
      <c r="E890" s="1" t="n">
        <v>46315</v>
      </c>
      <c r="F890" t="inlineStr">
        <is>
          <t>HALLANDS LÄN</t>
        </is>
      </c>
      <c r="G890" t="inlineStr">
        <is>
          <t>VARBERG</t>
        </is>
      </c>
      <c r="I890" t="n">
        <v>1.6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41242-2023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45174</v>
      </c>
      <c r="E891" s="1" t="n">
        <v>46315</v>
      </c>
      <c r="F891" t="inlineStr">
        <is>
          <t>HALLANDS LÄN</t>
        </is>
      </c>
      <c r="G891" t="inlineStr">
        <is>
          <t>FALKENBERG</t>
        </is>
      </c>
      <c r="I891" t="n">
        <v>0.6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41244-2023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45174</v>
      </c>
      <c r="E892" s="1" t="n">
        <v>46315</v>
      </c>
      <c r="F892" t="inlineStr">
        <is>
          <t>HALLANDS LÄN</t>
        </is>
      </c>
      <c r="G892" t="inlineStr">
        <is>
          <t>FALKENBERG</t>
        </is>
      </c>
      <c r="I892" t="n">
        <v>0.4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34754-2025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45848</v>
      </c>
      <c r="E893" s="1" t="n">
        <v>46315</v>
      </c>
      <c r="F893" t="inlineStr">
        <is>
          <t>HALLANDS LÄN</t>
        </is>
      </c>
      <c r="G893" t="inlineStr">
        <is>
          <t>HYLTE</t>
        </is>
      </c>
      <c r="I893" t="n">
        <v>1.5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44537-2023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45189</v>
      </c>
      <c r="E894" s="1" t="n">
        <v>46315</v>
      </c>
      <c r="F894" t="inlineStr">
        <is>
          <t>HALLANDS LÄN</t>
        </is>
      </c>
      <c r="G894" t="inlineStr">
        <is>
          <t>FALKENBERG</t>
        </is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25217-2022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44729</v>
      </c>
      <c r="E895" s="1" t="n">
        <v>46315</v>
      </c>
      <c r="F895" t="inlineStr">
        <is>
          <t>HALLANDS LÄN</t>
        </is>
      </c>
      <c r="G895" t="inlineStr">
        <is>
          <t>HYLTE</t>
        </is>
      </c>
      <c r="I895" t="n">
        <v>1.1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40398-2022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44823</v>
      </c>
      <c r="E896" s="1" t="n">
        <v>46315</v>
      </c>
      <c r="F896" t="inlineStr">
        <is>
          <t>HALLANDS LÄN</t>
        </is>
      </c>
      <c r="G896" t="inlineStr">
        <is>
          <t>HALMSTAD</t>
        </is>
      </c>
      <c r="I896" t="n">
        <v>2.7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6861-2025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45701</v>
      </c>
      <c r="E897" s="1" t="n">
        <v>46315</v>
      </c>
      <c r="F897" t="inlineStr">
        <is>
          <t>HALLANDS LÄN</t>
        </is>
      </c>
      <c r="G897" t="inlineStr">
        <is>
          <t>VARBERG</t>
        </is>
      </c>
      <c r="I897" t="n">
        <v>3.6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15060-2025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45743</v>
      </c>
      <c r="E898" s="1" t="n">
        <v>46315</v>
      </c>
      <c r="F898" t="inlineStr">
        <is>
          <t>HALLANDS LÄN</t>
        </is>
      </c>
      <c r="G898" t="inlineStr">
        <is>
          <t>KUNGSBACKA</t>
        </is>
      </c>
      <c r="I898" t="n">
        <v>0.6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15062-2025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45743</v>
      </c>
      <c r="E899" s="1" t="n">
        <v>46315</v>
      </c>
      <c r="F899" t="inlineStr">
        <is>
          <t>HALLANDS LÄN</t>
        </is>
      </c>
      <c r="G899" t="inlineStr">
        <is>
          <t>KUNGSBACKA</t>
        </is>
      </c>
      <c r="I899" t="n">
        <v>2.8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29479-2024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45483</v>
      </c>
      <c r="E900" s="1" t="n">
        <v>46315</v>
      </c>
      <c r="F900" t="inlineStr">
        <is>
          <t>HALLANDS LÄN</t>
        </is>
      </c>
      <c r="G900" t="inlineStr">
        <is>
          <t>HYLTE</t>
        </is>
      </c>
      <c r="I900" t="n">
        <v>0.7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8036-2025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45707</v>
      </c>
      <c r="E901" s="1" t="n">
        <v>46315</v>
      </c>
      <c r="F901" t="inlineStr">
        <is>
          <t>HALLANDS LÄN</t>
        </is>
      </c>
      <c r="G901" t="inlineStr">
        <is>
          <t>LAHOLM</t>
        </is>
      </c>
      <c r="I901" t="n">
        <v>0.9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6773-2025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45700</v>
      </c>
      <c r="E902" s="1" t="n">
        <v>46315</v>
      </c>
      <c r="F902" t="inlineStr">
        <is>
          <t>HALLANDS LÄN</t>
        </is>
      </c>
      <c r="G902" t="inlineStr">
        <is>
          <t>VARBERG</t>
        </is>
      </c>
      <c r="I902" t="n">
        <v>4.1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40940-2025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45897</v>
      </c>
      <c r="E903" s="1" t="n">
        <v>46315</v>
      </c>
      <c r="F903" t="inlineStr">
        <is>
          <t>HALLANDS LÄN</t>
        </is>
      </c>
      <c r="G903" t="inlineStr">
        <is>
          <t>VARBERG</t>
        </is>
      </c>
      <c r="I903" t="n">
        <v>5.6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40975-2025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45897</v>
      </c>
      <c r="E904" s="1" t="n">
        <v>46315</v>
      </c>
      <c r="F904" t="inlineStr">
        <is>
          <t>HALLANDS LÄN</t>
        </is>
      </c>
      <c r="G904" t="inlineStr">
        <is>
          <t>HYLTE</t>
        </is>
      </c>
      <c r="I904" t="n">
        <v>2.7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40976-2025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45897</v>
      </c>
      <c r="E905" s="1" t="n">
        <v>46315</v>
      </c>
      <c r="F905" t="inlineStr">
        <is>
          <t>HALLANDS LÄN</t>
        </is>
      </c>
      <c r="G905" t="inlineStr">
        <is>
          <t>HYLTE</t>
        </is>
      </c>
      <c r="I905" t="n">
        <v>2.5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29993-2024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45488</v>
      </c>
      <c r="E906" s="1" t="n">
        <v>46315</v>
      </c>
      <c r="F906" t="inlineStr">
        <is>
          <t>HALLANDS LÄN</t>
        </is>
      </c>
      <c r="G906" t="inlineStr">
        <is>
          <t>HALMSTAD</t>
        </is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24839-2023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45085</v>
      </c>
      <c r="E907" s="1" t="n">
        <v>46315</v>
      </c>
      <c r="F907" t="inlineStr">
        <is>
          <t>HALLANDS LÄN</t>
        </is>
      </c>
      <c r="G907" t="inlineStr">
        <is>
          <t>VARBERG</t>
        </is>
      </c>
      <c r="I907" t="n">
        <v>1.8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48013-2025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45932</v>
      </c>
      <c r="E908" s="1" t="n">
        <v>46315</v>
      </c>
      <c r="F908" t="inlineStr">
        <is>
          <t>HALLANDS LÄN</t>
        </is>
      </c>
      <c r="G908" t="inlineStr">
        <is>
          <t>VARBERG</t>
        </is>
      </c>
      <c r="I908" t="n">
        <v>2.8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10364-2023</t>
        </is>
      </c>
      <c r="B909" t="inlineStr">
        <is>
          <t>avverkningsanmälan</t>
        </is>
      </c>
      <c r="C909" t="inlineStr">
        <is>
          <t>Avverkning för annat ändamål</t>
        </is>
      </c>
      <c r="D909" s="1" t="n">
        <v>44980</v>
      </c>
      <c r="E909" s="1" t="n">
        <v>46315</v>
      </c>
      <c r="F909" t="inlineStr">
        <is>
          <t>HALLANDS LÄN</t>
        </is>
      </c>
      <c r="G909" t="inlineStr">
        <is>
          <t>HYLTE</t>
        </is>
      </c>
      <c r="I909" t="n">
        <v>0.5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47021-2022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44852</v>
      </c>
      <c r="E910" s="1" t="n">
        <v>46315</v>
      </c>
      <c r="F910" t="inlineStr">
        <is>
          <t>HALLANDS LÄN</t>
        </is>
      </c>
      <c r="G910" t="inlineStr">
        <is>
          <t>FALKENBERG</t>
        </is>
      </c>
      <c r="I910" t="n">
        <v>1.5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41391-2025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45901</v>
      </c>
      <c r="E911" s="1" t="n">
        <v>46315</v>
      </c>
      <c r="F911" t="inlineStr">
        <is>
          <t>HALLANDS LÄN</t>
        </is>
      </c>
      <c r="G911" t="inlineStr">
        <is>
          <t>FALKENBERG</t>
        </is>
      </c>
      <c r="I911" t="n">
        <v>1.6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32906-2025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45839</v>
      </c>
      <c r="E912" s="1" t="n">
        <v>46315</v>
      </c>
      <c r="F912" t="inlineStr">
        <is>
          <t>HALLANDS LÄN</t>
        </is>
      </c>
      <c r="G912" t="inlineStr">
        <is>
          <t>HYLTE</t>
        </is>
      </c>
      <c r="I912" t="n">
        <v>4.3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57461-2023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45246</v>
      </c>
      <c r="E913" s="1" t="n">
        <v>46315</v>
      </c>
      <c r="F913" t="inlineStr">
        <is>
          <t>HALLANDS LÄN</t>
        </is>
      </c>
      <c r="G913" t="inlineStr">
        <is>
          <t>HYLTE</t>
        </is>
      </c>
      <c r="I913" t="n">
        <v>3.3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41322-2025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45898</v>
      </c>
      <c r="E914" s="1" t="n">
        <v>46315</v>
      </c>
      <c r="F914" t="inlineStr">
        <is>
          <t>HALLANDS LÄN</t>
        </is>
      </c>
      <c r="G914" t="inlineStr">
        <is>
          <t>HYLTE</t>
        </is>
      </c>
      <c r="I914" t="n">
        <v>0.7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41622-2025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45901</v>
      </c>
      <c r="E915" s="1" t="n">
        <v>46315</v>
      </c>
      <c r="F915" t="inlineStr">
        <is>
          <t>HALLANDS LÄN</t>
        </is>
      </c>
      <c r="G915" t="inlineStr">
        <is>
          <t>FALKENBERG</t>
        </is>
      </c>
      <c r="I915" t="n">
        <v>2.5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12637-2025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45733</v>
      </c>
      <c r="E916" s="1" t="n">
        <v>46315</v>
      </c>
      <c r="F916" t="inlineStr">
        <is>
          <t>HALLANDS LÄN</t>
        </is>
      </c>
      <c r="G916" t="inlineStr">
        <is>
          <t>HALMSTAD</t>
        </is>
      </c>
      <c r="I916" t="n">
        <v>1.1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40708-2023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45168</v>
      </c>
      <c r="E917" s="1" t="n">
        <v>46315</v>
      </c>
      <c r="F917" t="inlineStr">
        <is>
          <t>HALLANDS LÄN</t>
        </is>
      </c>
      <c r="G917" t="inlineStr">
        <is>
          <t>HALMSTAD</t>
        </is>
      </c>
      <c r="H917" t="inlineStr">
        <is>
          <t>Kommuner</t>
        </is>
      </c>
      <c r="I917" t="n">
        <v>13.4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9603-2025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45715</v>
      </c>
      <c r="E918" s="1" t="n">
        <v>46315</v>
      </c>
      <c r="F918" t="inlineStr">
        <is>
          <t>HALLANDS LÄN</t>
        </is>
      </c>
      <c r="G918" t="inlineStr">
        <is>
          <t>HYLTE</t>
        </is>
      </c>
      <c r="I918" t="n">
        <v>0.8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12094-2025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45729</v>
      </c>
      <c r="E919" s="1" t="n">
        <v>46315</v>
      </c>
      <c r="F919" t="inlineStr">
        <is>
          <t>HALLANDS LÄN</t>
        </is>
      </c>
      <c r="G919" t="inlineStr">
        <is>
          <t>KUNGSBACKA</t>
        </is>
      </c>
      <c r="H919" t="inlineStr">
        <is>
          <t>Övriga Aktiebolag</t>
        </is>
      </c>
      <c r="I919" t="n">
        <v>6.7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60705-2024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45644</v>
      </c>
      <c r="E920" s="1" t="n">
        <v>46315</v>
      </c>
      <c r="F920" t="inlineStr">
        <is>
          <t>HALLANDS LÄN</t>
        </is>
      </c>
      <c r="G920" t="inlineStr">
        <is>
          <t>LAHOLM</t>
        </is>
      </c>
      <c r="I920" t="n">
        <v>5.6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67454-2021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44524</v>
      </c>
      <c r="E921" s="1" t="n">
        <v>46315</v>
      </c>
      <c r="F921" t="inlineStr">
        <is>
          <t>HALLANDS LÄN</t>
        </is>
      </c>
      <c r="G921" t="inlineStr">
        <is>
          <t>FALKENBERG</t>
        </is>
      </c>
      <c r="I921" t="n">
        <v>1.9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14001-2025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45740</v>
      </c>
      <c r="E922" s="1" t="n">
        <v>46315</v>
      </c>
      <c r="F922" t="inlineStr">
        <is>
          <t>HALLANDS LÄN</t>
        </is>
      </c>
      <c r="G922" t="inlineStr">
        <is>
          <t>HALMSTAD</t>
        </is>
      </c>
      <c r="I922" t="n">
        <v>1.4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38547-2025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45884</v>
      </c>
      <c r="E923" s="1" t="n">
        <v>46315</v>
      </c>
      <c r="F923" t="inlineStr">
        <is>
          <t>HALLANDS LÄN</t>
        </is>
      </c>
      <c r="G923" t="inlineStr">
        <is>
          <t>VARBERG</t>
        </is>
      </c>
      <c r="I923" t="n">
        <v>18.8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1648-2025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45670</v>
      </c>
      <c r="E924" s="1" t="n">
        <v>46315</v>
      </c>
      <c r="F924" t="inlineStr">
        <is>
          <t>HALLANDS LÄN</t>
        </is>
      </c>
      <c r="G924" t="inlineStr">
        <is>
          <t>FALKENBERG</t>
        </is>
      </c>
      <c r="I924" t="n">
        <v>2.3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45732-2022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44846</v>
      </c>
      <c r="E925" s="1" t="n">
        <v>46315</v>
      </c>
      <c r="F925" t="inlineStr">
        <is>
          <t>HALLANDS LÄN</t>
        </is>
      </c>
      <c r="G925" t="inlineStr">
        <is>
          <t>LAHOLM</t>
        </is>
      </c>
      <c r="I925" t="n">
        <v>1.3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9355-2025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45714</v>
      </c>
      <c r="E926" s="1" t="n">
        <v>46315</v>
      </c>
      <c r="F926" t="inlineStr">
        <is>
          <t>HALLANDS LÄN</t>
        </is>
      </c>
      <c r="G926" t="inlineStr">
        <is>
          <t>FALKENBERG</t>
        </is>
      </c>
      <c r="I926" t="n">
        <v>2.2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37932-2024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45544</v>
      </c>
      <c r="E927" s="1" t="n">
        <v>46315</v>
      </c>
      <c r="F927" t="inlineStr">
        <is>
          <t>HALLANDS LÄN</t>
        </is>
      </c>
      <c r="G927" t="inlineStr">
        <is>
          <t>HYLTE</t>
        </is>
      </c>
      <c r="I927" t="n">
        <v>0.6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37972-2024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45544</v>
      </c>
      <c r="E928" s="1" t="n">
        <v>46315</v>
      </c>
      <c r="F928" t="inlineStr">
        <is>
          <t>HALLANDS LÄN</t>
        </is>
      </c>
      <c r="G928" t="inlineStr">
        <is>
          <t>LAHOLM</t>
        </is>
      </c>
      <c r="I928" t="n">
        <v>2.4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23994-2023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45078</v>
      </c>
      <c r="E929" s="1" t="n">
        <v>46315</v>
      </c>
      <c r="F929" t="inlineStr">
        <is>
          <t>HALLANDS LÄN</t>
        </is>
      </c>
      <c r="G929" t="inlineStr">
        <is>
          <t>KUNGSBACKA</t>
        </is>
      </c>
      <c r="H929" t="inlineStr">
        <is>
          <t>Övriga Aktiebolag</t>
        </is>
      </c>
      <c r="I929" t="n">
        <v>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26049-2023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45091</v>
      </c>
      <c r="E930" s="1" t="n">
        <v>46315</v>
      </c>
      <c r="F930" t="inlineStr">
        <is>
          <t>HALLANDS LÄN</t>
        </is>
      </c>
      <c r="G930" t="inlineStr">
        <is>
          <t>HALMSTAD</t>
        </is>
      </c>
      <c r="I930" t="n">
        <v>0.4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13595-2025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45736</v>
      </c>
      <c r="E931" s="1" t="n">
        <v>46315</v>
      </c>
      <c r="F931" t="inlineStr">
        <is>
          <t>HALLANDS LÄN</t>
        </is>
      </c>
      <c r="G931" t="inlineStr">
        <is>
          <t>FALKENBERG</t>
        </is>
      </c>
      <c r="H931" t="inlineStr">
        <is>
          <t>Kyrkan</t>
        </is>
      </c>
      <c r="I931" t="n">
        <v>3.7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42569-2025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45905</v>
      </c>
      <c r="E932" s="1" t="n">
        <v>46315</v>
      </c>
      <c r="F932" t="inlineStr">
        <is>
          <t>HALLANDS LÄN</t>
        </is>
      </c>
      <c r="G932" t="inlineStr">
        <is>
          <t>VARBERG</t>
        </is>
      </c>
      <c r="I932" t="n">
        <v>2.3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42582-2025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45905</v>
      </c>
      <c r="E933" s="1" t="n">
        <v>46315</v>
      </c>
      <c r="F933" t="inlineStr">
        <is>
          <t>HALLANDS LÄN</t>
        </is>
      </c>
      <c r="G933" t="inlineStr">
        <is>
          <t>HYLTE</t>
        </is>
      </c>
      <c r="I933" t="n">
        <v>2.9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42403-2025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45905</v>
      </c>
      <c r="E934" s="1" t="n">
        <v>46315</v>
      </c>
      <c r="F934" t="inlineStr">
        <is>
          <t>HALLANDS LÄN</t>
        </is>
      </c>
      <c r="G934" t="inlineStr">
        <is>
          <t>LAHOLM</t>
        </is>
      </c>
      <c r="I934" t="n">
        <v>1.3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42881-2025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45908</v>
      </c>
      <c r="E935" s="1" t="n">
        <v>46315</v>
      </c>
      <c r="F935" t="inlineStr">
        <is>
          <t>HALLANDS LÄN</t>
        </is>
      </c>
      <c r="G935" t="inlineStr">
        <is>
          <t>VARBERG</t>
        </is>
      </c>
      <c r="I935" t="n">
        <v>11.6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17336-2023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45035</v>
      </c>
      <c r="E936" s="1" t="n">
        <v>46315</v>
      </c>
      <c r="F936" t="inlineStr">
        <is>
          <t>HALLANDS LÄN</t>
        </is>
      </c>
      <c r="G936" t="inlineStr">
        <is>
          <t>FALKENBERG</t>
        </is>
      </c>
      <c r="I936" t="n">
        <v>1.8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48406-2023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45205</v>
      </c>
      <c r="E937" s="1" t="n">
        <v>46315</v>
      </c>
      <c r="F937" t="inlineStr">
        <is>
          <t>HALLANDS LÄN</t>
        </is>
      </c>
      <c r="G937" t="inlineStr">
        <is>
          <t>KUNGSBACKA</t>
        </is>
      </c>
      <c r="I937" t="n">
        <v>1.4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45625-2025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45922</v>
      </c>
      <c r="E938" s="1" t="n">
        <v>46315</v>
      </c>
      <c r="F938" t="inlineStr">
        <is>
          <t>HALLANDS LÄN</t>
        </is>
      </c>
      <c r="G938" t="inlineStr">
        <is>
          <t>KUNGSBACKA</t>
        </is>
      </c>
      <c r="I938" t="n">
        <v>3.6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42678-2025</t>
        </is>
      </c>
      <c r="B939" t="inlineStr">
        <is>
          <t>avverkningsanmälan</t>
        </is>
      </c>
      <c r="C939" t="inlineStr">
        <is>
          <t>Avverkning för att bevara och utveckla /försöksver</t>
        </is>
      </c>
      <c r="D939" s="1" t="n">
        <v>45908</v>
      </c>
      <c r="E939" s="1" t="n">
        <v>46315</v>
      </c>
      <c r="F939" t="inlineStr">
        <is>
          <t>HALLANDS LÄN</t>
        </is>
      </c>
      <c r="G939" t="inlineStr">
        <is>
          <t>FALKENBERG</t>
        </is>
      </c>
      <c r="I939" t="n">
        <v>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42392-2025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45905</v>
      </c>
      <c r="E940" s="1" t="n">
        <v>46315</v>
      </c>
      <c r="F940" t="inlineStr">
        <is>
          <t>HALLANDS LÄN</t>
        </is>
      </c>
      <c r="G940" t="inlineStr">
        <is>
          <t>LAHOLM</t>
        </is>
      </c>
      <c r="I940" t="n">
        <v>2.5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15035-2025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45743</v>
      </c>
      <c r="E941" s="1" t="n">
        <v>46315</v>
      </c>
      <c r="F941" t="inlineStr">
        <is>
          <t>HALLANDS LÄN</t>
        </is>
      </c>
      <c r="G941" t="inlineStr">
        <is>
          <t>VARBERG</t>
        </is>
      </c>
      <c r="I941" t="n">
        <v>0.9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43273-2025</t>
        </is>
      </c>
      <c r="B942" t="inlineStr">
        <is>
          <t>avverkningsanmälan</t>
        </is>
      </c>
      <c r="C942" t="inlineStr">
        <is>
          <t>Avverkning för annat ändamål</t>
        </is>
      </c>
      <c r="D942" s="1" t="n">
        <v>45910</v>
      </c>
      <c r="E942" s="1" t="n">
        <v>46315</v>
      </c>
      <c r="F942" t="inlineStr">
        <is>
          <t>HALLANDS LÄN</t>
        </is>
      </c>
      <c r="G942" t="inlineStr">
        <is>
          <t>VARBERG</t>
        </is>
      </c>
      <c r="I942" t="n">
        <v>3.2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42397-2025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45905</v>
      </c>
      <c r="E943" s="1" t="n">
        <v>46315</v>
      </c>
      <c r="F943" t="inlineStr">
        <is>
          <t>HALLANDS LÄN</t>
        </is>
      </c>
      <c r="G943" t="inlineStr">
        <is>
          <t>LAHOLM</t>
        </is>
      </c>
      <c r="I943" t="n">
        <v>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43244-2025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45910</v>
      </c>
      <c r="E944" s="1" t="n">
        <v>46315</v>
      </c>
      <c r="F944" t="inlineStr">
        <is>
          <t>HALLANDS LÄN</t>
        </is>
      </c>
      <c r="G944" t="inlineStr">
        <is>
          <t>HYLTE</t>
        </is>
      </c>
      <c r="I944" t="n">
        <v>0.5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42978-2025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45909</v>
      </c>
      <c r="E945" s="1" t="n">
        <v>46315</v>
      </c>
      <c r="F945" t="inlineStr">
        <is>
          <t>HALLANDS LÄN</t>
        </is>
      </c>
      <c r="G945" t="inlineStr">
        <is>
          <t>VARBERG</t>
        </is>
      </c>
      <c r="I945" t="n">
        <v>8.699999999999999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6677-2025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45700</v>
      </c>
      <c r="E946" s="1" t="n">
        <v>46315</v>
      </c>
      <c r="F946" t="inlineStr">
        <is>
          <t>HALLANDS LÄN</t>
        </is>
      </c>
      <c r="G946" t="inlineStr">
        <is>
          <t>LAHOLM</t>
        </is>
      </c>
      <c r="I946" t="n">
        <v>1.4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43483-2025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45911</v>
      </c>
      <c r="E947" s="1" t="n">
        <v>46315</v>
      </c>
      <c r="F947" t="inlineStr">
        <is>
          <t>HALLANDS LÄN</t>
        </is>
      </c>
      <c r="G947" t="inlineStr">
        <is>
          <t>VARBERG</t>
        </is>
      </c>
      <c r="H947" t="inlineStr">
        <is>
          <t>Kyrkan</t>
        </is>
      </c>
      <c r="I947" t="n">
        <v>1.8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43346-2025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45910</v>
      </c>
      <c r="E948" s="1" t="n">
        <v>46315</v>
      </c>
      <c r="F948" t="inlineStr">
        <is>
          <t>HALLANDS LÄN</t>
        </is>
      </c>
      <c r="G948" t="inlineStr">
        <is>
          <t>HYLTE</t>
        </is>
      </c>
      <c r="I948" t="n">
        <v>2.7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61259-2025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46000</v>
      </c>
      <c r="E949" s="1" t="n">
        <v>46315</v>
      </c>
      <c r="F949" t="inlineStr">
        <is>
          <t>HALLANDS LÄN</t>
        </is>
      </c>
      <c r="G949" t="inlineStr">
        <is>
          <t>KUNGSBACKA</t>
        </is>
      </c>
      <c r="I949" t="n">
        <v>2.3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32438-2025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45838</v>
      </c>
      <c r="E950" s="1" t="n">
        <v>46315</v>
      </c>
      <c r="F950" t="inlineStr">
        <is>
          <t>HALLANDS LÄN</t>
        </is>
      </c>
      <c r="G950" t="inlineStr">
        <is>
          <t>HYLTE</t>
        </is>
      </c>
      <c r="I950" t="n">
        <v>1.4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43655-2025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45912</v>
      </c>
      <c r="E951" s="1" t="n">
        <v>46315</v>
      </c>
      <c r="F951" t="inlineStr">
        <is>
          <t>HALLANDS LÄN</t>
        </is>
      </c>
      <c r="G951" t="inlineStr">
        <is>
          <t>KUNGSBACKA</t>
        </is>
      </c>
      <c r="I951" t="n">
        <v>3.9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41626-2022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44827</v>
      </c>
      <c r="E952" s="1" t="n">
        <v>46315</v>
      </c>
      <c r="F952" t="inlineStr">
        <is>
          <t>HALLANDS LÄN</t>
        </is>
      </c>
      <c r="G952" t="inlineStr">
        <is>
          <t>HALMSTAD</t>
        </is>
      </c>
      <c r="I952" t="n">
        <v>0.8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43779-2025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45912</v>
      </c>
      <c r="E953" s="1" t="n">
        <v>46315</v>
      </c>
      <c r="F953" t="inlineStr">
        <is>
          <t>HALLANDS LÄN</t>
        </is>
      </c>
      <c r="G953" t="inlineStr">
        <is>
          <t>VARBERG</t>
        </is>
      </c>
      <c r="I953" t="n">
        <v>0.9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7836-2025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45706</v>
      </c>
      <c r="E954" s="1" t="n">
        <v>46315</v>
      </c>
      <c r="F954" t="inlineStr">
        <is>
          <t>HALLANDS LÄN</t>
        </is>
      </c>
      <c r="G954" t="inlineStr">
        <is>
          <t>VARBERG</t>
        </is>
      </c>
      <c r="H954" t="inlineStr">
        <is>
          <t>Övriga statliga verk och myndigheter</t>
        </is>
      </c>
      <c r="I954" t="n">
        <v>1.3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16413-2025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45751</v>
      </c>
      <c r="E955" s="1" t="n">
        <v>46315</v>
      </c>
      <c r="F955" t="inlineStr">
        <is>
          <t>HALLANDS LÄN</t>
        </is>
      </c>
      <c r="G955" t="inlineStr">
        <is>
          <t>FALKENBERG</t>
        </is>
      </c>
      <c r="I955" t="n">
        <v>3.7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53207-2023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45229</v>
      </c>
      <c r="E956" s="1" t="n">
        <v>46315</v>
      </c>
      <c r="F956" t="inlineStr">
        <is>
          <t>HALLANDS LÄN</t>
        </is>
      </c>
      <c r="G956" t="inlineStr">
        <is>
          <t>HYLTE</t>
        </is>
      </c>
      <c r="I956" t="n">
        <v>5.6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53211-2023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45229</v>
      </c>
      <c r="E957" s="1" t="n">
        <v>46315</v>
      </c>
      <c r="F957" t="inlineStr">
        <is>
          <t>HALLANDS LÄN</t>
        </is>
      </c>
      <c r="G957" t="inlineStr">
        <is>
          <t>HALMSTAD</t>
        </is>
      </c>
      <c r="I957" t="n">
        <v>2.9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14912-2025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45743</v>
      </c>
      <c r="E958" s="1" t="n">
        <v>46315</v>
      </c>
      <c r="F958" t="inlineStr">
        <is>
          <t>HALLANDS LÄN</t>
        </is>
      </c>
      <c r="G958" t="inlineStr">
        <is>
          <t>VARBERG</t>
        </is>
      </c>
      <c r="I958" t="n">
        <v>1.6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52783-2023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45226</v>
      </c>
      <c r="E959" s="1" t="n">
        <v>46315</v>
      </c>
      <c r="F959" t="inlineStr">
        <is>
          <t>HALLANDS LÄN</t>
        </is>
      </c>
      <c r="G959" t="inlineStr">
        <is>
          <t>FALKENBERG</t>
        </is>
      </c>
      <c r="I959" t="n">
        <v>2.5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11490-2025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45726</v>
      </c>
      <c r="E960" s="1" t="n">
        <v>46315</v>
      </c>
      <c r="F960" t="inlineStr">
        <is>
          <t>HALLANDS LÄN</t>
        </is>
      </c>
      <c r="G960" t="inlineStr">
        <is>
          <t>KUNGSBACKA</t>
        </is>
      </c>
      <c r="I960" t="n">
        <v>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4985-2025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45691</v>
      </c>
      <c r="E961" s="1" t="n">
        <v>46315</v>
      </c>
      <c r="F961" t="inlineStr">
        <is>
          <t>HALLANDS LÄN</t>
        </is>
      </c>
      <c r="G961" t="inlineStr">
        <is>
          <t>KUNGSBACKA</t>
        </is>
      </c>
      <c r="I961" t="n">
        <v>1.4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9965-2025</t>
        </is>
      </c>
      <c r="B962" t="inlineStr">
        <is>
          <t>avverkningsanmälan</t>
        </is>
      </c>
      <c r="C962" t="inlineStr">
        <is>
          <t>Avverkning för annat ändamål</t>
        </is>
      </c>
      <c r="D962" s="1" t="n">
        <v>45719</v>
      </c>
      <c r="E962" s="1" t="n">
        <v>46315</v>
      </c>
      <c r="F962" t="inlineStr">
        <is>
          <t>HALLANDS LÄN</t>
        </is>
      </c>
      <c r="G962" t="inlineStr">
        <is>
          <t>KUNGSBACKA</t>
        </is>
      </c>
      <c r="I962" t="n">
        <v>2.8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9976-2025</t>
        </is>
      </c>
      <c r="B963" t="inlineStr">
        <is>
          <t>avverkningsanmälan</t>
        </is>
      </c>
      <c r="C963" t="inlineStr">
        <is>
          <t>Avverkning för annat ändamål</t>
        </is>
      </c>
      <c r="D963" s="1" t="n">
        <v>45719</v>
      </c>
      <c r="E963" s="1" t="n">
        <v>46315</v>
      </c>
      <c r="F963" t="inlineStr">
        <is>
          <t>HALLANDS LÄN</t>
        </is>
      </c>
      <c r="G963" t="inlineStr">
        <is>
          <t>KUNGSBACKA</t>
        </is>
      </c>
      <c r="I963" t="n">
        <v>0.6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43913-2025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45914</v>
      </c>
      <c r="E964" s="1" t="n">
        <v>46315</v>
      </c>
      <c r="F964" t="inlineStr">
        <is>
          <t>HALLANDS LÄN</t>
        </is>
      </c>
      <c r="G964" t="inlineStr">
        <is>
          <t>FALKENBERG</t>
        </is>
      </c>
      <c r="I964" t="n">
        <v>1.6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328-2025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45660</v>
      </c>
      <c r="E965" s="1" t="n">
        <v>46315</v>
      </c>
      <c r="F965" t="inlineStr">
        <is>
          <t>HALLANDS LÄN</t>
        </is>
      </c>
      <c r="G965" t="inlineStr">
        <is>
          <t>HALMSTAD</t>
        </is>
      </c>
      <c r="I965" t="n">
        <v>4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331-2025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45660</v>
      </c>
      <c r="E966" s="1" t="n">
        <v>46315</v>
      </c>
      <c r="F966" t="inlineStr">
        <is>
          <t>HALLANDS LÄN</t>
        </is>
      </c>
      <c r="G966" t="inlineStr">
        <is>
          <t>HALMSTAD</t>
        </is>
      </c>
      <c r="I966" t="n">
        <v>1.1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11701-2025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45727</v>
      </c>
      <c r="E967" s="1" t="n">
        <v>46315</v>
      </c>
      <c r="F967" t="inlineStr">
        <is>
          <t>HALLANDS LÄN</t>
        </is>
      </c>
      <c r="G967" t="inlineStr">
        <is>
          <t>LAHOLM</t>
        </is>
      </c>
      <c r="I967" t="n">
        <v>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41526-2022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44827</v>
      </c>
      <c r="E968" s="1" t="n">
        <v>46315</v>
      </c>
      <c r="F968" t="inlineStr">
        <is>
          <t>HALLANDS LÄN</t>
        </is>
      </c>
      <c r="G968" t="inlineStr">
        <is>
          <t>FALKENBERG</t>
        </is>
      </c>
      <c r="I968" t="n">
        <v>4.9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44467-2025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45916</v>
      </c>
      <c r="E969" s="1" t="n">
        <v>46315</v>
      </c>
      <c r="F969" t="inlineStr">
        <is>
          <t>HALLANDS LÄN</t>
        </is>
      </c>
      <c r="G969" t="inlineStr">
        <is>
          <t>HALMSTAD</t>
        </is>
      </c>
      <c r="I969" t="n">
        <v>3.2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44931-2025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45918</v>
      </c>
      <c r="E970" s="1" t="n">
        <v>46315</v>
      </c>
      <c r="F970" t="inlineStr">
        <is>
          <t>HALLANDS LÄN</t>
        </is>
      </c>
      <c r="G970" t="inlineStr">
        <is>
          <t>LAHOLM</t>
        </is>
      </c>
      <c r="I970" t="n">
        <v>0.5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44856-2025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45918</v>
      </c>
      <c r="E971" s="1" t="n">
        <v>46315</v>
      </c>
      <c r="F971" t="inlineStr">
        <is>
          <t>HALLANDS LÄN</t>
        </is>
      </c>
      <c r="G971" t="inlineStr">
        <is>
          <t>HYLTE</t>
        </is>
      </c>
      <c r="I971" t="n">
        <v>3.4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31076-2024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45502</v>
      </c>
      <c r="E972" s="1" t="n">
        <v>46315</v>
      </c>
      <c r="F972" t="inlineStr">
        <is>
          <t>HALLANDS LÄN</t>
        </is>
      </c>
      <c r="G972" t="inlineStr">
        <is>
          <t>HYLTE</t>
        </is>
      </c>
      <c r="I972" t="n">
        <v>5.3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44945-2025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45918</v>
      </c>
      <c r="E973" s="1" t="n">
        <v>46315</v>
      </c>
      <c r="F973" t="inlineStr">
        <is>
          <t>HALLANDS LÄN</t>
        </is>
      </c>
      <c r="G973" t="inlineStr">
        <is>
          <t>LAHOLM</t>
        </is>
      </c>
      <c r="I973" t="n">
        <v>5.5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22035-2025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45785</v>
      </c>
      <c r="E974" s="1" t="n">
        <v>46315</v>
      </c>
      <c r="F974" t="inlineStr">
        <is>
          <t>HALLANDS LÄN</t>
        </is>
      </c>
      <c r="G974" t="inlineStr">
        <is>
          <t>VARBERG</t>
        </is>
      </c>
      <c r="I974" t="n">
        <v>5.7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13528-2023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45006</v>
      </c>
      <c r="E975" s="1" t="n">
        <v>46315</v>
      </c>
      <c r="F975" t="inlineStr">
        <is>
          <t>HALLANDS LÄN</t>
        </is>
      </c>
      <c r="G975" t="inlineStr">
        <is>
          <t>LAHOLM</t>
        </is>
      </c>
      <c r="I975" t="n">
        <v>3.7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44750-2025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45917</v>
      </c>
      <c r="E976" s="1" t="n">
        <v>46315</v>
      </c>
      <c r="F976" t="inlineStr">
        <is>
          <t>HALLANDS LÄN</t>
        </is>
      </c>
      <c r="G976" t="inlineStr">
        <is>
          <t>FALKENBERG</t>
        </is>
      </c>
      <c r="I976" t="n">
        <v>1.8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7109-2023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44970</v>
      </c>
      <c r="E977" s="1" t="n">
        <v>46315</v>
      </c>
      <c r="F977" t="inlineStr">
        <is>
          <t>HALLANDS LÄN</t>
        </is>
      </c>
      <c r="G977" t="inlineStr">
        <is>
          <t>VARBERG</t>
        </is>
      </c>
      <c r="I977" t="n">
        <v>2.1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44261-2023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45188</v>
      </c>
      <c r="E978" s="1" t="n">
        <v>46315</v>
      </c>
      <c r="F978" t="inlineStr">
        <is>
          <t>HALLANDS LÄN</t>
        </is>
      </c>
      <c r="G978" t="inlineStr">
        <is>
          <t>LAHOLM</t>
        </is>
      </c>
      <c r="I978" t="n">
        <v>0.9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20050-2025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45772</v>
      </c>
      <c r="E979" s="1" t="n">
        <v>46315</v>
      </c>
      <c r="F979" t="inlineStr">
        <is>
          <t>HALLANDS LÄN</t>
        </is>
      </c>
      <c r="G979" t="inlineStr">
        <is>
          <t>VARBERG</t>
        </is>
      </c>
      <c r="I979" t="n">
        <v>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44541-2025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45917</v>
      </c>
      <c r="E980" s="1" t="n">
        <v>46315</v>
      </c>
      <c r="F980" t="inlineStr">
        <is>
          <t>HALLANDS LÄN</t>
        </is>
      </c>
      <c r="G980" t="inlineStr">
        <is>
          <t>HALMSTAD</t>
        </is>
      </c>
      <c r="I980" t="n">
        <v>0.6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44543-2025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45917</v>
      </c>
      <c r="E981" s="1" t="n">
        <v>46315</v>
      </c>
      <c r="F981" t="inlineStr">
        <is>
          <t>HALLANDS LÄN</t>
        </is>
      </c>
      <c r="G981" t="inlineStr">
        <is>
          <t>HALMSTAD</t>
        </is>
      </c>
      <c r="I981" t="n">
        <v>1.6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12071-2025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45728</v>
      </c>
      <c r="E982" s="1" t="n">
        <v>46315</v>
      </c>
      <c r="F982" t="inlineStr">
        <is>
          <t>HALLANDS LÄN</t>
        </is>
      </c>
      <c r="G982" t="inlineStr">
        <is>
          <t>KUNGSBACKA</t>
        </is>
      </c>
      <c r="I982" t="n">
        <v>5.7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45431-2025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45922</v>
      </c>
      <c r="E983" s="1" t="n">
        <v>46315</v>
      </c>
      <c r="F983" t="inlineStr">
        <is>
          <t>HALLANDS LÄN</t>
        </is>
      </c>
      <c r="G983" t="inlineStr">
        <is>
          <t>HYLTE</t>
        </is>
      </c>
      <c r="I983" t="n">
        <v>1.5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46026-2023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45196</v>
      </c>
      <c r="E984" s="1" t="n">
        <v>46315</v>
      </c>
      <c r="F984" t="inlineStr">
        <is>
          <t>HALLANDS LÄN</t>
        </is>
      </c>
      <c r="G984" t="inlineStr">
        <is>
          <t>VARBERG</t>
        </is>
      </c>
      <c r="I984" t="n">
        <v>0.9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9813-2025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45715</v>
      </c>
      <c r="E985" s="1" t="n">
        <v>46315</v>
      </c>
      <c r="F985" t="inlineStr">
        <is>
          <t>HALLANDS LÄN</t>
        </is>
      </c>
      <c r="G985" t="inlineStr">
        <is>
          <t>HALMSTAD</t>
        </is>
      </c>
      <c r="H985" t="inlineStr">
        <is>
          <t>Övriga statliga verk och myndigheter</t>
        </is>
      </c>
      <c r="I985" t="n">
        <v>3.8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48222-2023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45205</v>
      </c>
      <c r="E986" s="1" t="n">
        <v>46315</v>
      </c>
      <c r="F986" t="inlineStr">
        <is>
          <t>HALLANDS LÄN</t>
        </is>
      </c>
      <c r="G986" t="inlineStr">
        <is>
          <t>FALKENBERG</t>
        </is>
      </c>
      <c r="I986" t="n">
        <v>0.5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46924-2023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45201</v>
      </c>
      <c r="E987" s="1" t="n">
        <v>46315</v>
      </c>
      <c r="F987" t="inlineStr">
        <is>
          <t>HALLANDS LÄN</t>
        </is>
      </c>
      <c r="G987" t="inlineStr">
        <is>
          <t>FALKENBERG</t>
        </is>
      </c>
      <c r="H987" t="inlineStr">
        <is>
          <t>Kyrkan</t>
        </is>
      </c>
      <c r="I987" t="n">
        <v>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45416-2025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45922</v>
      </c>
      <c r="E988" s="1" t="n">
        <v>46315</v>
      </c>
      <c r="F988" t="inlineStr">
        <is>
          <t>HALLANDS LÄN</t>
        </is>
      </c>
      <c r="G988" t="inlineStr">
        <is>
          <t>HYLTE</t>
        </is>
      </c>
      <c r="I988" t="n">
        <v>1.5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45373-2025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45922</v>
      </c>
      <c r="E989" s="1" t="n">
        <v>46315</v>
      </c>
      <c r="F989" t="inlineStr">
        <is>
          <t>HALLANDS LÄN</t>
        </is>
      </c>
      <c r="G989" t="inlineStr">
        <is>
          <t>HYLTE</t>
        </is>
      </c>
      <c r="I989" t="n">
        <v>3.7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46655-2023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45195</v>
      </c>
      <c r="E990" s="1" t="n">
        <v>46315</v>
      </c>
      <c r="F990" t="inlineStr">
        <is>
          <t>HALLANDS LÄN</t>
        </is>
      </c>
      <c r="G990" t="inlineStr">
        <is>
          <t>LAHOLM</t>
        </is>
      </c>
      <c r="I990" t="n">
        <v>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46009-2025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45924</v>
      </c>
      <c r="E991" s="1" t="n">
        <v>46315</v>
      </c>
      <c r="F991" t="inlineStr">
        <is>
          <t>HALLANDS LÄN</t>
        </is>
      </c>
      <c r="G991" t="inlineStr">
        <is>
          <t>FALKENBERG</t>
        </is>
      </c>
      <c r="I991" t="n">
        <v>0.5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45852-2025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45923</v>
      </c>
      <c r="E992" s="1" t="n">
        <v>46315</v>
      </c>
      <c r="F992" t="inlineStr">
        <is>
          <t>HALLANDS LÄN</t>
        </is>
      </c>
      <c r="G992" t="inlineStr">
        <is>
          <t>FALKENBERG</t>
        </is>
      </c>
      <c r="I992" t="n">
        <v>3.8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45631-2025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45922</v>
      </c>
      <c r="E993" s="1" t="n">
        <v>46315</v>
      </c>
      <c r="F993" t="inlineStr">
        <is>
          <t>HALLANDS LÄN</t>
        </is>
      </c>
      <c r="G993" t="inlineStr">
        <is>
          <t>KUNGSBACKA</t>
        </is>
      </c>
      <c r="I993" t="n">
        <v>0.5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4607-2025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45687</v>
      </c>
      <c r="E994" s="1" t="n">
        <v>46315</v>
      </c>
      <c r="F994" t="inlineStr">
        <is>
          <t>HALLANDS LÄN</t>
        </is>
      </c>
      <c r="G994" t="inlineStr">
        <is>
          <t>LAHOLM</t>
        </is>
      </c>
      <c r="I994" t="n">
        <v>0.5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23471-2025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45792</v>
      </c>
      <c r="E995" s="1" t="n">
        <v>46315</v>
      </c>
      <c r="F995" t="inlineStr">
        <is>
          <t>HALLANDS LÄN</t>
        </is>
      </c>
      <c r="G995" t="inlineStr">
        <is>
          <t>VARBERG</t>
        </is>
      </c>
      <c r="I995" t="n">
        <v>11.8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46913-2025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45929</v>
      </c>
      <c r="E996" s="1" t="n">
        <v>46315</v>
      </c>
      <c r="F996" t="inlineStr">
        <is>
          <t>HALLANDS LÄN</t>
        </is>
      </c>
      <c r="G996" t="inlineStr">
        <is>
          <t>VARBERG</t>
        </is>
      </c>
      <c r="I996" t="n">
        <v>1.2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45699-2025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45923</v>
      </c>
      <c r="E997" s="1" t="n">
        <v>46315</v>
      </c>
      <c r="F997" t="inlineStr">
        <is>
          <t>HALLANDS LÄN</t>
        </is>
      </c>
      <c r="G997" t="inlineStr">
        <is>
          <t>FALKENBERG</t>
        </is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60328-2022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44910</v>
      </c>
      <c r="E998" s="1" t="n">
        <v>46315</v>
      </c>
      <c r="F998" t="inlineStr">
        <is>
          <t>HALLANDS LÄN</t>
        </is>
      </c>
      <c r="G998" t="inlineStr">
        <is>
          <t>HYLTE</t>
        </is>
      </c>
      <c r="I998" t="n">
        <v>2.5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54411-2024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45617</v>
      </c>
      <c r="E999" s="1" t="n">
        <v>46315</v>
      </c>
      <c r="F999" t="inlineStr">
        <is>
          <t>HALLANDS LÄN</t>
        </is>
      </c>
      <c r="G999" t="inlineStr">
        <is>
          <t>HYLTE</t>
        </is>
      </c>
      <c r="I999" t="n">
        <v>3.9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45863-2025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45923</v>
      </c>
      <c r="E1000" s="1" t="n">
        <v>46315</v>
      </c>
      <c r="F1000" t="inlineStr">
        <is>
          <t>HALLANDS LÄN</t>
        </is>
      </c>
      <c r="G1000" t="inlineStr">
        <is>
          <t>HALMSTAD</t>
        </is>
      </c>
      <c r="I1000" t="n">
        <v>0.5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45645-2025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45923</v>
      </c>
      <c r="E1001" s="1" t="n">
        <v>46315</v>
      </c>
      <c r="F1001" t="inlineStr">
        <is>
          <t>HALLANDS LÄN</t>
        </is>
      </c>
      <c r="G1001" t="inlineStr">
        <is>
          <t>FALKENBERG</t>
        </is>
      </c>
      <c r="I1001" t="n">
        <v>0.4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46008-2025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45924</v>
      </c>
      <c r="E1002" s="1" t="n">
        <v>46315</v>
      </c>
      <c r="F1002" t="inlineStr">
        <is>
          <t>HALLANDS LÄN</t>
        </is>
      </c>
      <c r="G1002" t="inlineStr">
        <is>
          <t>HYLTE</t>
        </is>
      </c>
      <c r="I1002" t="n">
        <v>1.1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60152-2022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44902</v>
      </c>
      <c r="E1003" s="1" t="n">
        <v>46315</v>
      </c>
      <c r="F1003" t="inlineStr">
        <is>
          <t>HALLANDS LÄN</t>
        </is>
      </c>
      <c r="G1003" t="inlineStr">
        <is>
          <t>LAHOLM</t>
        </is>
      </c>
      <c r="I1003" t="n">
        <v>7.8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46690-2025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45926</v>
      </c>
      <c r="E1004" s="1" t="n">
        <v>46315</v>
      </c>
      <c r="F1004" t="inlineStr">
        <is>
          <t>HALLANDS LÄN</t>
        </is>
      </c>
      <c r="G1004" t="inlineStr">
        <is>
          <t>HYLTE</t>
        </is>
      </c>
      <c r="I1004" t="n">
        <v>0.7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46691-2025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45926</v>
      </c>
      <c r="E1005" s="1" t="n">
        <v>46315</v>
      </c>
      <c r="F1005" t="inlineStr">
        <is>
          <t>HALLANDS LÄN</t>
        </is>
      </c>
      <c r="G1005" t="inlineStr">
        <is>
          <t>HYLTE</t>
        </is>
      </c>
      <c r="I1005" t="n">
        <v>1.8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46696-2025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45926</v>
      </c>
      <c r="E1006" s="1" t="n">
        <v>46315</v>
      </c>
      <c r="F1006" t="inlineStr">
        <is>
          <t>HALLANDS LÄN</t>
        </is>
      </c>
      <c r="G1006" t="inlineStr">
        <is>
          <t>HYLTE</t>
        </is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46701-2025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45926</v>
      </c>
      <c r="E1007" s="1" t="n">
        <v>46315</v>
      </c>
      <c r="F1007" t="inlineStr">
        <is>
          <t>HALLANDS LÄN</t>
        </is>
      </c>
      <c r="G1007" t="inlineStr">
        <is>
          <t>FALKENBERG</t>
        </is>
      </c>
      <c r="I1007" t="n">
        <v>3.5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46704-2025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45926</v>
      </c>
      <c r="E1008" s="1" t="n">
        <v>46315</v>
      </c>
      <c r="F1008" t="inlineStr">
        <is>
          <t>HALLANDS LÄN</t>
        </is>
      </c>
      <c r="G1008" t="inlineStr">
        <is>
          <t>FALKENBERG</t>
        </is>
      </c>
      <c r="I1008" t="n">
        <v>0.5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31826-2024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45509</v>
      </c>
      <c r="E1009" s="1" t="n">
        <v>46315</v>
      </c>
      <c r="F1009" t="inlineStr">
        <is>
          <t>HALLANDS LÄN</t>
        </is>
      </c>
      <c r="G1009" t="inlineStr">
        <is>
          <t>VARBERG</t>
        </is>
      </c>
      <c r="H1009" t="inlineStr">
        <is>
          <t>Kyrkan</t>
        </is>
      </c>
      <c r="I1009" t="n">
        <v>6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46594-2025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45926</v>
      </c>
      <c r="E1010" s="1" t="n">
        <v>46315</v>
      </c>
      <c r="F1010" t="inlineStr">
        <is>
          <t>HALLANDS LÄN</t>
        </is>
      </c>
      <c r="G1010" t="inlineStr">
        <is>
          <t>HALMSTAD</t>
        </is>
      </c>
      <c r="I1010" t="n">
        <v>0.6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20011-2023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45054</v>
      </c>
      <c r="E1011" s="1" t="n">
        <v>46315</v>
      </c>
      <c r="F1011" t="inlineStr">
        <is>
          <t>HALLANDS LÄN</t>
        </is>
      </c>
      <c r="G1011" t="inlineStr">
        <is>
          <t>VARBERG</t>
        </is>
      </c>
      <c r="I1011" t="n">
        <v>10.1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46655-2025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45926</v>
      </c>
      <c r="E1012" s="1" t="n">
        <v>46315</v>
      </c>
      <c r="F1012" t="inlineStr">
        <is>
          <t>HALLANDS LÄN</t>
        </is>
      </c>
      <c r="G1012" t="inlineStr">
        <is>
          <t>FALKENBERG</t>
        </is>
      </c>
      <c r="I1012" t="n">
        <v>0.9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54870-2022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44885</v>
      </c>
      <c r="E1013" s="1" t="n">
        <v>46315</v>
      </c>
      <c r="F1013" t="inlineStr">
        <is>
          <t>HALLANDS LÄN</t>
        </is>
      </c>
      <c r="G1013" t="inlineStr">
        <is>
          <t>HALMSTAD</t>
        </is>
      </c>
      <c r="I1013" t="n">
        <v>1.5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46659-2025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45926</v>
      </c>
      <c r="E1014" s="1" t="n">
        <v>46315</v>
      </c>
      <c r="F1014" t="inlineStr">
        <is>
          <t>HALLANDS LÄN</t>
        </is>
      </c>
      <c r="G1014" t="inlineStr">
        <is>
          <t>FALKENBERG</t>
        </is>
      </c>
      <c r="I1014" t="n">
        <v>0.9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46414-2025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45925</v>
      </c>
      <c r="E1015" s="1" t="n">
        <v>46315</v>
      </c>
      <c r="F1015" t="inlineStr">
        <is>
          <t>HALLANDS LÄN</t>
        </is>
      </c>
      <c r="G1015" t="inlineStr">
        <is>
          <t>VARBERG</t>
        </is>
      </c>
      <c r="I1015" t="n">
        <v>3.8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615-2024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45299</v>
      </c>
      <c r="E1016" s="1" t="n">
        <v>46315</v>
      </c>
      <c r="F1016" t="inlineStr">
        <is>
          <t>HALLANDS LÄN</t>
        </is>
      </c>
      <c r="G1016" t="inlineStr">
        <is>
          <t>LAHOLM</t>
        </is>
      </c>
      <c r="I1016" t="n">
        <v>7.2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20111-2023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45055</v>
      </c>
      <c r="E1017" s="1" t="n">
        <v>46315</v>
      </c>
      <c r="F1017" t="inlineStr">
        <is>
          <t>HALLANDS LÄN</t>
        </is>
      </c>
      <c r="G1017" t="inlineStr">
        <is>
          <t>VARBERG</t>
        </is>
      </c>
      <c r="I1017" t="n">
        <v>5.7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46395-2023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45197</v>
      </c>
      <c r="E1018" s="1" t="n">
        <v>46315</v>
      </c>
      <c r="F1018" t="inlineStr">
        <is>
          <t>HALLANDS LÄN</t>
        </is>
      </c>
      <c r="G1018" t="inlineStr">
        <is>
          <t>VARBERG</t>
        </is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23052-2023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45075</v>
      </c>
      <c r="E1019" s="1" t="n">
        <v>46315</v>
      </c>
      <c r="F1019" t="inlineStr">
        <is>
          <t>HALLANDS LÄN</t>
        </is>
      </c>
      <c r="G1019" t="inlineStr">
        <is>
          <t>VARBERG</t>
        </is>
      </c>
      <c r="I1019" t="n">
        <v>0.5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31908-2025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45834</v>
      </c>
      <c r="E1020" s="1" t="n">
        <v>46315</v>
      </c>
      <c r="F1020" t="inlineStr">
        <is>
          <t>HALLANDS LÄN</t>
        </is>
      </c>
      <c r="G1020" t="inlineStr">
        <is>
          <t>LAHOLM</t>
        </is>
      </c>
      <c r="H1020" t="inlineStr">
        <is>
          <t>Sveaskog</t>
        </is>
      </c>
      <c r="I1020" t="n">
        <v>0.9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47060-2025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45929</v>
      </c>
      <c r="E1021" s="1" t="n">
        <v>46315</v>
      </c>
      <c r="F1021" t="inlineStr">
        <is>
          <t>HALLANDS LÄN</t>
        </is>
      </c>
      <c r="G1021" t="inlineStr">
        <is>
          <t>HYLTE</t>
        </is>
      </c>
      <c r="I1021" t="n">
        <v>0.5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20903-2026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46142</v>
      </c>
      <c r="E1022" s="1" t="n">
        <v>46315</v>
      </c>
      <c r="F1022" t="inlineStr">
        <is>
          <t>HALLANDS LÄN</t>
        </is>
      </c>
      <c r="G1022" t="inlineStr">
        <is>
          <t>LAHOLM</t>
        </is>
      </c>
      <c r="I1022" t="n">
        <v>3.7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47452-2025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45930</v>
      </c>
      <c r="E1023" s="1" t="n">
        <v>46315</v>
      </c>
      <c r="F1023" t="inlineStr">
        <is>
          <t>HALLANDS LÄN</t>
        </is>
      </c>
      <c r="G1023" t="inlineStr">
        <is>
          <t>KUNGSBACKA</t>
        </is>
      </c>
      <c r="I1023" t="n">
        <v>0.9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26880-2022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44740</v>
      </c>
      <c r="E1024" s="1" t="n">
        <v>46315</v>
      </c>
      <c r="F1024" t="inlineStr">
        <is>
          <t>HALLANDS LÄN</t>
        </is>
      </c>
      <c r="G1024" t="inlineStr">
        <is>
          <t>FALKENBERG</t>
        </is>
      </c>
      <c r="I1024" t="n">
        <v>2.8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26887-2022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44740</v>
      </c>
      <c r="E1025" s="1" t="n">
        <v>46315</v>
      </c>
      <c r="F1025" t="inlineStr">
        <is>
          <t>HALLANDS LÄN</t>
        </is>
      </c>
      <c r="G1025" t="inlineStr">
        <is>
          <t>FALKENBERG</t>
        </is>
      </c>
      <c r="I1025" t="n">
        <v>3.3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46939-2025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45929</v>
      </c>
      <c r="E1026" s="1" t="n">
        <v>46315</v>
      </c>
      <c r="F1026" t="inlineStr">
        <is>
          <t>HALLANDS LÄN</t>
        </is>
      </c>
      <c r="G1026" t="inlineStr">
        <is>
          <t>VARBERG</t>
        </is>
      </c>
      <c r="I1026" t="n">
        <v>3.2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61663-2023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45264</v>
      </c>
      <c r="E1027" s="1" t="n">
        <v>46315</v>
      </c>
      <c r="F1027" t="inlineStr">
        <is>
          <t>HALLANDS LÄN</t>
        </is>
      </c>
      <c r="G1027" t="inlineStr">
        <is>
          <t>HALMSTAD</t>
        </is>
      </c>
      <c r="H1027" t="inlineStr">
        <is>
          <t>Bergvik skog väst AB</t>
        </is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36805-2023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45154</v>
      </c>
      <c r="E1028" s="1" t="n">
        <v>46315</v>
      </c>
      <c r="F1028" t="inlineStr">
        <is>
          <t>HALLANDS LÄN</t>
        </is>
      </c>
      <c r="G1028" t="inlineStr">
        <is>
          <t>HALMSTAD</t>
        </is>
      </c>
      <c r="I1028" t="n">
        <v>3.7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7019-2022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44603</v>
      </c>
      <c r="E1029" s="1" t="n">
        <v>46315</v>
      </c>
      <c r="F1029" t="inlineStr">
        <is>
          <t>HALLANDS LÄN</t>
        </is>
      </c>
      <c r="G1029" t="inlineStr">
        <is>
          <t>LAHOLM</t>
        </is>
      </c>
      <c r="I1029" t="n">
        <v>0.5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46943-2025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45929</v>
      </c>
      <c r="E1030" s="1" t="n">
        <v>46315</v>
      </c>
      <c r="F1030" t="inlineStr">
        <is>
          <t>HALLANDS LÄN</t>
        </is>
      </c>
      <c r="G1030" t="inlineStr">
        <is>
          <t>VARBERG</t>
        </is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27607-2024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45474</v>
      </c>
      <c r="E1031" s="1" t="n">
        <v>46315</v>
      </c>
      <c r="F1031" t="inlineStr">
        <is>
          <t>HALLANDS LÄN</t>
        </is>
      </c>
      <c r="G1031" t="inlineStr">
        <is>
          <t>LAHOLM</t>
        </is>
      </c>
      <c r="I1031" t="n">
        <v>1.3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42661-2024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45566</v>
      </c>
      <c r="E1032" s="1" t="n">
        <v>46315</v>
      </c>
      <c r="F1032" t="inlineStr">
        <is>
          <t>HALLANDS LÄN</t>
        </is>
      </c>
      <c r="G1032" t="inlineStr">
        <is>
          <t>FALKENBERG</t>
        </is>
      </c>
      <c r="I1032" t="n">
        <v>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22594-2023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45071</v>
      </c>
      <c r="E1033" s="1" t="n">
        <v>46315</v>
      </c>
      <c r="F1033" t="inlineStr">
        <is>
          <t>HALLANDS LÄN</t>
        </is>
      </c>
      <c r="G1033" t="inlineStr">
        <is>
          <t>KUNGSBACKA</t>
        </is>
      </c>
      <c r="I1033" t="n">
        <v>1.4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47698-2025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45931</v>
      </c>
      <c r="E1034" s="1" t="n">
        <v>46315</v>
      </c>
      <c r="F1034" t="inlineStr">
        <is>
          <t>HALLANDS LÄN</t>
        </is>
      </c>
      <c r="G1034" t="inlineStr">
        <is>
          <t>HYLTE</t>
        </is>
      </c>
      <c r="I1034" t="n">
        <v>1.6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57669-2023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45246</v>
      </c>
      <c r="E1035" s="1" t="n">
        <v>46315</v>
      </c>
      <c r="F1035" t="inlineStr">
        <is>
          <t>HALLANDS LÄN</t>
        </is>
      </c>
      <c r="G1035" t="inlineStr">
        <is>
          <t>VARBERG</t>
        </is>
      </c>
      <c r="I1035" t="n">
        <v>2.8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47802-2025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45931</v>
      </c>
      <c r="E1036" s="1" t="n">
        <v>46315</v>
      </c>
      <c r="F1036" t="inlineStr">
        <is>
          <t>HALLANDS LÄN</t>
        </is>
      </c>
      <c r="G1036" t="inlineStr">
        <is>
          <t>FALKENBERG</t>
        </is>
      </c>
      <c r="I1036" t="n">
        <v>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47806-2025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45931</v>
      </c>
      <c r="E1037" s="1" t="n">
        <v>46315</v>
      </c>
      <c r="F1037" t="inlineStr">
        <is>
          <t>HALLANDS LÄN</t>
        </is>
      </c>
      <c r="G1037" t="inlineStr">
        <is>
          <t>FALKENBERG</t>
        </is>
      </c>
      <c r="I1037" t="n">
        <v>5.2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47807-2025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45931</v>
      </c>
      <c r="E1038" s="1" t="n">
        <v>46315</v>
      </c>
      <c r="F1038" t="inlineStr">
        <is>
          <t>HALLANDS LÄN</t>
        </is>
      </c>
      <c r="G1038" t="inlineStr">
        <is>
          <t>FALKENBERG</t>
        </is>
      </c>
      <c r="I1038" t="n">
        <v>1.1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47556-2025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45931</v>
      </c>
      <c r="E1039" s="1" t="n">
        <v>46315</v>
      </c>
      <c r="F1039" t="inlineStr">
        <is>
          <t>HALLANDS LÄN</t>
        </is>
      </c>
      <c r="G1039" t="inlineStr">
        <is>
          <t>HALMSTAD</t>
        </is>
      </c>
      <c r="I1039" t="n">
        <v>0.7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57283-2023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45245</v>
      </c>
      <c r="E1040" s="1" t="n">
        <v>46315</v>
      </c>
      <c r="F1040" t="inlineStr">
        <is>
          <t>HALLANDS LÄN</t>
        </is>
      </c>
      <c r="G1040" t="inlineStr">
        <is>
          <t>FALKENBERG</t>
        </is>
      </c>
      <c r="I1040" t="n">
        <v>2.3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47754-2025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45931</v>
      </c>
      <c r="E1041" s="1" t="n">
        <v>46315</v>
      </c>
      <c r="F1041" t="inlineStr">
        <is>
          <t>HALLANDS LÄN</t>
        </is>
      </c>
      <c r="G1041" t="inlineStr">
        <is>
          <t>HYLTE</t>
        </is>
      </c>
      <c r="I1041" t="n">
        <v>0.8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48019-2025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45932</v>
      </c>
      <c r="E1042" s="1" t="n">
        <v>46315</v>
      </c>
      <c r="F1042" t="inlineStr">
        <is>
          <t>HALLANDS LÄN</t>
        </is>
      </c>
      <c r="G1042" t="inlineStr">
        <is>
          <t>VARBERG</t>
        </is>
      </c>
      <c r="I1042" t="n">
        <v>1.3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48027-2025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45932</v>
      </c>
      <c r="E1043" s="1" t="n">
        <v>46315</v>
      </c>
      <c r="F1043" t="inlineStr">
        <is>
          <t>HALLANDS LÄN</t>
        </is>
      </c>
      <c r="G1043" t="inlineStr">
        <is>
          <t>VARBERG</t>
        </is>
      </c>
      <c r="I1043" t="n">
        <v>2.6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60239-2022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44910</v>
      </c>
      <c r="E1044" s="1" t="n">
        <v>46315</v>
      </c>
      <c r="F1044" t="inlineStr">
        <is>
          <t>HALLANDS LÄN</t>
        </is>
      </c>
      <c r="G1044" t="inlineStr">
        <is>
          <t>FALKENBERG</t>
        </is>
      </c>
      <c r="I1044" t="n">
        <v>0.7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60245-2022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44910</v>
      </c>
      <c r="E1045" s="1" t="n">
        <v>46315</v>
      </c>
      <c r="F1045" t="inlineStr">
        <is>
          <t>HALLANDS LÄN</t>
        </is>
      </c>
      <c r="G1045" t="inlineStr">
        <is>
          <t>FALKENBERG</t>
        </is>
      </c>
      <c r="I1045" t="n">
        <v>1.8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47552-2025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45931</v>
      </c>
      <c r="E1046" s="1" t="n">
        <v>46315</v>
      </c>
      <c r="F1046" t="inlineStr">
        <is>
          <t>HALLANDS LÄN</t>
        </is>
      </c>
      <c r="G1046" t="inlineStr">
        <is>
          <t>HALMSTAD</t>
        </is>
      </c>
      <c r="I1046" t="n">
        <v>0.7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10687-2025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45722</v>
      </c>
      <c r="E1047" s="1" t="n">
        <v>46315</v>
      </c>
      <c r="F1047" t="inlineStr">
        <is>
          <t>HALLANDS LÄN</t>
        </is>
      </c>
      <c r="G1047" t="inlineStr">
        <is>
          <t>VARBERG</t>
        </is>
      </c>
      <c r="I1047" t="n">
        <v>2.1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10695-2025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45722</v>
      </c>
      <c r="E1048" s="1" t="n">
        <v>46315</v>
      </c>
      <c r="F1048" t="inlineStr">
        <is>
          <t>HALLANDS LÄN</t>
        </is>
      </c>
      <c r="G1048" t="inlineStr">
        <is>
          <t>VARBERG</t>
        </is>
      </c>
      <c r="I1048" t="n">
        <v>4.2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47513-2025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45930</v>
      </c>
      <c r="E1049" s="1" t="n">
        <v>46315</v>
      </c>
      <c r="F1049" t="inlineStr">
        <is>
          <t>HALLANDS LÄN</t>
        </is>
      </c>
      <c r="G1049" t="inlineStr">
        <is>
          <t>HYLTE</t>
        </is>
      </c>
      <c r="I1049" t="n">
        <v>0.7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20912-2026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46142</v>
      </c>
      <c r="E1050" s="1" t="n">
        <v>46315</v>
      </c>
      <c r="F1050" t="inlineStr">
        <is>
          <t>HALLANDS LÄN</t>
        </is>
      </c>
      <c r="G1050" t="inlineStr">
        <is>
          <t>FALKENBERG</t>
        </is>
      </c>
      <c r="I1050" t="n">
        <v>0.5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15288-2023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45019</v>
      </c>
      <c r="E1051" s="1" t="n">
        <v>46315</v>
      </c>
      <c r="F1051" t="inlineStr">
        <is>
          <t>HALLANDS LÄN</t>
        </is>
      </c>
      <c r="G1051" t="inlineStr">
        <is>
          <t>HYLTE</t>
        </is>
      </c>
      <c r="I1051" t="n">
        <v>5.8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59897-2023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45257</v>
      </c>
      <c r="E1052" s="1" t="n">
        <v>46315</v>
      </c>
      <c r="F1052" t="inlineStr">
        <is>
          <t>HALLANDS LÄN</t>
        </is>
      </c>
      <c r="G1052" t="inlineStr">
        <is>
          <t>HYLTE</t>
        </is>
      </c>
      <c r="I1052" t="n">
        <v>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16075-2025</t>
        </is>
      </c>
      <c r="B1053" t="inlineStr">
        <is>
          <t>avverkningsanmälan</t>
        </is>
      </c>
      <c r="C1053" t="inlineStr">
        <is>
          <t>Avverkning för att bevara och utveckla /försöksver</t>
        </is>
      </c>
      <c r="D1053" s="1" t="n">
        <v>45749</v>
      </c>
      <c r="E1053" s="1" t="n">
        <v>46315</v>
      </c>
      <c r="F1053" t="inlineStr">
        <is>
          <t>HALLANDS LÄN</t>
        </is>
      </c>
      <c r="G1053" t="inlineStr">
        <is>
          <t>KUNGSBACKA</t>
        </is>
      </c>
      <c r="I1053" t="n">
        <v>1.7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20436-2025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45775</v>
      </c>
      <c r="E1054" s="1" t="n">
        <v>46315</v>
      </c>
      <c r="F1054" t="inlineStr">
        <is>
          <t>HALLANDS LÄN</t>
        </is>
      </c>
      <c r="G1054" t="inlineStr">
        <is>
          <t>HALMSTAD</t>
        </is>
      </c>
      <c r="I1054" t="n">
        <v>0.7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48118-2025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45933</v>
      </c>
      <c r="E1055" s="1" t="n">
        <v>46315</v>
      </c>
      <c r="F1055" t="inlineStr">
        <is>
          <t>HALLANDS LÄN</t>
        </is>
      </c>
      <c r="G1055" t="inlineStr">
        <is>
          <t>HYLTE</t>
        </is>
      </c>
      <c r="I1055" t="n">
        <v>0.8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48463-2025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45936</v>
      </c>
      <c r="E1056" s="1" t="n">
        <v>46315</v>
      </c>
      <c r="F1056" t="inlineStr">
        <is>
          <t>HALLANDS LÄN</t>
        </is>
      </c>
      <c r="G1056" t="inlineStr">
        <is>
          <t>HYLTE</t>
        </is>
      </c>
      <c r="I1056" t="n">
        <v>1.4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48464-2025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45936</v>
      </c>
      <c r="E1057" s="1" t="n">
        <v>46315</v>
      </c>
      <c r="F1057" t="inlineStr">
        <is>
          <t>HALLANDS LÄN</t>
        </is>
      </c>
      <c r="G1057" t="inlineStr">
        <is>
          <t>HYLTE</t>
        </is>
      </c>
      <c r="I1057" t="n">
        <v>0.9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48123-2025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45933</v>
      </c>
      <c r="E1058" s="1" t="n">
        <v>46315</v>
      </c>
      <c r="F1058" t="inlineStr">
        <is>
          <t>HALLANDS LÄN</t>
        </is>
      </c>
      <c r="G1058" t="inlineStr">
        <is>
          <t>HYLTE</t>
        </is>
      </c>
      <c r="I1058" t="n">
        <v>1.9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48152-2025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45933</v>
      </c>
      <c r="E1059" s="1" t="n">
        <v>46315</v>
      </c>
      <c r="F1059" t="inlineStr">
        <is>
          <t>HALLANDS LÄN</t>
        </is>
      </c>
      <c r="G1059" t="inlineStr">
        <is>
          <t>HYLTE</t>
        </is>
      </c>
      <c r="I1059" t="n">
        <v>2.6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21915-2023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45068</v>
      </c>
      <c r="E1060" s="1" t="n">
        <v>46315</v>
      </c>
      <c r="F1060" t="inlineStr">
        <is>
          <t>HALLANDS LÄN</t>
        </is>
      </c>
      <c r="G1060" t="inlineStr">
        <is>
          <t>FALKENBERG</t>
        </is>
      </c>
      <c r="I1060" t="n">
        <v>1.2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13168-2025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45735</v>
      </c>
      <c r="E1061" s="1" t="n">
        <v>46315</v>
      </c>
      <c r="F1061" t="inlineStr">
        <is>
          <t>HALLANDS LÄN</t>
        </is>
      </c>
      <c r="G1061" t="inlineStr">
        <is>
          <t>FALKENBERG</t>
        </is>
      </c>
      <c r="I1061" t="n">
        <v>2.1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45585-2022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44845</v>
      </c>
      <c r="E1062" s="1" t="n">
        <v>46315</v>
      </c>
      <c r="F1062" t="inlineStr">
        <is>
          <t>HALLANDS LÄN</t>
        </is>
      </c>
      <c r="G1062" t="inlineStr">
        <is>
          <t>HALMSTAD</t>
        </is>
      </c>
      <c r="H1062" t="inlineStr">
        <is>
          <t>Kyrkan</t>
        </is>
      </c>
      <c r="I1062" t="n">
        <v>1.7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40640-2025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45896</v>
      </c>
      <c r="E1063" s="1" t="n">
        <v>46315</v>
      </c>
      <c r="F1063" t="inlineStr">
        <is>
          <t>HALLANDS LÄN</t>
        </is>
      </c>
      <c r="G1063" t="inlineStr">
        <is>
          <t>FALKENBERG</t>
        </is>
      </c>
      <c r="I1063" t="n">
        <v>2.2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49182-2023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45210</v>
      </c>
      <c r="E1064" s="1" t="n">
        <v>46315</v>
      </c>
      <c r="F1064" t="inlineStr">
        <is>
          <t>HALLANDS LÄN</t>
        </is>
      </c>
      <c r="G1064" t="inlineStr">
        <is>
          <t>VARBERG</t>
        </is>
      </c>
      <c r="I1064" t="n">
        <v>5.6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48465-2025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45936</v>
      </c>
      <c r="E1065" s="1" t="n">
        <v>46315</v>
      </c>
      <c r="F1065" t="inlineStr">
        <is>
          <t>HALLANDS LÄN</t>
        </is>
      </c>
      <c r="G1065" t="inlineStr">
        <is>
          <t>HYLTE</t>
        </is>
      </c>
      <c r="I1065" t="n">
        <v>0.6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25989-2022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44734</v>
      </c>
      <c r="E1066" s="1" t="n">
        <v>46315</v>
      </c>
      <c r="F1066" t="inlineStr">
        <is>
          <t>HALLANDS LÄN</t>
        </is>
      </c>
      <c r="G1066" t="inlineStr">
        <is>
          <t>VARBERG</t>
        </is>
      </c>
      <c r="I1066" t="n">
        <v>2.3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40614-2025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45896</v>
      </c>
      <c r="E1067" s="1" t="n">
        <v>46315</v>
      </c>
      <c r="F1067" t="inlineStr">
        <is>
          <t>HALLANDS LÄN</t>
        </is>
      </c>
      <c r="G1067" t="inlineStr">
        <is>
          <t>FALKENBERG</t>
        </is>
      </c>
      <c r="I1067" t="n">
        <v>2.3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24941-2024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45461</v>
      </c>
      <c r="E1068" s="1" t="n">
        <v>46315</v>
      </c>
      <c r="F1068" t="inlineStr">
        <is>
          <t>HALLANDS LÄN</t>
        </is>
      </c>
      <c r="G1068" t="inlineStr">
        <is>
          <t>KUNGSBACKA</t>
        </is>
      </c>
      <c r="H1068" t="inlineStr">
        <is>
          <t>Kommuner</t>
        </is>
      </c>
      <c r="I1068" t="n">
        <v>0.6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39331-2025</t>
        </is>
      </c>
      <c r="B1069" t="inlineStr">
        <is>
          <t>avverkningsanmälan</t>
        </is>
      </c>
      <c r="C1069" t="inlineStr">
        <is>
          <t>Föryngringsavverkning</t>
        </is>
      </c>
      <c r="D1069" s="1" t="n">
        <v>45889</v>
      </c>
      <c r="E1069" s="1" t="n">
        <v>46315</v>
      </c>
      <c r="F1069" t="inlineStr">
        <is>
          <t>HALLANDS LÄN</t>
        </is>
      </c>
      <c r="G1069" t="inlineStr">
        <is>
          <t>HALMSTAD</t>
        </is>
      </c>
      <c r="I1069" t="n">
        <v>4.1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16711-2025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45754</v>
      </c>
      <c r="E1070" s="1" t="n">
        <v>46315</v>
      </c>
      <c r="F1070" t="inlineStr">
        <is>
          <t>HALLANDS LÄN</t>
        </is>
      </c>
      <c r="G1070" t="inlineStr">
        <is>
          <t>HYLTE</t>
        </is>
      </c>
      <c r="I1070" t="n">
        <v>0.4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48821-2025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45937</v>
      </c>
      <c r="E1071" s="1" t="n">
        <v>46315</v>
      </c>
      <c r="F1071" t="inlineStr">
        <is>
          <t>HALLANDS LÄN</t>
        </is>
      </c>
      <c r="G1071" t="inlineStr">
        <is>
          <t>HYLTE</t>
        </is>
      </c>
      <c r="I1071" t="n">
        <v>1.1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56925-2024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45628</v>
      </c>
      <c r="E1072" s="1" t="n">
        <v>46315</v>
      </c>
      <c r="F1072" t="inlineStr">
        <is>
          <t>HALLANDS LÄN</t>
        </is>
      </c>
      <c r="G1072" t="inlineStr">
        <is>
          <t>FALKENBERG</t>
        </is>
      </c>
      <c r="H1072" t="inlineStr">
        <is>
          <t>Kommuner</t>
        </is>
      </c>
      <c r="I1072" t="n">
        <v>5.3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49403-2025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45938</v>
      </c>
      <c r="E1073" s="1" t="n">
        <v>46315</v>
      </c>
      <c r="F1073" t="inlineStr">
        <is>
          <t>HALLANDS LÄN</t>
        </is>
      </c>
      <c r="G1073" t="inlineStr">
        <is>
          <t>HALMSTAD</t>
        </is>
      </c>
      <c r="I1073" t="n">
        <v>0.9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15250-2025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45744</v>
      </c>
      <c r="E1074" s="1" t="n">
        <v>46315</v>
      </c>
      <c r="F1074" t="inlineStr">
        <is>
          <t>HALLANDS LÄN</t>
        </is>
      </c>
      <c r="G1074" t="inlineStr">
        <is>
          <t>VARBERG</t>
        </is>
      </c>
      <c r="I1074" t="n">
        <v>0.9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49200-2025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45938</v>
      </c>
      <c r="E1075" s="1" t="n">
        <v>46315</v>
      </c>
      <c r="F1075" t="inlineStr">
        <is>
          <t>HALLANDS LÄN</t>
        </is>
      </c>
      <c r="G1075" t="inlineStr">
        <is>
          <t>VARBERG</t>
        </is>
      </c>
      <c r="I1075" t="n">
        <v>1.6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49033-2025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45937</v>
      </c>
      <c r="E1076" s="1" t="n">
        <v>46315</v>
      </c>
      <c r="F1076" t="inlineStr">
        <is>
          <t>HALLANDS LÄN</t>
        </is>
      </c>
      <c r="G1076" t="inlineStr">
        <is>
          <t>FALKENBERG</t>
        </is>
      </c>
      <c r="H1076" t="inlineStr">
        <is>
          <t>Kyrkan</t>
        </is>
      </c>
      <c r="I1076" t="n">
        <v>1.6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54170-2023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45232</v>
      </c>
      <c r="E1077" s="1" t="n">
        <v>46315</v>
      </c>
      <c r="F1077" t="inlineStr">
        <is>
          <t>HALLANDS LÄN</t>
        </is>
      </c>
      <c r="G1077" t="inlineStr">
        <is>
          <t>FALKENBERG</t>
        </is>
      </c>
      <c r="I1077" t="n">
        <v>1.5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49218-2025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45938</v>
      </c>
      <c r="E1078" s="1" t="n">
        <v>46315</v>
      </c>
      <c r="F1078" t="inlineStr">
        <is>
          <t>HALLANDS LÄN</t>
        </is>
      </c>
      <c r="G1078" t="inlineStr">
        <is>
          <t>HYLTE</t>
        </is>
      </c>
      <c r="I1078" t="n">
        <v>1.1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26313-2023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45091</v>
      </c>
      <c r="E1079" s="1" t="n">
        <v>46315</v>
      </c>
      <c r="F1079" t="inlineStr">
        <is>
          <t>HALLANDS LÄN</t>
        </is>
      </c>
      <c r="G1079" t="inlineStr">
        <is>
          <t>HYLTE</t>
        </is>
      </c>
      <c r="I1079" t="n">
        <v>1.7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56451-2022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44893</v>
      </c>
      <c r="E1080" s="1" t="n">
        <v>46315</v>
      </c>
      <c r="F1080" t="inlineStr">
        <is>
          <t>HALLANDS LÄN</t>
        </is>
      </c>
      <c r="G1080" t="inlineStr">
        <is>
          <t>FALKENBERG</t>
        </is>
      </c>
      <c r="I1080" t="n">
        <v>1.1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12924-2023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45001</v>
      </c>
      <c r="E1081" s="1" t="n">
        <v>46315</v>
      </c>
      <c r="F1081" t="inlineStr">
        <is>
          <t>HALLANDS LÄN</t>
        </is>
      </c>
      <c r="G1081" t="inlineStr">
        <is>
          <t>FALKENBERG</t>
        </is>
      </c>
      <c r="I1081" t="n">
        <v>5.3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21008-2026</t>
        </is>
      </c>
      <c r="B1082" t="inlineStr">
        <is>
          <t>avverkningsanmälan</t>
        </is>
      </c>
      <c r="C1082" t="inlineStr">
        <is>
          <t>Avverkning för att bevara och utveckla /försöksver</t>
        </is>
      </c>
      <c r="D1082" s="1" t="n">
        <v>46142</v>
      </c>
      <c r="E1082" s="1" t="n">
        <v>46315</v>
      </c>
      <c r="F1082" t="inlineStr">
        <is>
          <t>HALLANDS LÄN</t>
        </is>
      </c>
      <c r="G1082" t="inlineStr">
        <is>
          <t>FALKENBERG</t>
        </is>
      </c>
      <c r="I1082" t="n">
        <v>6.1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49761-2025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45940</v>
      </c>
      <c r="E1083" s="1" t="n">
        <v>46315</v>
      </c>
      <c r="F1083" t="inlineStr">
        <is>
          <t>HALLANDS LÄN</t>
        </is>
      </c>
      <c r="G1083" t="inlineStr">
        <is>
          <t>FALKENBERG</t>
        </is>
      </c>
      <c r="I1083" t="n">
        <v>8.199999999999999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24961-2023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45085</v>
      </c>
      <c r="E1084" s="1" t="n">
        <v>46315</v>
      </c>
      <c r="F1084" t="inlineStr">
        <is>
          <t>HALLANDS LÄN</t>
        </is>
      </c>
      <c r="G1084" t="inlineStr">
        <is>
          <t>VARBERG</t>
        </is>
      </c>
      <c r="I1084" t="n">
        <v>2.5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16406-2025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45751</v>
      </c>
      <c r="E1085" s="1" t="n">
        <v>46315</v>
      </c>
      <c r="F1085" t="inlineStr">
        <is>
          <t>HALLANDS LÄN</t>
        </is>
      </c>
      <c r="G1085" t="inlineStr">
        <is>
          <t>FALKENBERG</t>
        </is>
      </c>
      <c r="I1085" t="n">
        <v>0.4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50608-2025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45944</v>
      </c>
      <c r="E1086" s="1" t="n">
        <v>46315</v>
      </c>
      <c r="F1086" t="inlineStr">
        <is>
          <t>HALLANDS LÄN</t>
        </is>
      </c>
      <c r="G1086" t="inlineStr">
        <is>
          <t>HYLTE</t>
        </is>
      </c>
      <c r="I1086" t="n">
        <v>3.4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39746-2023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45167</v>
      </c>
      <c r="E1087" s="1" t="n">
        <v>46315</v>
      </c>
      <c r="F1087" t="inlineStr">
        <is>
          <t>HALLANDS LÄN</t>
        </is>
      </c>
      <c r="G1087" t="inlineStr">
        <is>
          <t>HALMSTAD</t>
        </is>
      </c>
      <c r="H1087" t="inlineStr">
        <is>
          <t>Kommuner</t>
        </is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59119-2023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45253</v>
      </c>
      <c r="E1088" s="1" t="n">
        <v>46315</v>
      </c>
      <c r="F1088" t="inlineStr">
        <is>
          <t>HALLANDS LÄN</t>
        </is>
      </c>
      <c r="G1088" t="inlineStr">
        <is>
          <t>LAHOLM</t>
        </is>
      </c>
      <c r="I1088" t="n">
        <v>2.6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50490-2025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45945</v>
      </c>
      <c r="E1089" s="1" t="n">
        <v>46315</v>
      </c>
      <c r="F1089" t="inlineStr">
        <is>
          <t>HALLANDS LÄN</t>
        </is>
      </c>
      <c r="G1089" t="inlineStr">
        <is>
          <t>VARBERG</t>
        </is>
      </c>
      <c r="I1089" t="n">
        <v>0.7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21501-2026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46148</v>
      </c>
      <c r="E1090" s="1" t="n">
        <v>46315</v>
      </c>
      <c r="F1090" t="inlineStr">
        <is>
          <t>HALLANDS LÄN</t>
        </is>
      </c>
      <c r="G1090" t="inlineStr">
        <is>
          <t>HYLTE</t>
        </is>
      </c>
      <c r="I1090" t="n">
        <v>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50894-2025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45946</v>
      </c>
      <c r="E1091" s="1" t="n">
        <v>46315</v>
      </c>
      <c r="F1091" t="inlineStr">
        <is>
          <t>HALLANDS LÄN</t>
        </is>
      </c>
      <c r="G1091" t="inlineStr">
        <is>
          <t>FALKENBERG</t>
        </is>
      </c>
      <c r="I1091" t="n">
        <v>1.3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50905-2025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45946</v>
      </c>
      <c r="E1092" s="1" t="n">
        <v>46315</v>
      </c>
      <c r="F1092" t="inlineStr">
        <is>
          <t>HALLANDS LÄN</t>
        </is>
      </c>
      <c r="G1092" t="inlineStr">
        <is>
          <t>FALKENBERG</t>
        </is>
      </c>
      <c r="I1092" t="n">
        <v>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50909-2025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45946</v>
      </c>
      <c r="E1093" s="1" t="n">
        <v>46315</v>
      </c>
      <c r="F1093" t="inlineStr">
        <is>
          <t>HALLANDS LÄN</t>
        </is>
      </c>
      <c r="G1093" t="inlineStr">
        <is>
          <t>FALKENBERG</t>
        </is>
      </c>
      <c r="I1093" t="n">
        <v>1.6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50456-2025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45945</v>
      </c>
      <c r="E1094" s="1" t="n">
        <v>46315</v>
      </c>
      <c r="F1094" t="inlineStr">
        <is>
          <t>HALLANDS LÄN</t>
        </is>
      </c>
      <c r="G1094" t="inlineStr">
        <is>
          <t>VARBERG</t>
        </is>
      </c>
      <c r="I1094" t="n">
        <v>1.8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47668-2023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45203</v>
      </c>
      <c r="E1095" s="1" t="n">
        <v>46315</v>
      </c>
      <c r="F1095" t="inlineStr">
        <is>
          <t>HALLANDS LÄN</t>
        </is>
      </c>
      <c r="G1095" t="inlineStr">
        <is>
          <t>HALMSTAD</t>
        </is>
      </c>
      <c r="I1095" t="n">
        <v>0.5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32003-2023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45119</v>
      </c>
      <c r="E1096" s="1" t="n">
        <v>46315</v>
      </c>
      <c r="F1096" t="inlineStr">
        <is>
          <t>HALLANDS LÄN</t>
        </is>
      </c>
      <c r="G1096" t="inlineStr">
        <is>
          <t>FALKENBERG</t>
        </is>
      </c>
      <c r="I1096" t="n">
        <v>10.8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20704-2023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45058</v>
      </c>
      <c r="E1097" s="1" t="n">
        <v>46315</v>
      </c>
      <c r="F1097" t="inlineStr">
        <is>
          <t>HALLANDS LÄN</t>
        </is>
      </c>
      <c r="G1097" t="inlineStr">
        <is>
          <t>VARBERG</t>
        </is>
      </c>
      <c r="I1097" t="n">
        <v>0.7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46779-2022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44851</v>
      </c>
      <c r="E1098" s="1" t="n">
        <v>46315</v>
      </c>
      <c r="F1098" t="inlineStr">
        <is>
          <t>HALLANDS LÄN</t>
        </is>
      </c>
      <c r="G1098" t="inlineStr">
        <is>
          <t>KUNGSBACKA</t>
        </is>
      </c>
      <c r="I1098" t="n">
        <v>6.7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51512-2022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44869</v>
      </c>
      <c r="E1099" s="1" t="n">
        <v>46315</v>
      </c>
      <c r="F1099" t="inlineStr">
        <is>
          <t>HALLANDS LÄN</t>
        </is>
      </c>
      <c r="G1099" t="inlineStr">
        <is>
          <t>HYLTE</t>
        </is>
      </c>
      <c r="I1099" t="n">
        <v>1.2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50465-2025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45945</v>
      </c>
      <c r="E1100" s="1" t="n">
        <v>46315</v>
      </c>
      <c r="F1100" t="inlineStr">
        <is>
          <t>HALLANDS LÄN</t>
        </is>
      </c>
      <c r="G1100" t="inlineStr">
        <is>
          <t>VARBERG</t>
        </is>
      </c>
      <c r="I1100" t="n">
        <v>1.1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55257-2022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44882</v>
      </c>
      <c r="E1101" s="1" t="n">
        <v>46315</v>
      </c>
      <c r="F1101" t="inlineStr">
        <is>
          <t>HALLANDS LÄN</t>
        </is>
      </c>
      <c r="G1101" t="inlineStr">
        <is>
          <t>FALKENBERG</t>
        </is>
      </c>
      <c r="I1101" t="n">
        <v>0.7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27075-2023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45096</v>
      </c>
      <c r="E1102" s="1" t="n">
        <v>46315</v>
      </c>
      <c r="F1102" t="inlineStr">
        <is>
          <t>HALLANDS LÄN</t>
        </is>
      </c>
      <c r="G1102" t="inlineStr">
        <is>
          <t>HYLTE</t>
        </is>
      </c>
      <c r="I1102" t="n">
        <v>1.3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58061-2022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44900</v>
      </c>
      <c r="E1103" s="1" t="n">
        <v>46315</v>
      </c>
      <c r="F1103" t="inlineStr">
        <is>
          <t>HALLANDS LÄN</t>
        </is>
      </c>
      <c r="G1103" t="inlineStr">
        <is>
          <t>HYLTE</t>
        </is>
      </c>
      <c r="H1103" t="inlineStr">
        <is>
          <t>Bergvik skog väst AB</t>
        </is>
      </c>
      <c r="I1103" t="n">
        <v>10.7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23886-2024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45455</v>
      </c>
      <c r="E1104" s="1" t="n">
        <v>46315</v>
      </c>
      <c r="F1104" t="inlineStr">
        <is>
          <t>HALLANDS LÄN</t>
        </is>
      </c>
      <c r="G1104" t="inlineStr">
        <is>
          <t>VARBERG</t>
        </is>
      </c>
      <c r="H1104" t="inlineStr">
        <is>
          <t>Kyrkan</t>
        </is>
      </c>
      <c r="I1104" t="n">
        <v>0.4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12923-2024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45385</v>
      </c>
      <c r="E1105" s="1" t="n">
        <v>46315</v>
      </c>
      <c r="F1105" t="inlineStr">
        <is>
          <t>HALLANDS LÄN</t>
        </is>
      </c>
      <c r="G1105" t="inlineStr">
        <is>
          <t>LAHOLM</t>
        </is>
      </c>
      <c r="I1105" t="n">
        <v>5.7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51535-2025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45950</v>
      </c>
      <c r="E1106" s="1" t="n">
        <v>46315</v>
      </c>
      <c r="F1106" t="inlineStr">
        <is>
          <t>HALLANDS LÄN</t>
        </is>
      </c>
      <c r="G1106" t="inlineStr">
        <is>
          <t>FALKENBERG</t>
        </is>
      </c>
      <c r="H1106" t="inlineStr">
        <is>
          <t>Kyrkan</t>
        </is>
      </c>
      <c r="I1106" t="n">
        <v>3.3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51523-2025</t>
        </is>
      </c>
      <c r="B1107" t="inlineStr">
        <is>
          <t>avverkningsanmälan</t>
        </is>
      </c>
      <c r="C1107" t="inlineStr">
        <is>
          <t>Avverkning för annat ändamål</t>
        </is>
      </c>
      <c r="D1107" s="1" t="n">
        <v>45950</v>
      </c>
      <c r="E1107" s="1" t="n">
        <v>46315</v>
      </c>
      <c r="F1107" t="inlineStr">
        <is>
          <t>HALLANDS LÄN</t>
        </is>
      </c>
      <c r="G1107" t="inlineStr">
        <is>
          <t>KUNGSBACKA</t>
        </is>
      </c>
      <c r="I1107" t="n">
        <v>3.4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28835-2023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45104</v>
      </c>
      <c r="E1108" s="1" t="n">
        <v>46315</v>
      </c>
      <c r="F1108" t="inlineStr">
        <is>
          <t>HALLANDS LÄN</t>
        </is>
      </c>
      <c r="G1108" t="inlineStr">
        <is>
          <t>HYLTE</t>
        </is>
      </c>
      <c r="I1108" t="n">
        <v>2.8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63667-2023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45275</v>
      </c>
      <c r="E1109" s="1" t="n">
        <v>46315</v>
      </c>
      <c r="F1109" t="inlineStr">
        <is>
          <t>HALLANDS LÄN</t>
        </is>
      </c>
      <c r="G1109" t="inlineStr">
        <is>
          <t>VARBERG</t>
        </is>
      </c>
      <c r="I1109" t="n">
        <v>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45892-2025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45923</v>
      </c>
      <c r="E1110" s="1" t="n">
        <v>46315</v>
      </c>
      <c r="F1110" t="inlineStr">
        <is>
          <t>HALLANDS LÄN</t>
        </is>
      </c>
      <c r="G1110" t="inlineStr">
        <is>
          <t>KUNGSBACKA</t>
        </is>
      </c>
      <c r="I1110" t="n">
        <v>0.5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10808-2024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45369</v>
      </c>
      <c r="E1111" s="1" t="n">
        <v>46315</v>
      </c>
      <c r="F1111" t="inlineStr">
        <is>
          <t>HALLANDS LÄN</t>
        </is>
      </c>
      <c r="G1111" t="inlineStr">
        <is>
          <t>VARBERG</t>
        </is>
      </c>
      <c r="I1111" t="n">
        <v>1.4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968-2023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44935</v>
      </c>
      <c r="E1112" s="1" t="n">
        <v>46315</v>
      </c>
      <c r="F1112" t="inlineStr">
        <is>
          <t>HALLANDS LÄN</t>
        </is>
      </c>
      <c r="G1112" t="inlineStr">
        <is>
          <t>VARBERG</t>
        </is>
      </c>
      <c r="I1112" t="n">
        <v>1.8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51828-2025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45952</v>
      </c>
      <c r="E1113" s="1" t="n">
        <v>46315</v>
      </c>
      <c r="F1113" t="inlineStr">
        <is>
          <t>HALLANDS LÄN</t>
        </is>
      </c>
      <c r="G1113" t="inlineStr">
        <is>
          <t>FALKENBERG</t>
        </is>
      </c>
      <c r="I1113" t="n">
        <v>2.4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52074-2025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45952</v>
      </c>
      <c r="E1114" s="1" t="n">
        <v>46315</v>
      </c>
      <c r="F1114" t="inlineStr">
        <is>
          <t>HALLANDS LÄN</t>
        </is>
      </c>
      <c r="G1114" t="inlineStr">
        <is>
          <t>VARBERG</t>
        </is>
      </c>
      <c r="H1114" t="inlineStr">
        <is>
          <t>Kyrkan</t>
        </is>
      </c>
      <c r="I1114" t="n">
        <v>8.5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63795-2023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45278</v>
      </c>
      <c r="E1115" s="1" t="n">
        <v>46315</v>
      </c>
      <c r="F1115" t="inlineStr">
        <is>
          <t>HALLANDS LÄN</t>
        </is>
      </c>
      <c r="G1115" t="inlineStr">
        <is>
          <t>LAHOLM</t>
        </is>
      </c>
      <c r="I1115" t="n">
        <v>5.9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51668-2025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45951</v>
      </c>
      <c r="E1116" s="1" t="n">
        <v>46315</v>
      </c>
      <c r="F1116" t="inlineStr">
        <is>
          <t>HALLANDS LÄN</t>
        </is>
      </c>
      <c r="G1116" t="inlineStr">
        <is>
          <t>FALKENBERG</t>
        </is>
      </c>
      <c r="I1116" t="n">
        <v>2.2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6753-2024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45342</v>
      </c>
      <c r="E1117" s="1" t="n">
        <v>46315</v>
      </c>
      <c r="F1117" t="inlineStr">
        <is>
          <t>HALLANDS LÄN</t>
        </is>
      </c>
      <c r="G1117" t="inlineStr">
        <is>
          <t>LAHOLM</t>
        </is>
      </c>
      <c r="I1117" t="n">
        <v>1.1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6754-2024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45342</v>
      </c>
      <c r="E1118" s="1" t="n">
        <v>46315</v>
      </c>
      <c r="F1118" t="inlineStr">
        <is>
          <t>HALLANDS LÄN</t>
        </is>
      </c>
      <c r="G1118" t="inlineStr">
        <is>
          <t>LAHOLM</t>
        </is>
      </c>
      <c r="I1118" t="n">
        <v>0.6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52050-2025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45952</v>
      </c>
      <c r="E1119" s="1" t="n">
        <v>46315</v>
      </c>
      <c r="F1119" t="inlineStr">
        <is>
          <t>HALLANDS LÄN</t>
        </is>
      </c>
      <c r="G1119" t="inlineStr">
        <is>
          <t>FALKENBERG</t>
        </is>
      </c>
      <c r="I1119" t="n">
        <v>8.199999999999999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52052-2025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45952</v>
      </c>
      <c r="E1120" s="1" t="n">
        <v>46315</v>
      </c>
      <c r="F1120" t="inlineStr">
        <is>
          <t>HALLANDS LÄN</t>
        </is>
      </c>
      <c r="G1120" t="inlineStr">
        <is>
          <t>FALKENBERG</t>
        </is>
      </c>
      <c r="I1120" t="n">
        <v>6.3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52013-2025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45952</v>
      </c>
      <c r="E1121" s="1" t="n">
        <v>46315</v>
      </c>
      <c r="F1121" t="inlineStr">
        <is>
          <t>HALLANDS LÄN</t>
        </is>
      </c>
      <c r="G1121" t="inlineStr">
        <is>
          <t>HALMSTAD</t>
        </is>
      </c>
      <c r="H1121" t="inlineStr">
        <is>
          <t>Bergvik skog väst AB</t>
        </is>
      </c>
      <c r="I1121" t="n">
        <v>19.5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21460-2024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45441</v>
      </c>
      <c r="E1122" s="1" t="n">
        <v>46315</v>
      </c>
      <c r="F1122" t="inlineStr">
        <is>
          <t>HALLANDS LÄN</t>
        </is>
      </c>
      <c r="G1122" t="inlineStr">
        <is>
          <t>HYLTE</t>
        </is>
      </c>
      <c r="I1122" t="n">
        <v>1.4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21462-2024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45441</v>
      </c>
      <c r="E1123" s="1" t="n">
        <v>46315</v>
      </c>
      <c r="F1123" t="inlineStr">
        <is>
          <t>HALLANDS LÄN</t>
        </is>
      </c>
      <c r="G1123" t="inlineStr">
        <is>
          <t>HYLTE</t>
        </is>
      </c>
      <c r="I1123" t="n">
        <v>1.4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24122-2024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45456</v>
      </c>
      <c r="E1124" s="1" t="n">
        <v>46315</v>
      </c>
      <c r="F1124" t="inlineStr">
        <is>
          <t>HALLANDS LÄN</t>
        </is>
      </c>
      <c r="G1124" t="inlineStr">
        <is>
          <t>FALKENBERG</t>
        </is>
      </c>
      <c r="I1124" t="n">
        <v>1.1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52595-2025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45954</v>
      </c>
      <c r="E1125" s="1" t="n">
        <v>46315</v>
      </c>
      <c r="F1125" t="inlineStr">
        <is>
          <t>HALLANDS LÄN</t>
        </is>
      </c>
      <c r="G1125" t="inlineStr">
        <is>
          <t>VARBERG</t>
        </is>
      </c>
      <c r="H1125" t="inlineStr">
        <is>
          <t>Kyrkan</t>
        </is>
      </c>
      <c r="I1125" t="n">
        <v>3.1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4714-2023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44957</v>
      </c>
      <c r="E1126" s="1" t="n">
        <v>46315</v>
      </c>
      <c r="F1126" t="inlineStr">
        <is>
          <t>HALLANDS LÄN</t>
        </is>
      </c>
      <c r="G1126" t="inlineStr">
        <is>
          <t>FALKENBERG</t>
        </is>
      </c>
      <c r="I1126" t="n">
        <v>0.3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52178-2025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45953</v>
      </c>
      <c r="E1127" s="1" t="n">
        <v>46315</v>
      </c>
      <c r="F1127" t="inlineStr">
        <is>
          <t>HALLANDS LÄN</t>
        </is>
      </c>
      <c r="G1127" t="inlineStr">
        <is>
          <t>FALKENBERG</t>
        </is>
      </c>
      <c r="I1127" t="n">
        <v>3.6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53192-2023</t>
        </is>
      </c>
      <c r="B1128" t="inlineStr">
        <is>
          <t>avverkningsanmälan</t>
        </is>
      </c>
      <c r="C1128" t="inlineStr">
        <is>
          <t>Avverkning för att bevara och utveckla /försöksver</t>
        </is>
      </c>
      <c r="D1128" s="1" t="n">
        <v>45229</v>
      </c>
      <c r="E1128" s="1" t="n">
        <v>46315</v>
      </c>
      <c r="F1128" t="inlineStr">
        <is>
          <t>HALLANDS LÄN</t>
        </is>
      </c>
      <c r="G1128" t="inlineStr">
        <is>
          <t>HYLTE</t>
        </is>
      </c>
      <c r="I1128" t="n">
        <v>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52162-2025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45953</v>
      </c>
      <c r="E1129" s="1" t="n">
        <v>46315</v>
      </c>
      <c r="F1129" t="inlineStr">
        <is>
          <t>HALLANDS LÄN</t>
        </is>
      </c>
      <c r="G1129" t="inlineStr">
        <is>
          <t>FALKENBERG</t>
        </is>
      </c>
      <c r="I1129" t="n">
        <v>3.5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52132-2025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45952</v>
      </c>
      <c r="E1130" s="1" t="n">
        <v>46315</v>
      </c>
      <c r="F1130" t="inlineStr">
        <is>
          <t>HALLANDS LÄN</t>
        </is>
      </c>
      <c r="G1130" t="inlineStr">
        <is>
          <t>KUNGSBACKA</t>
        </is>
      </c>
      <c r="I1130" t="n">
        <v>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63609-2023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45275</v>
      </c>
      <c r="E1131" s="1" t="n">
        <v>46315</v>
      </c>
      <c r="F1131" t="inlineStr">
        <is>
          <t>HALLANDS LÄN</t>
        </is>
      </c>
      <c r="G1131" t="inlineStr">
        <is>
          <t>HALMSTAD</t>
        </is>
      </c>
      <c r="I1131" t="n">
        <v>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52428-2025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45954</v>
      </c>
      <c r="E1132" s="1" t="n">
        <v>46315</v>
      </c>
      <c r="F1132" t="inlineStr">
        <is>
          <t>HALLANDS LÄN</t>
        </is>
      </c>
      <c r="G1132" t="inlineStr">
        <is>
          <t>FALKENBERG</t>
        </is>
      </c>
      <c r="I1132" t="n">
        <v>0.8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21756-2026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46149</v>
      </c>
      <c r="E1133" s="1" t="n">
        <v>46315</v>
      </c>
      <c r="F1133" t="inlineStr">
        <is>
          <t>HALLANDS LÄN</t>
        </is>
      </c>
      <c r="G1133" t="inlineStr">
        <is>
          <t>KUNGSBACKA</t>
        </is>
      </c>
      <c r="I1133" t="n">
        <v>1.6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11961-2023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44994</v>
      </c>
      <c r="E1134" s="1" t="n">
        <v>46315</v>
      </c>
      <c r="F1134" t="inlineStr">
        <is>
          <t>HALLANDS LÄN</t>
        </is>
      </c>
      <c r="G1134" t="inlineStr">
        <is>
          <t>KUNGSBACKA</t>
        </is>
      </c>
      <c r="I1134" t="n">
        <v>1.7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21945-2026</t>
        </is>
      </c>
      <c r="B1135" t="inlineStr">
        <is>
          <t>avverkningsanmälan</t>
        </is>
      </c>
      <c r="C1135" t="inlineStr">
        <is>
          <t>Föryngringsavverkning</t>
        </is>
      </c>
      <c r="D1135" s="1" t="n">
        <v>46151</v>
      </c>
      <c r="E1135" s="1" t="n">
        <v>46315</v>
      </c>
      <c r="F1135" t="inlineStr">
        <is>
          <t>HALLANDS LÄN</t>
        </is>
      </c>
      <c r="G1135" t="inlineStr">
        <is>
          <t>LAHOLM</t>
        </is>
      </c>
      <c r="I1135" t="n">
        <v>1.7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22160-2026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46153</v>
      </c>
      <c r="E1136" s="1" t="n">
        <v>46315</v>
      </c>
      <c r="F1136" t="inlineStr">
        <is>
          <t>HALLANDS LÄN</t>
        </is>
      </c>
      <c r="G1136" t="inlineStr">
        <is>
          <t>HYLTE</t>
        </is>
      </c>
      <c r="I1136" t="n">
        <v>0.5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41786-2024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45561</v>
      </c>
      <c r="E1137" s="1" t="n">
        <v>46315</v>
      </c>
      <c r="F1137" t="inlineStr">
        <is>
          <t>HALLANDS LÄN</t>
        </is>
      </c>
      <c r="G1137" t="inlineStr">
        <is>
          <t>HALMSTAD</t>
        </is>
      </c>
      <c r="I1137" t="n">
        <v>1.3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30041-2023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45110</v>
      </c>
      <c r="E1138" s="1" t="n">
        <v>46315</v>
      </c>
      <c r="F1138" t="inlineStr">
        <is>
          <t>HALLANDS LÄN</t>
        </is>
      </c>
      <c r="G1138" t="inlineStr">
        <is>
          <t>HYLTE</t>
        </is>
      </c>
      <c r="I1138" t="n">
        <v>2.6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15028-2023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45015</v>
      </c>
      <c r="E1139" s="1" t="n">
        <v>46315</v>
      </c>
      <c r="F1139" t="inlineStr">
        <is>
          <t>HALLANDS LÄN</t>
        </is>
      </c>
      <c r="G1139" t="inlineStr">
        <is>
          <t>HALMSTAD</t>
        </is>
      </c>
      <c r="I1139" t="n">
        <v>1.1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15029-2023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45015</v>
      </c>
      <c r="E1140" s="1" t="n">
        <v>46315</v>
      </c>
      <c r="F1140" t="inlineStr">
        <is>
          <t>HALLANDS LÄN</t>
        </is>
      </c>
      <c r="G1140" t="inlineStr">
        <is>
          <t>HALMSTAD</t>
        </is>
      </c>
      <c r="I1140" t="n">
        <v>1.5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22173-2026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46153</v>
      </c>
      <c r="E1141" s="1" t="n">
        <v>46315</v>
      </c>
      <c r="F1141" t="inlineStr">
        <is>
          <t>HALLANDS LÄN</t>
        </is>
      </c>
      <c r="G1141" t="inlineStr">
        <is>
          <t>HYLTE</t>
        </is>
      </c>
      <c r="I1141" t="n">
        <v>2.3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22177-2026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46153</v>
      </c>
      <c r="E1142" s="1" t="n">
        <v>46315</v>
      </c>
      <c r="F1142" t="inlineStr">
        <is>
          <t>HALLANDS LÄN</t>
        </is>
      </c>
      <c r="G1142" t="inlineStr">
        <is>
          <t>HYLTE</t>
        </is>
      </c>
      <c r="I1142" t="n">
        <v>1.5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66311-2021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44518</v>
      </c>
      <c r="E1143" s="1" t="n">
        <v>46315</v>
      </c>
      <c r="F1143" t="inlineStr">
        <is>
          <t>HALLANDS LÄN</t>
        </is>
      </c>
      <c r="G1143" t="inlineStr">
        <is>
          <t>HALMSTAD</t>
        </is>
      </c>
      <c r="I1143" t="n">
        <v>0.6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52755-2025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45957</v>
      </c>
      <c r="E1144" s="1" t="n">
        <v>46315</v>
      </c>
      <c r="F1144" t="inlineStr">
        <is>
          <t>HALLANDS LÄN</t>
        </is>
      </c>
      <c r="G1144" t="inlineStr">
        <is>
          <t>HYLTE</t>
        </is>
      </c>
      <c r="I1144" t="n">
        <v>0.4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9417-2023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44981</v>
      </c>
      <c r="E1145" s="1" t="n">
        <v>46315</v>
      </c>
      <c r="F1145" t="inlineStr">
        <is>
          <t>HALLANDS LÄN</t>
        </is>
      </c>
      <c r="G1145" t="inlineStr">
        <is>
          <t>KUNGSBACKA</t>
        </is>
      </c>
      <c r="I1145" t="n">
        <v>0.5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22584-2023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45071</v>
      </c>
      <c r="E1146" s="1" t="n">
        <v>46315</v>
      </c>
      <c r="F1146" t="inlineStr">
        <is>
          <t>HALLANDS LÄN</t>
        </is>
      </c>
      <c r="G1146" t="inlineStr">
        <is>
          <t>LAHOLM</t>
        </is>
      </c>
      <c r="I1146" t="n">
        <v>0.5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53303-2025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45959</v>
      </c>
      <c r="E1147" s="1" t="n">
        <v>46315</v>
      </c>
      <c r="F1147" t="inlineStr">
        <is>
          <t>HALLANDS LÄN</t>
        </is>
      </c>
      <c r="G1147" t="inlineStr">
        <is>
          <t>FALKENBERG</t>
        </is>
      </c>
      <c r="I1147" t="n">
        <v>1.4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51539-2025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45950</v>
      </c>
      <c r="E1148" s="1" t="n">
        <v>46315</v>
      </c>
      <c r="F1148" t="inlineStr">
        <is>
          <t>HALLANDS LÄN</t>
        </is>
      </c>
      <c r="G1148" t="inlineStr">
        <is>
          <t>FALKENBERG</t>
        </is>
      </c>
      <c r="H1148" t="inlineStr">
        <is>
          <t>Kyrkan</t>
        </is>
      </c>
      <c r="I1148" t="n">
        <v>0.6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53579-2025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45960</v>
      </c>
      <c r="E1149" s="1" t="n">
        <v>46315</v>
      </c>
      <c r="F1149" t="inlineStr">
        <is>
          <t>HALLANDS LÄN</t>
        </is>
      </c>
      <c r="G1149" t="inlineStr">
        <is>
          <t>FALKENBERG</t>
        </is>
      </c>
      <c r="I1149" t="n">
        <v>0.6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53414-2025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45959</v>
      </c>
      <c r="E1150" s="1" t="n">
        <v>46315</v>
      </c>
      <c r="F1150" t="inlineStr">
        <is>
          <t>HALLANDS LÄN</t>
        </is>
      </c>
      <c r="G1150" t="inlineStr">
        <is>
          <t>LAHOLM</t>
        </is>
      </c>
      <c r="I1150" t="n">
        <v>2.4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53535-2025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45960</v>
      </c>
      <c r="E1151" s="1" t="n">
        <v>46315</v>
      </c>
      <c r="F1151" t="inlineStr">
        <is>
          <t>HALLANDS LÄN</t>
        </is>
      </c>
      <c r="G1151" t="inlineStr">
        <is>
          <t>VARBERG</t>
        </is>
      </c>
      <c r="I1151" t="n">
        <v>1.7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53669-2025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45960</v>
      </c>
      <c r="E1152" s="1" t="n">
        <v>46315</v>
      </c>
      <c r="F1152" t="inlineStr">
        <is>
          <t>HALLANDS LÄN</t>
        </is>
      </c>
      <c r="G1152" t="inlineStr">
        <is>
          <t>VARBERG</t>
        </is>
      </c>
      <c r="I1152" t="n">
        <v>5.8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53304-2025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45959</v>
      </c>
      <c r="E1153" s="1" t="n">
        <v>46315</v>
      </c>
      <c r="F1153" t="inlineStr">
        <is>
          <t>HALLANDS LÄN</t>
        </is>
      </c>
      <c r="G1153" t="inlineStr">
        <is>
          <t>FALKENBERG</t>
        </is>
      </c>
      <c r="I1153" t="n">
        <v>1.3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53309-2025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45959</v>
      </c>
      <c r="E1154" s="1" t="n">
        <v>46315</v>
      </c>
      <c r="F1154" t="inlineStr">
        <is>
          <t>HALLANDS LÄN</t>
        </is>
      </c>
      <c r="G1154" t="inlineStr">
        <is>
          <t>FALKENBERG</t>
        </is>
      </c>
      <c r="I1154" t="n">
        <v>1.8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53547-2025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45960</v>
      </c>
      <c r="E1155" s="1" t="n">
        <v>46315</v>
      </c>
      <c r="F1155" t="inlineStr">
        <is>
          <t>HALLANDS LÄN</t>
        </is>
      </c>
      <c r="G1155" t="inlineStr">
        <is>
          <t>VARBERG</t>
        </is>
      </c>
      <c r="I1155" t="n">
        <v>1.2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53306-2025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45959</v>
      </c>
      <c r="E1156" s="1" t="n">
        <v>46315</v>
      </c>
      <c r="F1156" t="inlineStr">
        <is>
          <t>HALLANDS LÄN</t>
        </is>
      </c>
      <c r="G1156" t="inlineStr">
        <is>
          <t>FALKENBERG</t>
        </is>
      </c>
      <c r="I1156" t="n">
        <v>0.9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16428-2025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45751</v>
      </c>
      <c r="E1157" s="1" t="n">
        <v>46315</v>
      </c>
      <c r="F1157" t="inlineStr">
        <is>
          <t>HALLANDS LÄN</t>
        </is>
      </c>
      <c r="G1157" t="inlineStr">
        <is>
          <t>HYLTE</t>
        </is>
      </c>
      <c r="H1157" t="inlineStr">
        <is>
          <t>Kyrkan</t>
        </is>
      </c>
      <c r="I1157" t="n">
        <v>3.4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53392-2025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45959</v>
      </c>
      <c r="E1158" s="1" t="n">
        <v>46315</v>
      </c>
      <c r="F1158" t="inlineStr">
        <is>
          <t>HALLANDS LÄN</t>
        </is>
      </c>
      <c r="G1158" t="inlineStr">
        <is>
          <t>HALMSTAD</t>
        </is>
      </c>
      <c r="I1158" t="n">
        <v>0.3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53487-2025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45960</v>
      </c>
      <c r="E1159" s="1" t="n">
        <v>46315</v>
      </c>
      <c r="F1159" t="inlineStr">
        <is>
          <t>HALLANDS LÄN</t>
        </is>
      </c>
      <c r="G1159" t="inlineStr">
        <is>
          <t>KUNGSBACKA</t>
        </is>
      </c>
      <c r="I1159" t="n">
        <v>2.1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53801-2025</t>
        </is>
      </c>
      <c r="B1160" t="inlineStr">
        <is>
          <t>avverkningsanmälan</t>
        </is>
      </c>
      <c r="C1160" t="inlineStr">
        <is>
          <t>Avverkning för annat ändamål</t>
        </is>
      </c>
      <c r="D1160" s="1" t="n">
        <v>45960</v>
      </c>
      <c r="E1160" s="1" t="n">
        <v>46315</v>
      </c>
      <c r="F1160" t="inlineStr">
        <is>
          <t>HALLANDS LÄN</t>
        </is>
      </c>
      <c r="G1160" t="inlineStr">
        <is>
          <t>FALKENBERG</t>
        </is>
      </c>
      <c r="I1160" t="n">
        <v>6.1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70848-2021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44538</v>
      </c>
      <c r="E1161" s="1" t="n">
        <v>46315</v>
      </c>
      <c r="F1161" t="inlineStr">
        <is>
          <t>HALLANDS LÄN</t>
        </is>
      </c>
      <c r="G1161" t="inlineStr">
        <is>
          <t>FALKENBERG</t>
        </is>
      </c>
      <c r="I1161" t="n">
        <v>0.6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17637-2025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45758</v>
      </c>
      <c r="E1162" s="1" t="n">
        <v>46315</v>
      </c>
      <c r="F1162" t="inlineStr">
        <is>
          <t>HALLANDS LÄN</t>
        </is>
      </c>
      <c r="G1162" t="inlineStr">
        <is>
          <t>HALMSTAD</t>
        </is>
      </c>
      <c r="I1162" t="n">
        <v>0.8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10664-2025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45721</v>
      </c>
      <c r="E1163" s="1" t="n">
        <v>46315</v>
      </c>
      <c r="F1163" t="inlineStr">
        <is>
          <t>HALLANDS LÄN</t>
        </is>
      </c>
      <c r="G1163" t="inlineStr">
        <is>
          <t>KUNGSBACKA</t>
        </is>
      </c>
      <c r="I1163" t="n">
        <v>15.2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54276-2025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45964</v>
      </c>
      <c r="E1164" s="1" t="n">
        <v>46315</v>
      </c>
      <c r="F1164" t="inlineStr">
        <is>
          <t>HALLANDS LÄN</t>
        </is>
      </c>
      <c r="G1164" t="inlineStr">
        <is>
          <t>FALKENBERG</t>
        </is>
      </c>
      <c r="H1164" t="inlineStr">
        <is>
          <t>Bergvik skog väst AB</t>
        </is>
      </c>
      <c r="I1164" t="n">
        <v>0.8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22156-2026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46153</v>
      </c>
      <c r="E1165" s="1" t="n">
        <v>46315</v>
      </c>
      <c r="F1165" t="inlineStr">
        <is>
          <t>HALLANDS LÄN</t>
        </is>
      </c>
      <c r="G1165" t="inlineStr">
        <is>
          <t>HYLTE</t>
        </is>
      </c>
      <c r="I1165" t="n">
        <v>1.1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22181-2026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46153</v>
      </c>
      <c r="E1166" s="1" t="n">
        <v>46315</v>
      </c>
      <c r="F1166" t="inlineStr">
        <is>
          <t>HALLANDS LÄN</t>
        </is>
      </c>
      <c r="G1166" t="inlineStr">
        <is>
          <t>HALMSTAD</t>
        </is>
      </c>
      <c r="I1166" t="n">
        <v>0.9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44090-2023</t>
        </is>
      </c>
      <c r="B1167" t="inlineStr">
        <is>
          <t>avverkningsanmälan</t>
        </is>
      </c>
      <c r="C1167" t="inlineStr">
        <is>
          <t>Föryngringsavverkning</t>
        </is>
      </c>
      <c r="D1167" s="1" t="n">
        <v>45188</v>
      </c>
      <c r="E1167" s="1" t="n">
        <v>46315</v>
      </c>
      <c r="F1167" t="inlineStr">
        <is>
          <t>HALLANDS LÄN</t>
        </is>
      </c>
      <c r="G1167" t="inlineStr">
        <is>
          <t>FALKENBERG</t>
        </is>
      </c>
      <c r="I1167" t="n">
        <v>0.5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53945-2025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45961</v>
      </c>
      <c r="E1168" s="1" t="n">
        <v>46315</v>
      </c>
      <c r="F1168" t="inlineStr">
        <is>
          <t>HALLANDS LÄN</t>
        </is>
      </c>
      <c r="G1168" t="inlineStr">
        <is>
          <t>HYLTE</t>
        </is>
      </c>
      <c r="I1168" t="n">
        <v>1.9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3446-2023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44949</v>
      </c>
      <c r="E1169" s="1" t="n">
        <v>46315</v>
      </c>
      <c r="F1169" t="inlineStr">
        <is>
          <t>HALLANDS LÄN</t>
        </is>
      </c>
      <c r="G1169" t="inlineStr">
        <is>
          <t>LAHOLM</t>
        </is>
      </c>
      <c r="I1169" t="n">
        <v>1.5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59766-2023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45257</v>
      </c>
      <c r="E1170" s="1" t="n">
        <v>46315</v>
      </c>
      <c r="F1170" t="inlineStr">
        <is>
          <t>HALLANDS LÄN</t>
        </is>
      </c>
      <c r="G1170" t="inlineStr">
        <is>
          <t>HALMSTAD</t>
        </is>
      </c>
      <c r="I1170" t="n">
        <v>3.5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8388-2025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45709</v>
      </c>
      <c r="E1171" s="1" t="n">
        <v>46315</v>
      </c>
      <c r="F1171" t="inlineStr">
        <is>
          <t>HALLANDS LÄN</t>
        </is>
      </c>
      <c r="G1171" t="inlineStr">
        <is>
          <t>HYLTE</t>
        </is>
      </c>
      <c r="I1171" t="n">
        <v>2.4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6508-2023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44966</v>
      </c>
      <c r="E1172" s="1" t="n">
        <v>46315</v>
      </c>
      <c r="F1172" t="inlineStr">
        <is>
          <t>HALLANDS LÄN</t>
        </is>
      </c>
      <c r="G1172" t="inlineStr">
        <is>
          <t>FALKENBERG</t>
        </is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53939-2025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45961</v>
      </c>
      <c r="E1173" s="1" t="n">
        <v>46315</v>
      </c>
      <c r="F1173" t="inlineStr">
        <is>
          <t>HALLANDS LÄN</t>
        </is>
      </c>
      <c r="G1173" t="inlineStr">
        <is>
          <t>HYLTE</t>
        </is>
      </c>
      <c r="I1173" t="n">
        <v>3.1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22158-2026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46153</v>
      </c>
      <c r="E1174" s="1" t="n">
        <v>46315</v>
      </c>
      <c r="F1174" t="inlineStr">
        <is>
          <t>HALLANDS LÄN</t>
        </is>
      </c>
      <c r="G1174" t="inlineStr">
        <is>
          <t>HYLTE</t>
        </is>
      </c>
      <c r="I1174" t="n">
        <v>0.7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22157-2026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46153</v>
      </c>
      <c r="E1175" s="1" t="n">
        <v>46315</v>
      </c>
      <c r="F1175" t="inlineStr">
        <is>
          <t>HALLANDS LÄN</t>
        </is>
      </c>
      <c r="G1175" t="inlineStr">
        <is>
          <t>HYLTE</t>
        </is>
      </c>
      <c r="I1175" t="n">
        <v>0.8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22164-2026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46153</v>
      </c>
      <c r="E1176" s="1" t="n">
        <v>46315</v>
      </c>
      <c r="F1176" t="inlineStr">
        <is>
          <t>HALLANDS LÄN</t>
        </is>
      </c>
      <c r="G1176" t="inlineStr">
        <is>
          <t>HYLTE</t>
        </is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40562-2023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45170</v>
      </c>
      <c r="E1177" s="1" t="n">
        <v>46315</v>
      </c>
      <c r="F1177" t="inlineStr">
        <is>
          <t>HALLANDS LÄN</t>
        </is>
      </c>
      <c r="G1177" t="inlineStr">
        <is>
          <t>HYLTE</t>
        </is>
      </c>
      <c r="I1177" t="n">
        <v>0.6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62142-2024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45656</v>
      </c>
      <c r="E1178" s="1" t="n">
        <v>46315</v>
      </c>
      <c r="F1178" t="inlineStr">
        <is>
          <t>HALLANDS LÄN</t>
        </is>
      </c>
      <c r="G1178" t="inlineStr">
        <is>
          <t>KUNGSBACKA</t>
        </is>
      </c>
      <c r="I1178" t="n">
        <v>0.5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62143-2024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45656</v>
      </c>
      <c r="E1179" s="1" t="n">
        <v>46315</v>
      </c>
      <c r="F1179" t="inlineStr">
        <is>
          <t>HALLANDS LÄN</t>
        </is>
      </c>
      <c r="G1179" t="inlineStr">
        <is>
          <t>KUNGSBACKA</t>
        </is>
      </c>
      <c r="I1179" t="n">
        <v>0.6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920-2026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46030</v>
      </c>
      <c r="E1180" s="1" t="n">
        <v>46315</v>
      </c>
      <c r="F1180" t="inlineStr">
        <is>
          <t>HALLANDS LÄN</t>
        </is>
      </c>
      <c r="G1180" t="inlineStr">
        <is>
          <t>LAHOLM</t>
        </is>
      </c>
      <c r="I1180" t="n">
        <v>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15198-2026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46105</v>
      </c>
      <c r="E1181" s="1" t="n">
        <v>46315</v>
      </c>
      <c r="F1181" t="inlineStr">
        <is>
          <t>HALLANDS LÄN</t>
        </is>
      </c>
      <c r="G1181" t="inlineStr">
        <is>
          <t>HALMSTAD</t>
        </is>
      </c>
      <c r="I1181" t="n">
        <v>6.3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22158-2023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45069</v>
      </c>
      <c r="E1182" s="1" t="n">
        <v>46315</v>
      </c>
      <c r="F1182" t="inlineStr">
        <is>
          <t>HALLANDS LÄN</t>
        </is>
      </c>
      <c r="G1182" t="inlineStr">
        <is>
          <t>LAHOLM</t>
        </is>
      </c>
      <c r="I1182" t="n">
        <v>1.6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22470-2026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46155</v>
      </c>
      <c r="E1183" s="1" t="n">
        <v>46315</v>
      </c>
      <c r="F1183" t="inlineStr">
        <is>
          <t>HALLANDS LÄN</t>
        </is>
      </c>
      <c r="G1183" t="inlineStr">
        <is>
          <t>HYLTE</t>
        </is>
      </c>
      <c r="I1183" t="n">
        <v>2.4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45420-2025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45922</v>
      </c>
      <c r="E1184" s="1" t="n">
        <v>46315</v>
      </c>
      <c r="F1184" t="inlineStr">
        <is>
          <t>HALLANDS LÄN</t>
        </is>
      </c>
      <c r="G1184" t="inlineStr">
        <is>
          <t>HYLTE</t>
        </is>
      </c>
      <c r="I1184" t="n">
        <v>1.1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53887-2025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45961</v>
      </c>
      <c r="E1185" s="1" t="n">
        <v>46315</v>
      </c>
      <c r="F1185" t="inlineStr">
        <is>
          <t>HALLANDS LÄN</t>
        </is>
      </c>
      <c r="G1185" t="inlineStr">
        <is>
          <t>FALKENBERG</t>
        </is>
      </c>
      <c r="I1185" t="n">
        <v>0.8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7877-2024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45350</v>
      </c>
      <c r="E1186" s="1" t="n">
        <v>46315</v>
      </c>
      <c r="F1186" t="inlineStr">
        <is>
          <t>HALLANDS LÄN</t>
        </is>
      </c>
      <c r="G1186" t="inlineStr">
        <is>
          <t>FALKENBERG</t>
        </is>
      </c>
      <c r="I1186" t="n">
        <v>0.5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8709-2024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45356</v>
      </c>
      <c r="E1187" s="1" t="n">
        <v>46315</v>
      </c>
      <c r="F1187" t="inlineStr">
        <is>
          <t>HALLANDS LÄN</t>
        </is>
      </c>
      <c r="G1187" t="inlineStr">
        <is>
          <t>HALMSTAD</t>
        </is>
      </c>
      <c r="I1187" t="n">
        <v>3.7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37875-2025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45881</v>
      </c>
      <c r="E1188" s="1" t="n">
        <v>46315</v>
      </c>
      <c r="F1188" t="inlineStr">
        <is>
          <t>HALLANDS LÄN</t>
        </is>
      </c>
      <c r="G1188" t="inlineStr">
        <is>
          <t>VARBERG</t>
        </is>
      </c>
      <c r="I1188" t="n">
        <v>5.7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58533-2024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45635</v>
      </c>
      <c r="E1189" s="1" t="n">
        <v>46315</v>
      </c>
      <c r="F1189" t="inlineStr">
        <is>
          <t>HALLANDS LÄN</t>
        </is>
      </c>
      <c r="G1189" t="inlineStr">
        <is>
          <t>FALKENBERG</t>
        </is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64404-2023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45280</v>
      </c>
      <c r="E1190" s="1" t="n">
        <v>46315</v>
      </c>
      <c r="F1190" t="inlineStr">
        <is>
          <t>HALLANDS LÄN</t>
        </is>
      </c>
      <c r="G1190" t="inlineStr">
        <is>
          <t>FALKENBERG</t>
        </is>
      </c>
      <c r="I1190" t="n">
        <v>0.7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54583-2025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45965</v>
      </c>
      <c r="E1191" s="1" t="n">
        <v>46315</v>
      </c>
      <c r="F1191" t="inlineStr">
        <is>
          <t>HALLANDS LÄN</t>
        </is>
      </c>
      <c r="G1191" t="inlineStr">
        <is>
          <t>FALKENBERG</t>
        </is>
      </c>
      <c r="I1191" t="n">
        <v>1.8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54371-2025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45965</v>
      </c>
      <c r="E1192" s="1" t="n">
        <v>46315</v>
      </c>
      <c r="F1192" t="inlineStr">
        <is>
          <t>HALLANDS LÄN</t>
        </is>
      </c>
      <c r="G1192" t="inlineStr">
        <is>
          <t>LAHOLM</t>
        </is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54443-2025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45965</v>
      </c>
      <c r="E1193" s="1" t="n">
        <v>46315</v>
      </c>
      <c r="F1193" t="inlineStr">
        <is>
          <t>HALLANDS LÄN</t>
        </is>
      </c>
      <c r="G1193" t="inlineStr">
        <is>
          <t>FALKENBERG</t>
        </is>
      </c>
      <c r="I1193" t="n">
        <v>1.5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54461-2025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45965</v>
      </c>
      <c r="E1194" s="1" t="n">
        <v>46315</v>
      </c>
      <c r="F1194" t="inlineStr">
        <is>
          <t>HALLANDS LÄN</t>
        </is>
      </c>
      <c r="G1194" t="inlineStr">
        <is>
          <t>FALKENBERG</t>
        </is>
      </c>
      <c r="I1194" t="n">
        <v>1.8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5994-2024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45336</v>
      </c>
      <c r="E1195" s="1" t="n">
        <v>46315</v>
      </c>
      <c r="F1195" t="inlineStr">
        <is>
          <t>HALLANDS LÄN</t>
        </is>
      </c>
      <c r="G1195" t="inlineStr">
        <is>
          <t>VARBERG</t>
        </is>
      </c>
      <c r="I1195" t="n">
        <v>3.7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48200-2025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45933</v>
      </c>
      <c r="E1196" s="1" t="n">
        <v>46315</v>
      </c>
      <c r="F1196" t="inlineStr">
        <is>
          <t>HALLANDS LÄN</t>
        </is>
      </c>
      <c r="G1196" t="inlineStr">
        <is>
          <t>FALKENBERG</t>
        </is>
      </c>
      <c r="I1196" t="n">
        <v>2.3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72470-2021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44545</v>
      </c>
      <c r="E1197" s="1" t="n">
        <v>46315</v>
      </c>
      <c r="F1197" t="inlineStr">
        <is>
          <t>HALLANDS LÄN</t>
        </is>
      </c>
      <c r="G1197" t="inlineStr">
        <is>
          <t>FALKENBERG</t>
        </is>
      </c>
      <c r="I1197" t="n">
        <v>3.3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2394-2024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45310</v>
      </c>
      <c r="E1198" s="1" t="n">
        <v>46315</v>
      </c>
      <c r="F1198" t="inlineStr">
        <is>
          <t>HALLANDS LÄN</t>
        </is>
      </c>
      <c r="G1198" t="inlineStr">
        <is>
          <t>HYLTE</t>
        </is>
      </c>
      <c r="I1198" t="n">
        <v>0.5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53478-2025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45959</v>
      </c>
      <c r="E1199" s="1" t="n">
        <v>46315</v>
      </c>
      <c r="F1199" t="inlineStr">
        <is>
          <t>HALLANDS LÄN</t>
        </is>
      </c>
      <c r="G1199" t="inlineStr">
        <is>
          <t>FALKENBERG</t>
        </is>
      </c>
      <c r="I1199" t="n">
        <v>1.2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34473-2023</t>
        </is>
      </c>
      <c r="B1200" t="inlineStr">
        <is>
          <t>avverkningsanmälan</t>
        </is>
      </c>
      <c r="C1200" t="inlineStr">
        <is>
          <t>Föryngringsavverkning</t>
        </is>
      </c>
      <c r="D1200" s="1" t="n">
        <v>45139</v>
      </c>
      <c r="E1200" s="1" t="n">
        <v>46315</v>
      </c>
      <c r="F1200" t="inlineStr">
        <is>
          <t>HALLANDS LÄN</t>
        </is>
      </c>
      <c r="G1200" t="inlineStr">
        <is>
          <t>LAHOLM</t>
        </is>
      </c>
      <c r="I1200" t="n">
        <v>1.4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53411-2025</t>
        </is>
      </c>
      <c r="B1201" t="inlineStr">
        <is>
          <t>avverkningsanmälan</t>
        </is>
      </c>
      <c r="C1201" t="inlineStr">
        <is>
          <t>Föryngringsavverkning</t>
        </is>
      </c>
      <c r="D1201" s="1" t="n">
        <v>45959</v>
      </c>
      <c r="E1201" s="1" t="n">
        <v>46315</v>
      </c>
      <c r="F1201" t="inlineStr">
        <is>
          <t>HALLANDS LÄN</t>
        </is>
      </c>
      <c r="G1201" t="inlineStr">
        <is>
          <t>FALKENBERG</t>
        </is>
      </c>
      <c r="I1201" t="n">
        <v>0.9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4919-2024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45329</v>
      </c>
      <c r="E1202" s="1" t="n">
        <v>46315</v>
      </c>
      <c r="F1202" t="inlineStr">
        <is>
          <t>HALLANDS LÄN</t>
        </is>
      </c>
      <c r="G1202" t="inlineStr">
        <is>
          <t>KUNGSBACKA</t>
        </is>
      </c>
      <c r="I1202" t="n">
        <v>1.6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A 17293-2025</t>
        </is>
      </c>
      <c r="B1203" t="inlineStr">
        <is>
          <t>avverkningsanmälan</t>
        </is>
      </c>
      <c r="C1203" t="inlineStr">
        <is>
          <t>Avverkning för annat ändamål</t>
        </is>
      </c>
      <c r="D1203" s="1" t="n">
        <v>45756</v>
      </c>
      <c r="E1203" s="1" t="n">
        <v>46315</v>
      </c>
      <c r="F1203" t="inlineStr">
        <is>
          <t>HALLANDS LÄN</t>
        </is>
      </c>
      <c r="G1203" t="inlineStr">
        <is>
          <t>KUNGSBACKA</t>
        </is>
      </c>
      <c r="I1203" t="n">
        <v>0.6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A 54581-2025</t>
        </is>
      </c>
      <c r="B1204" t="inlineStr">
        <is>
          <t>avverkningsanmälan</t>
        </is>
      </c>
      <c r="C1204" t="inlineStr">
        <is>
          <t>Föryngringsavverkning</t>
        </is>
      </c>
      <c r="D1204" s="1" t="n">
        <v>45965</v>
      </c>
      <c r="E1204" s="1" t="n">
        <v>46315</v>
      </c>
      <c r="F1204" t="inlineStr">
        <is>
          <t>HALLANDS LÄN</t>
        </is>
      </c>
      <c r="G1204" t="inlineStr">
        <is>
          <t>FALKENBERG</t>
        </is>
      </c>
      <c r="I1204" t="n">
        <v>0.5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A 16887-2025</t>
        </is>
      </c>
      <c r="B1205" t="inlineStr">
        <is>
          <t>avverkningsanmälan</t>
        </is>
      </c>
      <c r="C1205" t="inlineStr">
        <is>
          <t>Föryngringsavverkning</t>
        </is>
      </c>
      <c r="D1205" s="1" t="n">
        <v>45755</v>
      </c>
      <c r="E1205" s="1" t="n">
        <v>46315</v>
      </c>
      <c r="F1205" t="inlineStr">
        <is>
          <t>HALLANDS LÄN</t>
        </is>
      </c>
      <c r="G1205" t="inlineStr">
        <is>
          <t>KUNGSBACKA</t>
        </is>
      </c>
      <c r="H1205" t="inlineStr">
        <is>
          <t>Övriga Aktiebolag</t>
        </is>
      </c>
      <c r="I1205" t="n">
        <v>3.5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A 54434-2025</t>
        </is>
      </c>
      <c r="B1206" t="inlineStr">
        <is>
          <t>avverkningsanmälan</t>
        </is>
      </c>
      <c r="C1206" t="inlineStr">
        <is>
          <t>Föryngringsavverkning</t>
        </is>
      </c>
      <c r="D1206" s="1" t="n">
        <v>45965</v>
      </c>
      <c r="E1206" s="1" t="n">
        <v>46315</v>
      </c>
      <c r="F1206" t="inlineStr">
        <is>
          <t>HALLANDS LÄN</t>
        </is>
      </c>
      <c r="G1206" t="inlineStr">
        <is>
          <t>FALKENBERG</t>
        </is>
      </c>
      <c r="I1206" t="n">
        <v>2.8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A 54439-2025</t>
        </is>
      </c>
      <c r="B1207" t="inlineStr">
        <is>
          <t>avverkningsanmälan</t>
        </is>
      </c>
      <c r="C1207" t="inlineStr">
        <is>
          <t>Föryngringsavverkning</t>
        </is>
      </c>
      <c r="D1207" s="1" t="n">
        <v>45965</v>
      </c>
      <c r="E1207" s="1" t="n">
        <v>46315</v>
      </c>
      <c r="F1207" t="inlineStr">
        <is>
          <t>HALLANDS LÄN</t>
        </is>
      </c>
      <c r="G1207" t="inlineStr">
        <is>
          <t>FALKENBERG</t>
        </is>
      </c>
      <c r="I1207" t="n">
        <v>2.1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A 61976-2024</t>
        </is>
      </c>
      <c r="B1208" t="inlineStr">
        <is>
          <t>avverkningsanmälan</t>
        </is>
      </c>
      <c r="C1208" t="inlineStr">
        <is>
          <t>Föryngringsavverkning</t>
        </is>
      </c>
      <c r="D1208" s="1" t="n">
        <v>45653</v>
      </c>
      <c r="E1208" s="1" t="n">
        <v>46315</v>
      </c>
      <c r="F1208" t="inlineStr">
        <is>
          <t>HALLANDS LÄN</t>
        </is>
      </c>
      <c r="G1208" t="inlineStr">
        <is>
          <t>KUNGSBACKA</t>
        </is>
      </c>
      <c r="I1208" t="n">
        <v>0.1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A 54365-2025</t>
        </is>
      </c>
      <c r="B1209" t="inlineStr">
        <is>
          <t>avverkningsanmälan</t>
        </is>
      </c>
      <c r="C1209" t="inlineStr">
        <is>
          <t>Föryngringsavverkning</t>
        </is>
      </c>
      <c r="D1209" s="1" t="n">
        <v>45965</v>
      </c>
      <c r="E1209" s="1" t="n">
        <v>46315</v>
      </c>
      <c r="F1209" t="inlineStr">
        <is>
          <t>HALLANDS LÄN</t>
        </is>
      </c>
      <c r="G1209" t="inlineStr">
        <is>
          <t>FALKENBERG</t>
        </is>
      </c>
      <c r="I1209" t="n">
        <v>5.6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A 55272-2025</t>
        </is>
      </c>
      <c r="B1210" t="inlineStr">
        <is>
          <t>avverkningsanmälan</t>
        </is>
      </c>
      <c r="C1210" t="inlineStr">
        <is>
          <t>Avverkning för annat ändamål</t>
        </is>
      </c>
      <c r="D1210" s="1" t="n">
        <v>45968</v>
      </c>
      <c r="E1210" s="1" t="n">
        <v>46315</v>
      </c>
      <c r="F1210" t="inlineStr">
        <is>
          <t>HALLANDS LÄN</t>
        </is>
      </c>
      <c r="G1210" t="inlineStr">
        <is>
          <t>KUNGSBACKA</t>
        </is>
      </c>
      <c r="I1210" t="n">
        <v>2.3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A 55050-2025</t>
        </is>
      </c>
      <c r="B1211" t="inlineStr">
        <is>
          <t>avverkningsanmälan</t>
        </is>
      </c>
      <c r="C1211" t="inlineStr">
        <is>
          <t>Föryngringsavverkning</t>
        </is>
      </c>
      <c r="D1211" s="1" t="n">
        <v>45967</v>
      </c>
      <c r="E1211" s="1" t="n">
        <v>46315</v>
      </c>
      <c r="F1211" t="inlineStr">
        <is>
          <t>HALLANDS LÄN</t>
        </is>
      </c>
      <c r="G1211" t="inlineStr">
        <is>
          <t>HALMSTAD</t>
        </is>
      </c>
      <c r="H1211" t="inlineStr">
        <is>
          <t>Kyrkan</t>
        </is>
      </c>
      <c r="I1211" t="n">
        <v>10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A 5800-2025</t>
        </is>
      </c>
      <c r="B1212" t="inlineStr">
        <is>
          <t>avverkningsanmälan</t>
        </is>
      </c>
      <c r="C1212" t="inlineStr">
        <is>
          <t>Föryngringsavverkning</t>
        </is>
      </c>
      <c r="D1212" s="1" t="n">
        <v>45694</v>
      </c>
      <c r="E1212" s="1" t="n">
        <v>46315</v>
      </c>
      <c r="F1212" t="inlineStr">
        <is>
          <t>HALLANDS LÄN</t>
        </is>
      </c>
      <c r="G1212" t="inlineStr">
        <is>
          <t>HYLTE</t>
        </is>
      </c>
      <c r="I1212" t="n">
        <v>1.9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A 49889-2024</t>
        </is>
      </c>
      <c r="B1213" t="inlineStr">
        <is>
          <t>avverkningsanmälan</t>
        </is>
      </c>
      <c r="C1213" t="inlineStr">
        <is>
          <t>Föryngringsavverkning</t>
        </is>
      </c>
      <c r="D1213" s="1" t="n">
        <v>45597</v>
      </c>
      <c r="E1213" s="1" t="n">
        <v>46315</v>
      </c>
      <c r="F1213" t="inlineStr">
        <is>
          <t>HALLANDS LÄN</t>
        </is>
      </c>
      <c r="G1213" t="inlineStr">
        <is>
          <t>FALKENBERG</t>
        </is>
      </c>
      <c r="H1213" t="inlineStr">
        <is>
          <t>Kyrkan</t>
        </is>
      </c>
      <c r="I1213" t="n">
        <v>5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A 31568-2023</t>
        </is>
      </c>
      <c r="B1214" t="inlineStr">
        <is>
          <t>avverkningsanmälan</t>
        </is>
      </c>
      <c r="C1214" t="inlineStr">
        <is>
          <t>Föryngringsavverkning</t>
        </is>
      </c>
      <c r="D1214" s="1" t="n">
        <v>45117</v>
      </c>
      <c r="E1214" s="1" t="n">
        <v>46315</v>
      </c>
      <c r="F1214" t="inlineStr">
        <is>
          <t>HALLANDS LÄN</t>
        </is>
      </c>
      <c r="G1214" t="inlineStr">
        <is>
          <t>FALKENBERG</t>
        </is>
      </c>
      <c r="I1214" t="n">
        <v>0.4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A 55141-2025</t>
        </is>
      </c>
      <c r="B1215" t="inlineStr">
        <is>
          <t>avverkningsanmälan</t>
        </is>
      </c>
      <c r="C1215" t="inlineStr">
        <is>
          <t>Avverkning för annat ändamål</t>
        </is>
      </c>
      <c r="D1215" s="1" t="n">
        <v>45968</v>
      </c>
      <c r="E1215" s="1" t="n">
        <v>46315</v>
      </c>
      <c r="F1215" t="inlineStr">
        <is>
          <t>HALLANDS LÄN</t>
        </is>
      </c>
      <c r="G1215" t="inlineStr">
        <is>
          <t>FALKENBERG</t>
        </is>
      </c>
      <c r="I1215" t="n">
        <v>2.8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A 57562-2022</t>
        </is>
      </c>
      <c r="B1216" t="inlineStr">
        <is>
          <t>avverkningsanmälan</t>
        </is>
      </c>
      <c r="C1216" t="inlineStr">
        <is>
          <t>Föryngringsavverkning</t>
        </is>
      </c>
      <c r="D1216" s="1" t="n">
        <v>44896</v>
      </c>
      <c r="E1216" s="1" t="n">
        <v>46315</v>
      </c>
      <c r="F1216" t="inlineStr">
        <is>
          <t>HALLANDS LÄN</t>
        </is>
      </c>
      <c r="G1216" t="inlineStr">
        <is>
          <t>VARBERG</t>
        </is>
      </c>
      <c r="I1216" t="n">
        <v>4.5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A 7124-2024</t>
        </is>
      </c>
      <c r="B1217" t="inlineStr">
        <is>
          <t>avverkningsanmälan</t>
        </is>
      </c>
      <c r="C1217" t="inlineStr">
        <is>
          <t>Föryngringsavverkning</t>
        </is>
      </c>
      <c r="D1217" s="1" t="n">
        <v>45344</v>
      </c>
      <c r="E1217" s="1" t="n">
        <v>46315</v>
      </c>
      <c r="F1217" t="inlineStr">
        <is>
          <t>HALLANDS LÄN</t>
        </is>
      </c>
      <c r="G1217" t="inlineStr">
        <is>
          <t>VARBERG</t>
        </is>
      </c>
      <c r="I1217" t="n">
        <v>2.7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A 16125-2024</t>
        </is>
      </c>
      <c r="B1218" t="inlineStr">
        <is>
          <t>avverkningsanmälan</t>
        </is>
      </c>
      <c r="C1218" t="inlineStr">
        <is>
          <t>Föryngringsavverkning</t>
        </is>
      </c>
      <c r="D1218" s="1" t="n">
        <v>45406</v>
      </c>
      <c r="E1218" s="1" t="n">
        <v>46315</v>
      </c>
      <c r="F1218" t="inlineStr">
        <is>
          <t>HALLANDS LÄN</t>
        </is>
      </c>
      <c r="G1218" t="inlineStr">
        <is>
          <t>HYLTE</t>
        </is>
      </c>
      <c r="I1218" t="n">
        <v>5.4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A 55312-2023</t>
        </is>
      </c>
      <c r="B1219" t="inlineStr">
        <is>
          <t>avverkningsanmälan</t>
        </is>
      </c>
      <c r="C1219" t="inlineStr">
        <is>
          <t>Föryngringsavverkning</t>
        </is>
      </c>
      <c r="D1219" s="1" t="n">
        <v>45237</v>
      </c>
      <c r="E1219" s="1" t="n">
        <v>46315</v>
      </c>
      <c r="F1219" t="inlineStr">
        <is>
          <t>HALLANDS LÄN</t>
        </is>
      </c>
      <c r="G1219" t="inlineStr">
        <is>
          <t>LAHOLM</t>
        </is>
      </c>
      <c r="I1219" t="n">
        <v>1.1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A 55107-2025</t>
        </is>
      </c>
      <c r="B1220" t="inlineStr">
        <is>
          <t>avverkningsanmälan</t>
        </is>
      </c>
      <c r="C1220" t="inlineStr">
        <is>
          <t>Föryngringsavverkning</t>
        </is>
      </c>
      <c r="D1220" s="1" t="n">
        <v>45968</v>
      </c>
      <c r="E1220" s="1" t="n">
        <v>46315</v>
      </c>
      <c r="F1220" t="inlineStr">
        <is>
          <t>HALLANDS LÄN</t>
        </is>
      </c>
      <c r="G1220" t="inlineStr">
        <is>
          <t>FALKENBERG</t>
        </is>
      </c>
      <c r="I1220" t="n">
        <v>0.8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A 59429-2021</t>
        </is>
      </c>
      <c r="B1221" t="inlineStr">
        <is>
          <t>avverkningsanmälan</t>
        </is>
      </c>
      <c r="C1221" t="inlineStr">
        <is>
          <t>Föryngringsavverkning</t>
        </is>
      </c>
      <c r="D1221" s="1" t="n">
        <v>44491</v>
      </c>
      <c r="E1221" s="1" t="n">
        <v>46315</v>
      </c>
      <c r="F1221" t="inlineStr">
        <is>
          <t>HALLANDS LÄN</t>
        </is>
      </c>
      <c r="G1221" t="inlineStr">
        <is>
          <t>LAHOLM</t>
        </is>
      </c>
      <c r="I1221" t="n">
        <v>1.9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A 6909-2023</t>
        </is>
      </c>
      <c r="B1222" t="inlineStr">
        <is>
          <t>avverkningsanmälan</t>
        </is>
      </c>
      <c r="C1222" t="inlineStr">
        <is>
          <t>Föryngringsavverkning</t>
        </is>
      </c>
      <c r="D1222" s="1" t="n">
        <v>44967</v>
      </c>
      <c r="E1222" s="1" t="n">
        <v>46315</v>
      </c>
      <c r="F1222" t="inlineStr">
        <is>
          <t>HALLANDS LÄN</t>
        </is>
      </c>
      <c r="G1222" t="inlineStr">
        <is>
          <t>HYLTE</t>
        </is>
      </c>
      <c r="I1222" t="n">
        <v>1.4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A 55643-2025</t>
        </is>
      </c>
      <c r="B1223" t="inlineStr">
        <is>
          <t>avverkningsanmälan</t>
        </is>
      </c>
      <c r="C1223" t="inlineStr">
        <is>
          <t>Föryngringsavverkning</t>
        </is>
      </c>
      <c r="D1223" s="1" t="n">
        <v>45972</v>
      </c>
      <c r="E1223" s="1" t="n">
        <v>46315</v>
      </c>
      <c r="F1223" t="inlineStr">
        <is>
          <t>HALLANDS LÄN</t>
        </is>
      </c>
      <c r="G1223" t="inlineStr">
        <is>
          <t>HYLTE</t>
        </is>
      </c>
      <c r="I1223" t="n">
        <v>1.2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A 55695-2025</t>
        </is>
      </c>
      <c r="B1224" t="inlineStr">
        <is>
          <t>avverkningsanmälan</t>
        </is>
      </c>
      <c r="C1224" t="inlineStr">
        <is>
          <t>Föryngringsavverkning</t>
        </is>
      </c>
      <c r="D1224" s="1" t="n">
        <v>45972</v>
      </c>
      <c r="E1224" s="1" t="n">
        <v>46315</v>
      </c>
      <c r="F1224" t="inlineStr">
        <is>
          <t>HALLANDS LÄN</t>
        </is>
      </c>
      <c r="G1224" t="inlineStr">
        <is>
          <t>HYLTE</t>
        </is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A 55354-2025</t>
        </is>
      </c>
      <c r="B1225" t="inlineStr">
        <is>
          <t>avverkningsanmälan</t>
        </is>
      </c>
      <c r="C1225" t="inlineStr">
        <is>
          <t>Föryngringsavverkning</t>
        </is>
      </c>
      <c r="D1225" s="1" t="n">
        <v>45971</v>
      </c>
      <c r="E1225" s="1" t="n">
        <v>46315</v>
      </c>
      <c r="F1225" t="inlineStr">
        <is>
          <t>HALLANDS LÄN</t>
        </is>
      </c>
      <c r="G1225" t="inlineStr">
        <is>
          <t>LAHOLM</t>
        </is>
      </c>
      <c r="I1225" t="n">
        <v>1.8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A 32505-2023</t>
        </is>
      </c>
      <c r="B1226" t="inlineStr">
        <is>
          <t>avverkningsanmälan</t>
        </is>
      </c>
      <c r="C1226" t="inlineStr">
        <is>
          <t>Föryngringsavverkning</t>
        </is>
      </c>
      <c r="D1226" s="1" t="n">
        <v>45110</v>
      </c>
      <c r="E1226" s="1" t="n">
        <v>46315</v>
      </c>
      <c r="F1226" t="inlineStr">
        <is>
          <t>HALLANDS LÄN</t>
        </is>
      </c>
      <c r="G1226" t="inlineStr">
        <is>
          <t>HYLTE</t>
        </is>
      </c>
      <c r="I1226" t="n">
        <v>4.2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A 55319-2025</t>
        </is>
      </c>
      <c r="B1227" t="inlineStr">
        <is>
          <t>avverkningsanmälan</t>
        </is>
      </c>
      <c r="C1227" t="inlineStr">
        <is>
          <t>Föryngringsavverkning</t>
        </is>
      </c>
      <c r="D1227" s="1" t="n">
        <v>45971</v>
      </c>
      <c r="E1227" s="1" t="n">
        <v>46315</v>
      </c>
      <c r="F1227" t="inlineStr">
        <is>
          <t>HALLANDS LÄN</t>
        </is>
      </c>
      <c r="G1227" t="inlineStr">
        <is>
          <t>VARBERG</t>
        </is>
      </c>
      <c r="I1227" t="n">
        <v>1.1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A 55535-2025</t>
        </is>
      </c>
      <c r="B1228" t="inlineStr">
        <is>
          <t>avverkningsanmälan</t>
        </is>
      </c>
      <c r="C1228" t="inlineStr">
        <is>
          <t>Föryngringsavverkning</t>
        </is>
      </c>
      <c r="D1228" s="1" t="n">
        <v>45971</v>
      </c>
      <c r="E1228" s="1" t="n">
        <v>46315</v>
      </c>
      <c r="F1228" t="inlineStr">
        <is>
          <t>HALLANDS LÄN</t>
        </is>
      </c>
      <c r="G1228" t="inlineStr">
        <is>
          <t>FALKENBERG</t>
        </is>
      </c>
      <c r="I1228" t="n">
        <v>0.7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A 55352-2025</t>
        </is>
      </c>
      <c r="B1229" t="inlineStr">
        <is>
          <t>avverkningsanmälan</t>
        </is>
      </c>
      <c r="C1229" t="inlineStr">
        <is>
          <t>Föryngringsavverkning</t>
        </is>
      </c>
      <c r="D1229" s="1" t="n">
        <v>45971</v>
      </c>
      <c r="E1229" s="1" t="n">
        <v>46315</v>
      </c>
      <c r="F1229" t="inlineStr">
        <is>
          <t>HALLANDS LÄN</t>
        </is>
      </c>
      <c r="G1229" t="inlineStr">
        <is>
          <t>LAHOLM</t>
        </is>
      </c>
      <c r="I1229" t="n">
        <v>4.5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A 3427-2023</t>
        </is>
      </c>
      <c r="B1230" t="inlineStr">
        <is>
          <t>avverkningsanmälan</t>
        </is>
      </c>
      <c r="C1230" t="inlineStr">
        <is>
          <t>Föryngringsavverkning</t>
        </is>
      </c>
      <c r="D1230" s="1" t="n">
        <v>44949</v>
      </c>
      <c r="E1230" s="1" t="n">
        <v>46315</v>
      </c>
      <c r="F1230" t="inlineStr">
        <is>
          <t>HALLANDS LÄN</t>
        </is>
      </c>
      <c r="G1230" t="inlineStr">
        <is>
          <t>LAHOLM</t>
        </is>
      </c>
      <c r="I1230" t="n">
        <v>1.6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A 12470-2023</t>
        </is>
      </c>
      <c r="B1231" t="inlineStr">
        <is>
          <t>avverkningsanmälan</t>
        </is>
      </c>
      <c r="C1231" t="inlineStr">
        <is>
          <t>Avverkning för annat ändamål</t>
        </is>
      </c>
      <c r="D1231" s="1" t="n">
        <v>44999</v>
      </c>
      <c r="E1231" s="1" t="n">
        <v>46315</v>
      </c>
      <c r="F1231" t="inlineStr">
        <is>
          <t>HALLANDS LÄN</t>
        </is>
      </c>
      <c r="G1231" t="inlineStr">
        <is>
          <t>FALKENBERG</t>
        </is>
      </c>
      <c r="I1231" t="n">
        <v>0.7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A 55644-2025</t>
        </is>
      </c>
      <c r="B1232" t="inlineStr">
        <is>
          <t>avverkningsanmälan</t>
        </is>
      </c>
      <c r="C1232" t="inlineStr">
        <is>
          <t>Föryngringsavverkning</t>
        </is>
      </c>
      <c r="D1232" s="1" t="n">
        <v>45972</v>
      </c>
      <c r="E1232" s="1" t="n">
        <v>46315</v>
      </c>
      <c r="F1232" t="inlineStr">
        <is>
          <t>HALLANDS LÄN</t>
        </is>
      </c>
      <c r="G1232" t="inlineStr">
        <is>
          <t>HYLTE</t>
        </is>
      </c>
      <c r="I1232" t="n">
        <v>1.1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A 33490-2023</t>
        </is>
      </c>
      <c r="B1233" t="inlineStr">
        <is>
          <t>avverkningsanmälan</t>
        </is>
      </c>
      <c r="C1233" t="inlineStr">
        <is>
          <t>Föryngringsavverkning</t>
        </is>
      </c>
      <c r="D1233" s="1" t="n">
        <v>45131</v>
      </c>
      <c r="E1233" s="1" t="n">
        <v>46315</v>
      </c>
      <c r="F1233" t="inlineStr">
        <is>
          <t>HALLANDS LÄN</t>
        </is>
      </c>
      <c r="G1233" t="inlineStr">
        <is>
          <t>FALKENBERG</t>
        </is>
      </c>
      <c r="I1233" t="n">
        <v>0.5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A 35058-2023</t>
        </is>
      </c>
      <c r="B1234" t="inlineStr">
        <is>
          <t>avverkningsanmälan</t>
        </is>
      </c>
      <c r="C1234" t="inlineStr">
        <is>
          <t>Föryngringsavverkning</t>
        </is>
      </c>
      <c r="D1234" s="1" t="n">
        <v>45145</v>
      </c>
      <c r="E1234" s="1" t="n">
        <v>46315</v>
      </c>
      <c r="F1234" t="inlineStr">
        <is>
          <t>HALLANDS LÄN</t>
        </is>
      </c>
      <c r="G1234" t="inlineStr">
        <is>
          <t>HYLTE</t>
        </is>
      </c>
      <c r="I1234" t="n">
        <v>0.9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A 34969-2023</t>
        </is>
      </c>
      <c r="B1235" t="inlineStr">
        <is>
          <t>avverkningsanmälan</t>
        </is>
      </c>
      <c r="C1235" t="inlineStr">
        <is>
          <t>Föryngringsavverkning</t>
        </is>
      </c>
      <c r="D1235" s="1" t="n">
        <v>45142</v>
      </c>
      <c r="E1235" s="1" t="n">
        <v>46315</v>
      </c>
      <c r="F1235" t="inlineStr">
        <is>
          <t>HALLANDS LÄN</t>
        </is>
      </c>
      <c r="G1235" t="inlineStr">
        <is>
          <t>FALKENBERG</t>
        </is>
      </c>
      <c r="I1235" t="n">
        <v>4.6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 ht="15" customHeight="1">
      <c r="A1236" t="inlineStr">
        <is>
          <t>A 55538-2025</t>
        </is>
      </c>
      <c r="B1236" t="inlineStr">
        <is>
          <t>avverkningsanmälan</t>
        </is>
      </c>
      <c r="C1236" t="inlineStr">
        <is>
          <t>Föryngringsavverkning</t>
        </is>
      </c>
      <c r="D1236" s="1" t="n">
        <v>45971</v>
      </c>
      <c r="E1236" s="1" t="n">
        <v>46315</v>
      </c>
      <c r="F1236" t="inlineStr">
        <is>
          <t>HALLANDS LÄN</t>
        </is>
      </c>
      <c r="G1236" t="inlineStr">
        <is>
          <t>FALKENBERG</t>
        </is>
      </c>
      <c r="I1236" t="n">
        <v>0.8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  <row r="1237" ht="15" customHeight="1">
      <c r="A1237" t="inlineStr">
        <is>
          <t>A 55539-2025</t>
        </is>
      </c>
      <c r="B1237" t="inlineStr">
        <is>
          <t>avverkningsanmälan</t>
        </is>
      </c>
      <c r="C1237" t="inlineStr">
        <is>
          <t>Föryngringsavverkning</t>
        </is>
      </c>
      <c r="D1237" s="1" t="n">
        <v>45971</v>
      </c>
      <c r="E1237" s="1" t="n">
        <v>46315</v>
      </c>
      <c r="F1237" t="inlineStr">
        <is>
          <t>HALLANDS LÄN</t>
        </is>
      </c>
      <c r="G1237" t="inlineStr">
        <is>
          <t>FALKENBERG</t>
        </is>
      </c>
      <c r="I1237" t="n">
        <v>3.5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inlineStr"/>
    </row>
    <row r="1238" ht="15" customHeight="1">
      <c r="A1238" t="inlineStr">
        <is>
          <t>A 9839-2024</t>
        </is>
      </c>
      <c r="B1238" t="inlineStr">
        <is>
          <t>avverkningsanmälan</t>
        </is>
      </c>
      <c r="C1238" t="inlineStr">
        <is>
          <t>Föryngringsavverkning</t>
        </is>
      </c>
      <c r="D1238" s="1" t="n">
        <v>45363</v>
      </c>
      <c r="E1238" s="1" t="n">
        <v>46315</v>
      </c>
      <c r="F1238" t="inlineStr">
        <is>
          <t>HALLANDS LÄN</t>
        </is>
      </c>
      <c r="G1238" t="inlineStr">
        <is>
          <t>HALMSTAD</t>
        </is>
      </c>
      <c r="I1238" t="n">
        <v>0.5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inlineStr"/>
    </row>
    <row r="1239" ht="15" customHeight="1">
      <c r="A1239" t="inlineStr">
        <is>
          <t>A 55608-2025</t>
        </is>
      </c>
      <c r="B1239" t="inlineStr">
        <is>
          <t>avverkningsanmälan</t>
        </is>
      </c>
      <c r="C1239" t="inlineStr">
        <is>
          <t>Föryngringsavverkning</t>
        </is>
      </c>
      <c r="D1239" s="1" t="n">
        <v>45971</v>
      </c>
      <c r="E1239" s="1" t="n">
        <v>46315</v>
      </c>
      <c r="F1239" t="inlineStr">
        <is>
          <t>HALLANDS LÄN</t>
        </is>
      </c>
      <c r="G1239" t="inlineStr">
        <is>
          <t>FALKENBERG</t>
        </is>
      </c>
      <c r="I1239" t="n">
        <v>2.4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inlineStr"/>
    </row>
    <row r="1240" ht="15" customHeight="1">
      <c r="A1240" t="inlineStr">
        <is>
          <t>A 41836-2024</t>
        </is>
      </c>
      <c r="B1240" t="inlineStr">
        <is>
          <t>avverkningsanmälan</t>
        </is>
      </c>
      <c r="C1240" t="inlineStr">
        <is>
          <t>Föryngringsavverkning</t>
        </is>
      </c>
      <c r="D1240" s="1" t="n">
        <v>45561</v>
      </c>
      <c r="E1240" s="1" t="n">
        <v>46315</v>
      </c>
      <c r="F1240" t="inlineStr">
        <is>
          <t>HALLANDS LÄN</t>
        </is>
      </c>
      <c r="G1240" t="inlineStr">
        <is>
          <t>HALMSTAD</t>
        </is>
      </c>
      <c r="I1240" t="n">
        <v>1.3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inlineStr"/>
    </row>
    <row r="1241" ht="15" customHeight="1">
      <c r="A1241" t="inlineStr">
        <is>
          <t>A 31650-2023</t>
        </is>
      </c>
      <c r="B1241" t="inlineStr">
        <is>
          <t>avverkningsanmälan</t>
        </is>
      </c>
      <c r="C1241" t="inlineStr">
        <is>
          <t>Föryngringsavverkning</t>
        </is>
      </c>
      <c r="D1241" s="1" t="n">
        <v>45117</v>
      </c>
      <c r="E1241" s="1" t="n">
        <v>46315</v>
      </c>
      <c r="F1241" t="inlineStr">
        <is>
          <t>HALLANDS LÄN</t>
        </is>
      </c>
      <c r="G1241" t="inlineStr">
        <is>
          <t>HYLTE</t>
        </is>
      </c>
      <c r="I1241" t="n">
        <v>1.6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inlineStr"/>
    </row>
    <row r="1242" ht="15" customHeight="1">
      <c r="A1242" t="inlineStr">
        <is>
          <t>A 8287-2024</t>
        </is>
      </c>
      <c r="B1242" t="inlineStr">
        <is>
          <t>avverkningsanmälan</t>
        </is>
      </c>
      <c r="C1242" t="inlineStr">
        <is>
          <t>Föryngringsavverkning</t>
        </is>
      </c>
      <c r="D1242" s="1" t="n">
        <v>45352</v>
      </c>
      <c r="E1242" s="1" t="n">
        <v>46315</v>
      </c>
      <c r="F1242" t="inlineStr">
        <is>
          <t>HALLANDS LÄN</t>
        </is>
      </c>
      <c r="G1242" t="inlineStr">
        <is>
          <t>HYLTE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inlineStr"/>
    </row>
    <row r="1243" ht="15" customHeight="1">
      <c r="A1243" t="inlineStr">
        <is>
          <t>A 15844-2024</t>
        </is>
      </c>
      <c r="B1243" t="inlineStr">
        <is>
          <t>avverkningsanmälan</t>
        </is>
      </c>
      <c r="C1243" t="inlineStr">
        <is>
          <t>Föryngringsavverkning</t>
        </is>
      </c>
      <c r="D1243" s="1" t="n">
        <v>45404</v>
      </c>
      <c r="E1243" s="1" t="n">
        <v>46315</v>
      </c>
      <c r="F1243" t="inlineStr">
        <is>
          <t>HALLANDS LÄN</t>
        </is>
      </c>
      <c r="G1243" t="inlineStr">
        <is>
          <t>VARBERG</t>
        </is>
      </c>
      <c r="I1243" t="n">
        <v>1.5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inlineStr"/>
    </row>
    <row r="1244" ht="15" customHeight="1">
      <c r="A1244" t="inlineStr">
        <is>
          <t>A 9885-2023</t>
        </is>
      </c>
      <c r="B1244" t="inlineStr">
        <is>
          <t>avverkningsanmälan</t>
        </is>
      </c>
      <c r="C1244" t="inlineStr">
        <is>
          <t>Föryngringsavverkning</t>
        </is>
      </c>
      <c r="D1244" s="1" t="n">
        <v>44985</v>
      </c>
      <c r="E1244" s="1" t="n">
        <v>46315</v>
      </c>
      <c r="F1244" t="inlineStr">
        <is>
          <t>HALLANDS LÄN</t>
        </is>
      </c>
      <c r="G1244" t="inlineStr">
        <is>
          <t>VARBERG</t>
        </is>
      </c>
      <c r="I1244" t="n">
        <v>6.6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inlineStr"/>
    </row>
    <row r="1245" ht="15" customHeight="1">
      <c r="A1245" t="inlineStr">
        <is>
          <t>A 56093-2025</t>
        </is>
      </c>
      <c r="B1245" t="inlineStr">
        <is>
          <t>avverkningsanmälan</t>
        </is>
      </c>
      <c r="C1245" t="inlineStr">
        <is>
          <t>Föryngringsavverkning</t>
        </is>
      </c>
      <c r="D1245" s="1" t="n">
        <v>45973</v>
      </c>
      <c r="E1245" s="1" t="n">
        <v>46315</v>
      </c>
      <c r="F1245" t="inlineStr">
        <is>
          <t>HALLANDS LÄN</t>
        </is>
      </c>
      <c r="G1245" t="inlineStr">
        <is>
          <t>LAHOLM</t>
        </is>
      </c>
      <c r="I1245" t="n">
        <v>2.2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inlineStr"/>
    </row>
    <row r="1246" ht="15" customHeight="1">
      <c r="A1246" t="inlineStr">
        <is>
          <t>A 55923-2025</t>
        </is>
      </c>
      <c r="B1246" t="inlineStr">
        <is>
          <t>avverkningsanmälan</t>
        </is>
      </c>
      <c r="C1246" t="inlineStr">
        <is>
          <t>Föryngringsavverkning</t>
        </is>
      </c>
      <c r="D1246" s="1" t="n">
        <v>45973</v>
      </c>
      <c r="E1246" s="1" t="n">
        <v>46315</v>
      </c>
      <c r="F1246" t="inlineStr">
        <is>
          <t>HALLANDS LÄN</t>
        </is>
      </c>
      <c r="G1246" t="inlineStr">
        <is>
          <t>FALKENBERG</t>
        </is>
      </c>
      <c r="H1246" t="inlineStr">
        <is>
          <t>Kyrkan</t>
        </is>
      </c>
      <c r="I1246" t="n">
        <v>0.7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inlineStr"/>
    </row>
    <row r="1247" ht="15" customHeight="1">
      <c r="A1247" t="inlineStr">
        <is>
          <t>A 55878-2023</t>
        </is>
      </c>
      <c r="B1247" t="inlineStr">
        <is>
          <t>avverkningsanmälan</t>
        </is>
      </c>
      <c r="C1247" t="inlineStr">
        <is>
          <t>Avverkning för annat ändamål</t>
        </is>
      </c>
      <c r="D1247" s="1" t="n">
        <v>45239</v>
      </c>
      <c r="E1247" s="1" t="n">
        <v>46315</v>
      </c>
      <c r="F1247" t="inlineStr">
        <is>
          <t>HALLANDS LÄN</t>
        </is>
      </c>
      <c r="G1247" t="inlineStr">
        <is>
          <t>FALKENBERG</t>
        </is>
      </c>
      <c r="I1247" t="n">
        <v>2.1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inlineStr"/>
    </row>
    <row r="1248" ht="15" customHeight="1">
      <c r="A1248" t="inlineStr">
        <is>
          <t>A 42412-2022</t>
        </is>
      </c>
      <c r="B1248" t="inlineStr">
        <is>
          <t>avverkningsanmälan</t>
        </is>
      </c>
      <c r="C1248" t="inlineStr">
        <is>
          <t>Föryngringsavverkning</t>
        </is>
      </c>
      <c r="D1248" s="1" t="n">
        <v>44831</v>
      </c>
      <c r="E1248" s="1" t="n">
        <v>46315</v>
      </c>
      <c r="F1248" t="inlineStr">
        <is>
          <t>HALLANDS LÄN</t>
        </is>
      </c>
      <c r="G1248" t="inlineStr">
        <is>
          <t>KUNGSBACKA</t>
        </is>
      </c>
      <c r="I1248" t="n">
        <v>1.6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inlineStr"/>
    </row>
    <row r="1249" ht="15" customHeight="1">
      <c r="A1249" t="inlineStr">
        <is>
          <t>A 60391-2023</t>
        </is>
      </c>
      <c r="B1249" t="inlineStr">
        <is>
          <t>avverkningsanmälan</t>
        </is>
      </c>
      <c r="C1249" t="inlineStr">
        <is>
          <t>Föryngringsavverkning</t>
        </is>
      </c>
      <c r="D1249" s="1" t="n">
        <v>45259</v>
      </c>
      <c r="E1249" s="1" t="n">
        <v>46315</v>
      </c>
      <c r="F1249" t="inlineStr">
        <is>
          <t>HALLANDS LÄN</t>
        </is>
      </c>
      <c r="G1249" t="inlineStr">
        <is>
          <t>HALMSTAD</t>
        </is>
      </c>
      <c r="I1249" t="n">
        <v>1.4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inlineStr"/>
    </row>
    <row r="1250" ht="15" customHeight="1">
      <c r="A1250" t="inlineStr">
        <is>
          <t>A 41629-2022</t>
        </is>
      </c>
      <c r="B1250" t="inlineStr">
        <is>
          <t>avverkningsanmälan</t>
        </is>
      </c>
      <c r="C1250" t="inlineStr">
        <is>
          <t>Föryngringsavverkning</t>
        </is>
      </c>
      <c r="D1250" s="1" t="n">
        <v>44827</v>
      </c>
      <c r="E1250" s="1" t="n">
        <v>46315</v>
      </c>
      <c r="F1250" t="inlineStr">
        <is>
          <t>HALLANDS LÄN</t>
        </is>
      </c>
      <c r="G1250" t="inlineStr">
        <is>
          <t>VARBERG</t>
        </is>
      </c>
      <c r="I1250" t="n">
        <v>1.2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inlineStr"/>
    </row>
    <row r="1251" ht="15" customHeight="1">
      <c r="A1251" t="inlineStr">
        <is>
          <t>A 56100-2025</t>
        </is>
      </c>
      <c r="B1251" t="inlineStr">
        <is>
          <t>avverkningsanmälan</t>
        </is>
      </c>
      <c r="C1251" t="inlineStr">
        <is>
          <t>Föryngringsavverkning</t>
        </is>
      </c>
      <c r="D1251" s="1" t="n">
        <v>45973</v>
      </c>
      <c r="E1251" s="1" t="n">
        <v>46315</v>
      </c>
      <c r="F1251" t="inlineStr">
        <is>
          <t>HALLANDS LÄN</t>
        </is>
      </c>
      <c r="G1251" t="inlineStr">
        <is>
          <t>LAHOLM</t>
        </is>
      </c>
      <c r="H1251" t="inlineStr">
        <is>
          <t>Övriga statliga verk och myndigheter</t>
        </is>
      </c>
      <c r="I1251" t="n">
        <v>4.9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inlineStr"/>
    </row>
    <row r="1252" ht="15" customHeight="1">
      <c r="A1252" t="inlineStr">
        <is>
          <t>A 15883-2024</t>
        </is>
      </c>
      <c r="B1252" t="inlineStr">
        <is>
          <t>avverkningsanmälan</t>
        </is>
      </c>
      <c r="C1252" t="inlineStr">
        <is>
          <t>Föryngringsavverkning</t>
        </is>
      </c>
      <c r="D1252" s="1" t="n">
        <v>45405</v>
      </c>
      <c r="E1252" s="1" t="n">
        <v>46315</v>
      </c>
      <c r="F1252" t="inlineStr">
        <is>
          <t>HALLANDS LÄN</t>
        </is>
      </c>
      <c r="G1252" t="inlineStr">
        <is>
          <t>HYLTE</t>
        </is>
      </c>
      <c r="I1252" t="n">
        <v>2.9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inlineStr"/>
    </row>
    <row r="1253" ht="15" customHeight="1">
      <c r="A1253" t="inlineStr">
        <is>
          <t>A 55893-2025</t>
        </is>
      </c>
      <c r="B1253" t="inlineStr">
        <is>
          <t>avverkningsanmälan</t>
        </is>
      </c>
      <c r="C1253" t="inlineStr">
        <is>
          <t>Föryngringsavverkning</t>
        </is>
      </c>
      <c r="D1253" s="1" t="n">
        <v>45973</v>
      </c>
      <c r="E1253" s="1" t="n">
        <v>46315</v>
      </c>
      <c r="F1253" t="inlineStr">
        <is>
          <t>HALLANDS LÄN</t>
        </is>
      </c>
      <c r="G1253" t="inlineStr">
        <is>
          <t>VARBERG</t>
        </is>
      </c>
      <c r="I1253" t="n">
        <v>2.5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inlineStr"/>
    </row>
    <row r="1254" ht="15" customHeight="1">
      <c r="A1254" t="inlineStr">
        <is>
          <t>A 55949-2025</t>
        </is>
      </c>
      <c r="B1254" t="inlineStr">
        <is>
          <t>avverkningsanmälan</t>
        </is>
      </c>
      <c r="C1254" t="inlineStr">
        <is>
          <t>Föryngringsavverkning</t>
        </is>
      </c>
      <c r="D1254" s="1" t="n">
        <v>45973</v>
      </c>
      <c r="E1254" s="1" t="n">
        <v>46315</v>
      </c>
      <c r="F1254" t="inlineStr">
        <is>
          <t>HALLANDS LÄN</t>
        </is>
      </c>
      <c r="G1254" t="inlineStr">
        <is>
          <t>FALKENBERG</t>
        </is>
      </c>
      <c r="I1254" t="n">
        <v>1.2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inlineStr"/>
    </row>
    <row r="1255" ht="15" customHeight="1">
      <c r="A1255" t="inlineStr">
        <is>
          <t>A 46572-2024</t>
        </is>
      </c>
      <c r="B1255" t="inlineStr">
        <is>
          <t>avverkningsanmälan</t>
        </is>
      </c>
      <c r="C1255" t="inlineStr">
        <is>
          <t>Föryngringsavverkning</t>
        </is>
      </c>
      <c r="D1255" s="1" t="n">
        <v>45582</v>
      </c>
      <c r="E1255" s="1" t="n">
        <v>46315</v>
      </c>
      <c r="F1255" t="inlineStr">
        <is>
          <t>HALLANDS LÄN</t>
        </is>
      </c>
      <c r="G1255" t="inlineStr">
        <is>
          <t>LAHOLM</t>
        </is>
      </c>
      <c r="I1255" t="n">
        <v>1.9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inlineStr"/>
    </row>
    <row r="1256" ht="15" customHeight="1">
      <c r="A1256" t="inlineStr">
        <is>
          <t>A 56920-2025</t>
        </is>
      </c>
      <c r="B1256" t="inlineStr">
        <is>
          <t>avverkningsanmälan</t>
        </is>
      </c>
      <c r="C1256" t="inlineStr">
        <is>
          <t>Föryngringsavverkning</t>
        </is>
      </c>
      <c r="D1256" s="1" t="n">
        <v>45978</v>
      </c>
      <c r="E1256" s="1" t="n">
        <v>46315</v>
      </c>
      <c r="F1256" t="inlineStr">
        <is>
          <t>HALLANDS LÄN</t>
        </is>
      </c>
      <c r="G1256" t="inlineStr">
        <is>
          <t>VARBERG</t>
        </is>
      </c>
      <c r="I1256" t="n">
        <v>3.1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inlineStr"/>
    </row>
    <row r="1257" ht="15" customHeight="1">
      <c r="A1257" t="inlineStr">
        <is>
          <t>A 44674-2025</t>
        </is>
      </c>
      <c r="B1257" t="inlineStr">
        <is>
          <t>avverkningsanmälan</t>
        </is>
      </c>
      <c r="C1257" t="inlineStr">
        <is>
          <t>Avverkning för att bevara och utveckla /försöksver</t>
        </is>
      </c>
      <c r="D1257" s="1" t="n">
        <v>45917</v>
      </c>
      <c r="E1257" s="1" t="n">
        <v>46315</v>
      </c>
      <c r="F1257" t="inlineStr">
        <is>
          <t>HALLANDS LÄN</t>
        </is>
      </c>
      <c r="G1257" t="inlineStr">
        <is>
          <t>KUNGSBACKA</t>
        </is>
      </c>
      <c r="I1257" t="n">
        <v>1.3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inlineStr"/>
    </row>
    <row r="1258" ht="15" customHeight="1">
      <c r="A1258" t="inlineStr">
        <is>
          <t>A 56564-2025</t>
        </is>
      </c>
      <c r="B1258" t="inlineStr">
        <is>
          <t>avverkningsanmälan</t>
        </is>
      </c>
      <c r="C1258" t="inlineStr">
        <is>
          <t>Föryngringsavverkning</t>
        </is>
      </c>
      <c r="D1258" s="1" t="n">
        <v>45975</v>
      </c>
      <c r="E1258" s="1" t="n">
        <v>46315</v>
      </c>
      <c r="F1258" t="inlineStr">
        <is>
          <t>HALLANDS LÄN</t>
        </is>
      </c>
      <c r="G1258" t="inlineStr">
        <is>
          <t>FALKENBERG</t>
        </is>
      </c>
      <c r="H1258" t="inlineStr">
        <is>
          <t>Kyrkan</t>
        </is>
      </c>
      <c r="I1258" t="n">
        <v>2.5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inlineStr"/>
    </row>
    <row r="1259" ht="15" customHeight="1">
      <c r="A1259" t="inlineStr">
        <is>
          <t>A 18544-2024</t>
        </is>
      </c>
      <c r="B1259" t="inlineStr">
        <is>
          <t>avverkningsanmälan</t>
        </is>
      </c>
      <c r="C1259" t="inlineStr">
        <is>
          <t>Föryngringsavverkning</t>
        </is>
      </c>
      <c r="D1259" s="1" t="n">
        <v>45425</v>
      </c>
      <c r="E1259" s="1" t="n">
        <v>46315</v>
      </c>
      <c r="F1259" t="inlineStr">
        <is>
          <t>HALLANDS LÄN</t>
        </is>
      </c>
      <c r="G1259" t="inlineStr">
        <is>
          <t>FALKENBERG</t>
        </is>
      </c>
      <c r="I1259" t="n">
        <v>0.9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inlineStr"/>
    </row>
    <row r="1260" ht="15" customHeight="1">
      <c r="A1260" t="inlineStr">
        <is>
          <t>A 14487-2025</t>
        </is>
      </c>
      <c r="B1260" t="inlineStr">
        <is>
          <t>avverkningsanmälan</t>
        </is>
      </c>
      <c r="C1260" t="inlineStr">
        <is>
          <t>Föryngringsavverkning</t>
        </is>
      </c>
      <c r="D1260" s="1" t="n">
        <v>45741</v>
      </c>
      <c r="E1260" s="1" t="n">
        <v>46315</v>
      </c>
      <c r="F1260" t="inlineStr">
        <is>
          <t>HALLANDS LÄN</t>
        </is>
      </c>
      <c r="G1260" t="inlineStr">
        <is>
          <t>KUNGSBACKA</t>
        </is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inlineStr"/>
    </row>
    <row r="1261" ht="15" customHeight="1">
      <c r="A1261" t="inlineStr">
        <is>
          <t>A 27436-2024</t>
        </is>
      </c>
      <c r="B1261" t="inlineStr">
        <is>
          <t>avverkningsanmälan</t>
        </is>
      </c>
      <c r="C1261" t="inlineStr">
        <is>
          <t>Föryngringsavverkning</t>
        </is>
      </c>
      <c r="D1261" s="1" t="n">
        <v>45474</v>
      </c>
      <c r="E1261" s="1" t="n">
        <v>46315</v>
      </c>
      <c r="F1261" t="inlineStr">
        <is>
          <t>HALLANDS LÄN</t>
        </is>
      </c>
      <c r="G1261" t="inlineStr">
        <is>
          <t>FALKENBERG</t>
        </is>
      </c>
      <c r="I1261" t="n">
        <v>0.5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inlineStr"/>
    </row>
    <row r="1262" ht="15" customHeight="1">
      <c r="A1262" t="inlineStr">
        <is>
          <t>A 12064-2023</t>
        </is>
      </c>
      <c r="B1262" t="inlineStr">
        <is>
          <t>avverkningsanmälan</t>
        </is>
      </c>
      <c r="C1262" t="inlineStr">
        <is>
          <t>Föryngringsavverkning</t>
        </is>
      </c>
      <c r="D1262" s="1" t="n">
        <v>44997</v>
      </c>
      <c r="E1262" s="1" t="n">
        <v>46315</v>
      </c>
      <c r="F1262" t="inlineStr">
        <is>
          <t>HALLANDS LÄN</t>
        </is>
      </c>
      <c r="G1262" t="inlineStr">
        <is>
          <t>KUNGSBACKA</t>
        </is>
      </c>
      <c r="I1262" t="n">
        <v>10.5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inlineStr"/>
    </row>
    <row r="1263" ht="15" customHeight="1">
      <c r="A1263" t="inlineStr">
        <is>
          <t>A 68969-2021</t>
        </is>
      </c>
      <c r="B1263" t="inlineStr">
        <is>
          <t>avverkningsanmälan</t>
        </is>
      </c>
      <c r="C1263" t="inlineStr">
        <is>
          <t>Föryngringsavverkning</t>
        </is>
      </c>
      <c r="D1263" s="1" t="n">
        <v>44530</v>
      </c>
      <c r="E1263" s="1" t="n">
        <v>46315</v>
      </c>
      <c r="F1263" t="inlineStr">
        <is>
          <t>HALLANDS LÄN</t>
        </is>
      </c>
      <c r="G1263" t="inlineStr">
        <is>
          <t>HYLTE</t>
        </is>
      </c>
      <c r="I1263" t="n">
        <v>5.2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inlineStr"/>
    </row>
    <row r="1264" ht="15" customHeight="1">
      <c r="A1264" t="inlineStr">
        <is>
          <t>A 28845-2023</t>
        </is>
      </c>
      <c r="B1264" t="inlineStr">
        <is>
          <t>avverkningsanmälan</t>
        </is>
      </c>
      <c r="C1264" t="inlineStr">
        <is>
          <t>Föryngringsavverkning</t>
        </is>
      </c>
      <c r="D1264" s="1" t="n">
        <v>45104</v>
      </c>
      <c r="E1264" s="1" t="n">
        <v>46315</v>
      </c>
      <c r="F1264" t="inlineStr">
        <is>
          <t>HALLANDS LÄN</t>
        </is>
      </c>
      <c r="G1264" t="inlineStr">
        <is>
          <t>HYLTE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inlineStr"/>
    </row>
    <row r="1265" ht="15" customHeight="1">
      <c r="A1265" t="inlineStr">
        <is>
          <t>A 57219-2025</t>
        </is>
      </c>
      <c r="B1265" t="inlineStr">
        <is>
          <t>avverkningsanmälan</t>
        </is>
      </c>
      <c r="C1265" t="inlineStr">
        <is>
          <t>Föryngringsavverkning</t>
        </is>
      </c>
      <c r="D1265" s="1" t="n">
        <v>45979</v>
      </c>
      <c r="E1265" s="1" t="n">
        <v>46315</v>
      </c>
      <c r="F1265" t="inlineStr">
        <is>
          <t>HALLANDS LÄN</t>
        </is>
      </c>
      <c r="G1265" t="inlineStr">
        <is>
          <t>HYLTE</t>
        </is>
      </c>
      <c r="I1265" t="n">
        <v>4.7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inlineStr"/>
    </row>
    <row r="1266" ht="15" customHeight="1">
      <c r="A1266" t="inlineStr">
        <is>
          <t>A 71676-2021</t>
        </is>
      </c>
      <c r="B1266" t="inlineStr">
        <is>
          <t>avverkningsanmälan</t>
        </is>
      </c>
      <c r="C1266" t="inlineStr">
        <is>
          <t>Föryngringsavverkning</t>
        </is>
      </c>
      <c r="D1266" s="1" t="n">
        <v>44539</v>
      </c>
      <c r="E1266" s="1" t="n">
        <v>46315</v>
      </c>
      <c r="F1266" t="inlineStr">
        <is>
          <t>HALLANDS LÄN</t>
        </is>
      </c>
      <c r="G1266" t="inlineStr">
        <is>
          <t>KUNGSBACKA</t>
        </is>
      </c>
      <c r="I1266" t="n">
        <v>8.1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inlineStr"/>
    </row>
    <row r="1267" ht="15" customHeight="1">
      <c r="A1267" t="inlineStr">
        <is>
          <t>A 67744-2021</t>
        </is>
      </c>
      <c r="B1267" t="inlineStr">
        <is>
          <t>avverkningsanmälan</t>
        </is>
      </c>
      <c r="C1267" t="inlineStr">
        <is>
          <t>Föryngringsavverkning</t>
        </is>
      </c>
      <c r="D1267" s="1" t="n">
        <v>44525</v>
      </c>
      <c r="E1267" s="1" t="n">
        <v>46315</v>
      </c>
      <c r="F1267" t="inlineStr">
        <is>
          <t>HALLANDS LÄN</t>
        </is>
      </c>
      <c r="G1267" t="inlineStr">
        <is>
          <t>FALKENBERG</t>
        </is>
      </c>
      <c r="I1267" t="n">
        <v>3.3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inlineStr"/>
    </row>
    <row r="1268" ht="15" customHeight="1">
      <c r="A1268" t="inlineStr">
        <is>
          <t>A 23738-2024</t>
        </is>
      </c>
      <c r="B1268" t="inlineStr">
        <is>
          <t>avverkningsanmälan</t>
        </is>
      </c>
      <c r="C1268" t="inlineStr">
        <is>
          <t>Föryngringsavverkning</t>
        </is>
      </c>
      <c r="D1268" s="1" t="n">
        <v>45454</v>
      </c>
      <c r="E1268" s="1" t="n">
        <v>46315</v>
      </c>
      <c r="F1268" t="inlineStr">
        <is>
          <t>HALLANDS LÄN</t>
        </is>
      </c>
      <c r="G1268" t="inlineStr">
        <is>
          <t>HYLTE</t>
        </is>
      </c>
      <c r="I1268" t="n">
        <v>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inlineStr"/>
    </row>
    <row r="1269" ht="15" customHeight="1">
      <c r="A1269" t="inlineStr">
        <is>
          <t>A 6610-2022</t>
        </is>
      </c>
      <c r="B1269" t="inlineStr">
        <is>
          <t>avverkningsanmälan</t>
        </is>
      </c>
      <c r="C1269" t="inlineStr">
        <is>
          <t>Föryngringsavverkning</t>
        </is>
      </c>
      <c r="D1269" s="1" t="n">
        <v>44601</v>
      </c>
      <c r="E1269" s="1" t="n">
        <v>46315</v>
      </c>
      <c r="F1269" t="inlineStr">
        <is>
          <t>HALLANDS LÄN</t>
        </is>
      </c>
      <c r="G1269" t="inlineStr">
        <is>
          <t>HYLTE</t>
        </is>
      </c>
      <c r="I1269" t="n">
        <v>6.9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inlineStr"/>
    </row>
    <row r="1270" ht="15" customHeight="1">
      <c r="A1270" t="inlineStr">
        <is>
          <t>A 57684-2025</t>
        </is>
      </c>
      <c r="B1270" t="inlineStr">
        <is>
          <t>avverkningsanmälan</t>
        </is>
      </c>
      <c r="C1270" t="inlineStr">
        <is>
          <t>Föryngringsavverkning</t>
        </is>
      </c>
      <c r="D1270" s="1" t="n">
        <v>45980</v>
      </c>
      <c r="E1270" s="1" t="n">
        <v>46315</v>
      </c>
      <c r="F1270" t="inlineStr">
        <is>
          <t>HALLANDS LÄN</t>
        </is>
      </c>
      <c r="G1270" t="inlineStr">
        <is>
          <t>VARBERG</t>
        </is>
      </c>
      <c r="I1270" t="n">
        <v>5.9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inlineStr"/>
    </row>
    <row r="1271" ht="15" customHeight="1">
      <c r="A1271" t="inlineStr">
        <is>
          <t>A 71841-2021</t>
        </is>
      </c>
      <c r="B1271" t="inlineStr">
        <is>
          <t>avverkningsanmälan</t>
        </is>
      </c>
      <c r="C1271" t="inlineStr">
        <is>
          <t>Föryngringsavverkning</t>
        </is>
      </c>
      <c r="D1271" s="1" t="n">
        <v>44543</v>
      </c>
      <c r="E1271" s="1" t="n">
        <v>46315</v>
      </c>
      <c r="F1271" t="inlineStr">
        <is>
          <t>HALLANDS LÄN</t>
        </is>
      </c>
      <c r="G1271" t="inlineStr">
        <is>
          <t>VARBERG</t>
        </is>
      </c>
      <c r="I1271" t="n">
        <v>2.8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inlineStr"/>
    </row>
    <row r="1272" ht="15" customHeight="1">
      <c r="A1272" t="inlineStr">
        <is>
          <t>A 10693-2025</t>
        </is>
      </c>
      <c r="B1272" t="inlineStr">
        <is>
          <t>avverkningsanmälan</t>
        </is>
      </c>
      <c r="C1272" t="inlineStr">
        <is>
          <t>Föryngringsavverkning</t>
        </is>
      </c>
      <c r="D1272" s="1" t="n">
        <v>45722</v>
      </c>
      <c r="E1272" s="1" t="n">
        <v>46315</v>
      </c>
      <c r="F1272" t="inlineStr">
        <is>
          <t>HALLANDS LÄN</t>
        </is>
      </c>
      <c r="G1272" t="inlineStr">
        <is>
          <t>VARBERG</t>
        </is>
      </c>
      <c r="I1272" t="n">
        <v>2.8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inlineStr"/>
    </row>
    <row r="1273" ht="15" customHeight="1">
      <c r="A1273" t="inlineStr">
        <is>
          <t>A 57237-2025</t>
        </is>
      </c>
      <c r="B1273" t="inlineStr">
        <is>
          <t>avverkningsanmälan</t>
        </is>
      </c>
      <c r="C1273" t="inlineStr">
        <is>
          <t>Föryngringsavverkning</t>
        </is>
      </c>
      <c r="D1273" s="1" t="n">
        <v>45979</v>
      </c>
      <c r="E1273" s="1" t="n">
        <v>46315</v>
      </c>
      <c r="F1273" t="inlineStr">
        <is>
          <t>HALLANDS LÄN</t>
        </is>
      </c>
      <c r="G1273" t="inlineStr">
        <is>
          <t>VARBERG</t>
        </is>
      </c>
      <c r="I1273" t="n">
        <v>5.7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inlineStr"/>
    </row>
    <row r="1274" ht="15" customHeight="1">
      <c r="A1274" t="inlineStr">
        <is>
          <t>A 23101-2026</t>
        </is>
      </c>
      <c r="B1274" t="inlineStr">
        <is>
          <t>avverkningsanmälan</t>
        </is>
      </c>
      <c r="C1274" t="inlineStr">
        <is>
          <t>Föryngringsavverkning</t>
        </is>
      </c>
      <c r="D1274" s="1" t="n">
        <v>46161</v>
      </c>
      <c r="E1274" s="1" t="n">
        <v>46315</v>
      </c>
      <c r="F1274" t="inlineStr">
        <is>
          <t>HALLANDS LÄN</t>
        </is>
      </c>
      <c r="G1274" t="inlineStr">
        <is>
          <t>HYLTE</t>
        </is>
      </c>
      <c r="H1274" t="inlineStr">
        <is>
          <t>Bergvik skog väst AB</t>
        </is>
      </c>
      <c r="I1274" t="n">
        <v>6.5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inlineStr"/>
    </row>
    <row r="1275" ht="15" customHeight="1">
      <c r="A1275" t="inlineStr">
        <is>
          <t>A 23111-2026</t>
        </is>
      </c>
      <c r="B1275" t="inlineStr">
        <is>
          <t>avverkningsanmälan</t>
        </is>
      </c>
      <c r="C1275" t="inlineStr">
        <is>
          <t>Föryngringsavverkning</t>
        </is>
      </c>
      <c r="D1275" s="1" t="n">
        <v>46161</v>
      </c>
      <c r="E1275" s="1" t="n">
        <v>46315</v>
      </c>
      <c r="F1275" t="inlineStr">
        <is>
          <t>HALLANDS LÄN</t>
        </is>
      </c>
      <c r="G1275" t="inlineStr">
        <is>
          <t>HYLTE</t>
        </is>
      </c>
      <c r="I1275" t="n">
        <v>0.4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inlineStr"/>
    </row>
    <row r="1276" ht="15" customHeight="1">
      <c r="A1276" t="inlineStr">
        <is>
          <t>A 57216-2025</t>
        </is>
      </c>
      <c r="B1276" t="inlineStr">
        <is>
          <t>avverkningsanmälan</t>
        </is>
      </c>
      <c r="C1276" t="inlineStr">
        <is>
          <t>Föryngringsavverkning</t>
        </is>
      </c>
      <c r="D1276" s="1" t="n">
        <v>45979</v>
      </c>
      <c r="E1276" s="1" t="n">
        <v>46315</v>
      </c>
      <c r="F1276" t="inlineStr">
        <is>
          <t>HALLANDS LÄN</t>
        </is>
      </c>
      <c r="G1276" t="inlineStr">
        <is>
          <t>LAHOLM</t>
        </is>
      </c>
      <c r="I1276" t="n">
        <v>1.8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inlineStr"/>
    </row>
    <row r="1277" ht="15" customHeight="1">
      <c r="A1277" t="inlineStr">
        <is>
          <t>A 23394-2026</t>
        </is>
      </c>
      <c r="B1277" t="inlineStr">
        <is>
          <t>avverkningsanmälan</t>
        </is>
      </c>
      <c r="C1277" t="inlineStr">
        <is>
          <t>Föryngringsavverkning</t>
        </is>
      </c>
      <c r="D1277" s="1" t="n">
        <v>46162</v>
      </c>
      <c r="E1277" s="1" t="n">
        <v>46315</v>
      </c>
      <c r="F1277" t="inlineStr">
        <is>
          <t>HALLANDS LÄN</t>
        </is>
      </c>
      <c r="G1277" t="inlineStr">
        <is>
          <t>FALKENBERG</t>
        </is>
      </c>
      <c r="I1277" t="n">
        <v>4.9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inlineStr"/>
    </row>
    <row r="1278" ht="15" customHeight="1">
      <c r="A1278" t="inlineStr">
        <is>
          <t>A 53532-2024</t>
        </is>
      </c>
      <c r="B1278" t="inlineStr">
        <is>
          <t>avverkningsanmälan</t>
        </is>
      </c>
      <c r="C1278" t="inlineStr">
        <is>
          <t>Föryngringsavverkning</t>
        </is>
      </c>
      <c r="D1278" s="1" t="n">
        <v>45614</v>
      </c>
      <c r="E1278" s="1" t="n">
        <v>46315</v>
      </c>
      <c r="F1278" t="inlineStr">
        <is>
          <t>HALLANDS LÄN</t>
        </is>
      </c>
      <c r="G1278" t="inlineStr">
        <is>
          <t>LAHOLM</t>
        </is>
      </c>
      <c r="I1278" t="n">
        <v>1.7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inlineStr"/>
    </row>
    <row r="1279" ht="15" customHeight="1">
      <c r="A1279" t="inlineStr">
        <is>
          <t>A 14898-2023</t>
        </is>
      </c>
      <c r="B1279" t="inlineStr">
        <is>
          <t>avverkningsanmälan</t>
        </is>
      </c>
      <c r="C1279" t="inlineStr">
        <is>
          <t>Avverkning för annat ändamål</t>
        </is>
      </c>
      <c r="D1279" s="1" t="n">
        <v>45014</v>
      </c>
      <c r="E1279" s="1" t="n">
        <v>46315</v>
      </c>
      <c r="F1279" t="inlineStr">
        <is>
          <t>HALLANDS LÄN</t>
        </is>
      </c>
      <c r="G1279" t="inlineStr">
        <is>
          <t>KUNGSBACKA</t>
        </is>
      </c>
      <c r="I1279" t="n">
        <v>0.1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inlineStr"/>
    </row>
    <row r="1280" ht="15" customHeight="1">
      <c r="A1280" t="inlineStr">
        <is>
          <t>A 64221-2021</t>
        </is>
      </c>
      <c r="B1280" t="inlineStr">
        <is>
          <t>avverkningsanmälan</t>
        </is>
      </c>
      <c r="C1280" t="inlineStr">
        <is>
          <t>Föryngringsavverkning</t>
        </is>
      </c>
      <c r="D1280" s="1" t="n">
        <v>44510</v>
      </c>
      <c r="E1280" s="1" t="n">
        <v>46315</v>
      </c>
      <c r="F1280" t="inlineStr">
        <is>
          <t>HALLANDS LÄN</t>
        </is>
      </c>
      <c r="G1280" t="inlineStr">
        <is>
          <t>HYLTE</t>
        </is>
      </c>
      <c r="I1280" t="n">
        <v>2.7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inlineStr"/>
    </row>
    <row r="1281" ht="15" customHeight="1">
      <c r="A1281" t="inlineStr">
        <is>
          <t>A 23299-2026</t>
        </is>
      </c>
      <c r="B1281" t="inlineStr">
        <is>
          <t>avverkningsanmälan</t>
        </is>
      </c>
      <c r="C1281" t="inlineStr">
        <is>
          <t>Föryngringsavverkning</t>
        </is>
      </c>
      <c r="D1281" s="1" t="n">
        <v>46162</v>
      </c>
      <c r="E1281" s="1" t="n">
        <v>46315</v>
      </c>
      <c r="F1281" t="inlineStr">
        <is>
          <t>HALLANDS LÄN</t>
        </is>
      </c>
      <c r="G1281" t="inlineStr">
        <is>
          <t>HALMSTAD</t>
        </is>
      </c>
      <c r="I1281" t="n">
        <v>1.1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inlineStr"/>
    </row>
    <row r="1282" ht="15" customHeight="1">
      <c r="A1282" t="inlineStr">
        <is>
          <t>A 48006-2025</t>
        </is>
      </c>
      <c r="B1282" t="inlineStr">
        <is>
          <t>avverkningsanmälan</t>
        </is>
      </c>
      <c r="C1282" t="inlineStr">
        <is>
          <t>Föryngringsavverkning</t>
        </is>
      </c>
      <c r="D1282" s="1" t="n">
        <v>45932</v>
      </c>
      <c r="E1282" s="1" t="n">
        <v>46315</v>
      </c>
      <c r="F1282" t="inlineStr">
        <is>
          <t>HALLANDS LÄN</t>
        </is>
      </c>
      <c r="G1282" t="inlineStr">
        <is>
          <t>VARBERG</t>
        </is>
      </c>
      <c r="I1282" t="n">
        <v>2.1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inlineStr"/>
    </row>
    <row r="1283" ht="15" customHeight="1">
      <c r="A1283" t="inlineStr">
        <is>
          <t>A 23167-2026</t>
        </is>
      </c>
      <c r="B1283" t="inlineStr">
        <is>
          <t>avverkningsanmälan</t>
        </is>
      </c>
      <c r="C1283" t="inlineStr">
        <is>
          <t>Föryngringsavverkning</t>
        </is>
      </c>
      <c r="D1283" s="1" t="n">
        <v>46161</v>
      </c>
      <c r="E1283" s="1" t="n">
        <v>46315</v>
      </c>
      <c r="F1283" t="inlineStr">
        <is>
          <t>HALLANDS LÄN</t>
        </is>
      </c>
      <c r="G1283" t="inlineStr">
        <is>
          <t>VARBERG</t>
        </is>
      </c>
      <c r="I1283" t="n">
        <v>3.9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inlineStr"/>
    </row>
    <row r="1284" ht="15" customHeight="1">
      <c r="A1284" t="inlineStr">
        <is>
          <t>A 71844-2021</t>
        </is>
      </c>
      <c r="B1284" t="inlineStr">
        <is>
          <t>avverkningsanmälan</t>
        </is>
      </c>
      <c r="C1284" t="inlineStr">
        <is>
          <t>Föryngringsavverkning</t>
        </is>
      </c>
      <c r="D1284" s="1" t="n">
        <v>44543</v>
      </c>
      <c r="E1284" s="1" t="n">
        <v>46315</v>
      </c>
      <c r="F1284" t="inlineStr">
        <is>
          <t>HALLANDS LÄN</t>
        </is>
      </c>
      <c r="G1284" t="inlineStr">
        <is>
          <t>FALKENBERG</t>
        </is>
      </c>
      <c r="I1284" t="n">
        <v>2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inlineStr"/>
    </row>
    <row r="1285" ht="15" customHeight="1">
      <c r="A1285" t="inlineStr">
        <is>
          <t>A 14856-2025</t>
        </is>
      </c>
      <c r="B1285" t="inlineStr">
        <is>
          <t>avverkningsanmälan</t>
        </is>
      </c>
      <c r="C1285" t="inlineStr">
        <is>
          <t>Föryngringsavverkning</t>
        </is>
      </c>
      <c r="D1285" s="1" t="n">
        <v>45743</v>
      </c>
      <c r="E1285" s="1" t="n">
        <v>46315</v>
      </c>
      <c r="F1285" t="inlineStr">
        <is>
          <t>HALLANDS LÄN</t>
        </is>
      </c>
      <c r="G1285" t="inlineStr">
        <is>
          <t>VARBERG</t>
        </is>
      </c>
      <c r="I1285" t="n">
        <v>2.1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inlineStr"/>
    </row>
    <row r="1286" ht="15" customHeight="1">
      <c r="A1286" t="inlineStr">
        <is>
          <t>A 29142-2024</t>
        </is>
      </c>
      <c r="B1286" t="inlineStr">
        <is>
          <t>avverkningsanmälan</t>
        </is>
      </c>
      <c r="C1286" t="inlineStr">
        <is>
          <t>Föryngringsavverkning</t>
        </is>
      </c>
      <c r="D1286" s="1" t="n">
        <v>45482</v>
      </c>
      <c r="E1286" s="1" t="n">
        <v>46315</v>
      </c>
      <c r="F1286" t="inlineStr">
        <is>
          <t>HALLANDS LÄN</t>
        </is>
      </c>
      <c r="G1286" t="inlineStr">
        <is>
          <t>FALKENBERG</t>
        </is>
      </c>
      <c r="I1286" t="n">
        <v>3.9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inlineStr"/>
    </row>
    <row r="1287" ht="15" customHeight="1">
      <c r="A1287" t="inlineStr">
        <is>
          <t>A 9666-2023</t>
        </is>
      </c>
      <c r="B1287" t="inlineStr">
        <is>
          <t>avverkningsanmälan</t>
        </is>
      </c>
      <c r="C1287" t="inlineStr">
        <is>
          <t>Föryngringsavverkning</t>
        </is>
      </c>
      <c r="D1287" s="1" t="n">
        <v>44984</v>
      </c>
      <c r="E1287" s="1" t="n">
        <v>46315</v>
      </c>
      <c r="F1287" t="inlineStr">
        <is>
          <t>HALLANDS LÄN</t>
        </is>
      </c>
      <c r="G1287" t="inlineStr">
        <is>
          <t>LAHOLM</t>
        </is>
      </c>
      <c r="I1287" t="n">
        <v>0.6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inlineStr"/>
    </row>
    <row r="1288" ht="15" customHeight="1">
      <c r="A1288" t="inlineStr">
        <is>
          <t>A 74038-2021</t>
        </is>
      </c>
      <c r="B1288" t="inlineStr">
        <is>
          <t>avverkningsanmälan</t>
        </is>
      </c>
      <c r="C1288" t="inlineStr">
        <is>
          <t>Föryngringsavverkning</t>
        </is>
      </c>
      <c r="D1288" s="1" t="n">
        <v>44557</v>
      </c>
      <c r="E1288" s="1" t="n">
        <v>46315</v>
      </c>
      <c r="F1288" t="inlineStr">
        <is>
          <t>HALLANDS LÄN</t>
        </is>
      </c>
      <c r="G1288" t="inlineStr">
        <is>
          <t>HALMSTAD</t>
        </is>
      </c>
      <c r="I1288" t="n">
        <v>1.7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inlineStr"/>
    </row>
    <row r="1289" ht="15" customHeight="1">
      <c r="A1289" t="inlineStr">
        <is>
          <t>A 57781-2025</t>
        </is>
      </c>
      <c r="B1289" t="inlineStr">
        <is>
          <t>avverkningsanmälan</t>
        </is>
      </c>
      <c r="C1289" t="inlineStr">
        <is>
          <t>Föryngringsavverkning</t>
        </is>
      </c>
      <c r="D1289" s="1" t="n">
        <v>45981</v>
      </c>
      <c r="E1289" s="1" t="n">
        <v>46315</v>
      </c>
      <c r="F1289" t="inlineStr">
        <is>
          <t>HALLANDS LÄN</t>
        </is>
      </c>
      <c r="G1289" t="inlineStr">
        <is>
          <t>HYLTE</t>
        </is>
      </c>
      <c r="I1289" t="n">
        <v>2.1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inlineStr"/>
    </row>
    <row r="1290" ht="15" customHeight="1">
      <c r="A1290" t="inlineStr">
        <is>
          <t>A 23308-2026</t>
        </is>
      </c>
      <c r="B1290" t="inlineStr">
        <is>
          <t>avverkningsanmälan</t>
        </is>
      </c>
      <c r="C1290" t="inlineStr">
        <is>
          <t>Föryngringsavverkning</t>
        </is>
      </c>
      <c r="D1290" s="1" t="n">
        <v>46162</v>
      </c>
      <c r="E1290" s="1" t="n">
        <v>46315</v>
      </c>
      <c r="F1290" t="inlineStr">
        <is>
          <t>HALLANDS LÄN</t>
        </is>
      </c>
      <c r="G1290" t="inlineStr">
        <is>
          <t>HALMSTAD</t>
        </is>
      </c>
      <c r="I1290" t="n">
        <v>1.4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inlineStr"/>
    </row>
    <row r="1291" ht="15" customHeight="1">
      <c r="A1291" t="inlineStr">
        <is>
          <t>A 15421-2023</t>
        </is>
      </c>
      <c r="B1291" t="inlineStr">
        <is>
          <t>avverkningsanmälan</t>
        </is>
      </c>
      <c r="C1291" t="inlineStr">
        <is>
          <t>Föryngringsavverkning</t>
        </is>
      </c>
      <c r="D1291" s="1" t="n">
        <v>45019</v>
      </c>
      <c r="E1291" s="1" t="n">
        <v>46315</v>
      </c>
      <c r="F1291" t="inlineStr">
        <is>
          <t>HALLANDS LÄN</t>
        </is>
      </c>
      <c r="G1291" t="inlineStr">
        <is>
          <t>FALKENBERG</t>
        </is>
      </c>
      <c r="I1291" t="n">
        <v>1.3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inlineStr"/>
    </row>
    <row r="1292" ht="15" customHeight="1">
      <c r="A1292" t="inlineStr">
        <is>
          <t>A 23099-2026</t>
        </is>
      </c>
      <c r="B1292" t="inlineStr">
        <is>
          <t>avverkningsanmälan</t>
        </is>
      </c>
      <c r="C1292" t="inlineStr">
        <is>
          <t>Föryngringsavverkning</t>
        </is>
      </c>
      <c r="D1292" s="1" t="n">
        <v>46161</v>
      </c>
      <c r="E1292" s="1" t="n">
        <v>46315</v>
      </c>
      <c r="F1292" t="inlineStr">
        <is>
          <t>HALLANDS LÄN</t>
        </is>
      </c>
      <c r="G1292" t="inlineStr">
        <is>
          <t>HYLTE</t>
        </is>
      </c>
      <c r="H1292" t="inlineStr">
        <is>
          <t>Bergvik skog väst AB</t>
        </is>
      </c>
      <c r="I1292" t="n">
        <v>1.6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inlineStr"/>
    </row>
    <row r="1293" ht="15" customHeight="1">
      <c r="A1293" t="inlineStr">
        <is>
          <t>A 40974-2025</t>
        </is>
      </c>
      <c r="B1293" t="inlineStr">
        <is>
          <t>avverkningsanmälan</t>
        </is>
      </c>
      <c r="C1293" t="inlineStr">
        <is>
          <t>Föryngringsavverkning</t>
        </is>
      </c>
      <c r="D1293" s="1" t="n">
        <v>45897</v>
      </c>
      <c r="E1293" s="1" t="n">
        <v>46315</v>
      </c>
      <c r="F1293" t="inlineStr">
        <is>
          <t>HALLANDS LÄN</t>
        </is>
      </c>
      <c r="G1293" t="inlineStr">
        <is>
          <t>HALMSTAD</t>
        </is>
      </c>
      <c r="I1293" t="n">
        <v>2.1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inlineStr"/>
    </row>
    <row r="1294" ht="15" customHeight="1">
      <c r="A1294" t="inlineStr">
        <is>
          <t>A 57794-2025</t>
        </is>
      </c>
      <c r="B1294" t="inlineStr">
        <is>
          <t>avverkningsanmälan</t>
        </is>
      </c>
      <c r="C1294" t="inlineStr">
        <is>
          <t>Föryngringsavverkning</t>
        </is>
      </c>
      <c r="D1294" s="1" t="n">
        <v>45981</v>
      </c>
      <c r="E1294" s="1" t="n">
        <v>46315</v>
      </c>
      <c r="F1294" t="inlineStr">
        <is>
          <t>HALLANDS LÄN</t>
        </is>
      </c>
      <c r="G1294" t="inlineStr">
        <is>
          <t>HYLTE</t>
        </is>
      </c>
      <c r="I1294" t="n">
        <v>3.4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inlineStr"/>
    </row>
    <row r="1295" ht="15" customHeight="1">
      <c r="A1295" t="inlineStr">
        <is>
          <t>A 57922-2025</t>
        </is>
      </c>
      <c r="B1295" t="inlineStr">
        <is>
          <t>avverkningsanmälan</t>
        </is>
      </c>
      <c r="C1295" t="inlineStr">
        <is>
          <t>Föryngringsavverkning</t>
        </is>
      </c>
      <c r="D1295" s="1" t="n">
        <v>45981</v>
      </c>
      <c r="E1295" s="1" t="n">
        <v>46315</v>
      </c>
      <c r="F1295" t="inlineStr">
        <is>
          <t>HALLANDS LÄN</t>
        </is>
      </c>
      <c r="G1295" t="inlineStr">
        <is>
          <t>HALMSTAD</t>
        </is>
      </c>
      <c r="I1295" t="n">
        <v>2.2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inlineStr"/>
    </row>
    <row r="1296" ht="15" customHeight="1">
      <c r="A1296" t="inlineStr">
        <is>
          <t>A 9235-2023</t>
        </is>
      </c>
      <c r="B1296" t="inlineStr">
        <is>
          <t>avverkningsanmälan</t>
        </is>
      </c>
      <c r="C1296" t="inlineStr">
        <is>
          <t>Avverkning för annat ändamål</t>
        </is>
      </c>
      <c r="D1296" s="1" t="n">
        <v>44980</v>
      </c>
      <c r="E1296" s="1" t="n">
        <v>46315</v>
      </c>
      <c r="F1296" t="inlineStr">
        <is>
          <t>HALLANDS LÄN</t>
        </is>
      </c>
      <c r="G1296" t="inlineStr">
        <is>
          <t>VARBERG</t>
        </is>
      </c>
      <c r="I1296" t="n">
        <v>0.7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inlineStr"/>
    </row>
    <row r="1297" ht="15" customHeight="1">
      <c r="A1297" t="inlineStr">
        <is>
          <t>A 4226-2025</t>
        </is>
      </c>
      <c r="B1297" t="inlineStr">
        <is>
          <t>avverkningsanmälan</t>
        </is>
      </c>
      <c r="C1297" t="inlineStr">
        <is>
          <t>Föryngringsavverkning</t>
        </is>
      </c>
      <c r="D1297" s="1" t="n">
        <v>45685</v>
      </c>
      <c r="E1297" s="1" t="n">
        <v>46315</v>
      </c>
      <c r="F1297" t="inlineStr">
        <is>
          <t>HALLANDS LÄN</t>
        </is>
      </c>
      <c r="G1297" t="inlineStr">
        <is>
          <t>LAHOLM</t>
        </is>
      </c>
      <c r="I1297" t="n">
        <v>4.5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inlineStr"/>
    </row>
    <row r="1298" ht="15" customHeight="1">
      <c r="A1298" t="inlineStr">
        <is>
          <t>A 42815-2023</t>
        </is>
      </c>
      <c r="B1298" t="inlineStr">
        <is>
          <t>avverkningsanmälan</t>
        </is>
      </c>
      <c r="C1298" t="inlineStr">
        <is>
          <t>Föryngringsavverkning</t>
        </is>
      </c>
      <c r="D1298" s="1" t="n">
        <v>45182</v>
      </c>
      <c r="E1298" s="1" t="n">
        <v>46315</v>
      </c>
      <c r="F1298" t="inlineStr">
        <is>
          <t>HALLANDS LÄN</t>
        </is>
      </c>
      <c r="G1298" t="inlineStr">
        <is>
          <t>HYLTE</t>
        </is>
      </c>
      <c r="I1298" t="n">
        <v>1.8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inlineStr"/>
    </row>
    <row r="1299" ht="15" customHeight="1">
      <c r="A1299" t="inlineStr">
        <is>
          <t>A 37163-2024</t>
        </is>
      </c>
      <c r="B1299" t="inlineStr">
        <is>
          <t>avverkningsanmälan</t>
        </is>
      </c>
      <c r="C1299" t="inlineStr">
        <is>
          <t>Föryngringsavverkning</t>
        </is>
      </c>
      <c r="D1299" s="1" t="n">
        <v>45539</v>
      </c>
      <c r="E1299" s="1" t="n">
        <v>46315</v>
      </c>
      <c r="F1299" t="inlineStr">
        <is>
          <t>HALLANDS LÄN</t>
        </is>
      </c>
      <c r="G1299" t="inlineStr">
        <is>
          <t>HYLTE</t>
        </is>
      </c>
      <c r="I1299" t="n">
        <v>0.6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inlineStr"/>
    </row>
    <row r="1300" ht="15" customHeight="1">
      <c r="A1300" t="inlineStr">
        <is>
          <t>A 23192-2026</t>
        </is>
      </c>
      <c r="B1300" t="inlineStr">
        <is>
          <t>avverkningsanmälan</t>
        </is>
      </c>
      <c r="C1300" t="inlineStr">
        <is>
          <t>Föryngringsavverkning</t>
        </is>
      </c>
      <c r="D1300" s="1" t="n">
        <v>46161</v>
      </c>
      <c r="E1300" s="1" t="n">
        <v>46315</v>
      </c>
      <c r="F1300" t="inlineStr">
        <is>
          <t>HALLANDS LÄN</t>
        </is>
      </c>
      <c r="G1300" t="inlineStr">
        <is>
          <t>VARBERG</t>
        </is>
      </c>
      <c r="I1300" t="n">
        <v>3.7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inlineStr"/>
    </row>
    <row r="1301" ht="15" customHeight="1">
      <c r="A1301" t="inlineStr">
        <is>
          <t>A 58425-2025</t>
        </is>
      </c>
      <c r="B1301" t="inlineStr">
        <is>
          <t>avverkningsanmälan</t>
        </is>
      </c>
      <c r="C1301" t="inlineStr">
        <is>
          <t>Föryngringsavverkning</t>
        </is>
      </c>
      <c r="D1301" s="1" t="n">
        <v>45985</v>
      </c>
      <c r="E1301" s="1" t="n">
        <v>46315</v>
      </c>
      <c r="F1301" t="inlineStr">
        <is>
          <t>HALLANDS LÄN</t>
        </is>
      </c>
      <c r="G1301" t="inlineStr">
        <is>
          <t>VARBERG</t>
        </is>
      </c>
      <c r="I1301" t="n">
        <v>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inlineStr"/>
    </row>
    <row r="1302" ht="15" customHeight="1">
      <c r="A1302" t="inlineStr">
        <is>
          <t>A 5597-2022</t>
        </is>
      </c>
      <c r="B1302" t="inlineStr">
        <is>
          <t>avverkningsanmälan</t>
        </is>
      </c>
      <c r="C1302" t="inlineStr">
        <is>
          <t>Föryngringsavverkning</t>
        </is>
      </c>
      <c r="D1302" s="1" t="n">
        <v>44595</v>
      </c>
      <c r="E1302" s="1" t="n">
        <v>46315</v>
      </c>
      <c r="F1302" t="inlineStr">
        <is>
          <t>HALLANDS LÄN</t>
        </is>
      </c>
      <c r="G1302" t="inlineStr">
        <is>
          <t>VARBERG</t>
        </is>
      </c>
      <c r="I1302" t="n">
        <v>0.6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inlineStr"/>
    </row>
    <row r="1303" ht="15" customHeight="1">
      <c r="A1303" t="inlineStr">
        <is>
          <t>A 15837-2023</t>
        </is>
      </c>
      <c r="B1303" t="inlineStr">
        <is>
          <t>avverkningsanmälan</t>
        </is>
      </c>
      <c r="C1303" t="inlineStr">
        <is>
          <t>Föryngringsavverkning</t>
        </is>
      </c>
      <c r="D1303" s="1" t="n">
        <v>45022</v>
      </c>
      <c r="E1303" s="1" t="n">
        <v>46315</v>
      </c>
      <c r="F1303" t="inlineStr">
        <is>
          <t>HALLANDS LÄN</t>
        </is>
      </c>
      <c r="G1303" t="inlineStr">
        <is>
          <t>LAHOLM</t>
        </is>
      </c>
      <c r="H1303" t="inlineStr">
        <is>
          <t>Sveaskog</t>
        </is>
      </c>
      <c r="I1303" t="n">
        <v>0.8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inlineStr"/>
    </row>
    <row r="1304" ht="15" customHeight="1">
      <c r="A1304" t="inlineStr">
        <is>
          <t>A 23315-2026</t>
        </is>
      </c>
      <c r="B1304" t="inlineStr">
        <is>
          <t>avverkningsanmälan</t>
        </is>
      </c>
      <c r="C1304" t="inlineStr">
        <is>
          <t>Föryngringsavverkning</t>
        </is>
      </c>
      <c r="D1304" s="1" t="n">
        <v>46162</v>
      </c>
      <c r="E1304" s="1" t="n">
        <v>46315</v>
      </c>
      <c r="F1304" t="inlineStr">
        <is>
          <t>HALLANDS LÄN</t>
        </is>
      </c>
      <c r="G1304" t="inlineStr">
        <is>
          <t>HALMSTAD</t>
        </is>
      </c>
      <c r="I1304" t="n">
        <v>2.2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inlineStr"/>
    </row>
    <row r="1305" ht="15" customHeight="1">
      <c r="A1305" t="inlineStr">
        <is>
          <t>A 59158-2023</t>
        </is>
      </c>
      <c r="B1305" t="inlineStr">
        <is>
          <t>avverkningsanmälan</t>
        </is>
      </c>
      <c r="C1305" t="inlineStr">
        <is>
          <t>Föryngringsavverkning</t>
        </is>
      </c>
      <c r="D1305" s="1" t="n">
        <v>45253</v>
      </c>
      <c r="E1305" s="1" t="n">
        <v>46315</v>
      </c>
      <c r="F1305" t="inlineStr">
        <is>
          <t>HALLANDS LÄN</t>
        </is>
      </c>
      <c r="G1305" t="inlineStr">
        <is>
          <t>HYLTE</t>
        </is>
      </c>
      <c r="I1305" t="n">
        <v>1.3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inlineStr"/>
    </row>
    <row r="1306" ht="15" customHeight="1">
      <c r="A1306" t="inlineStr">
        <is>
          <t>A 23104-2026</t>
        </is>
      </c>
      <c r="B1306" t="inlineStr">
        <is>
          <t>avverkningsanmälan</t>
        </is>
      </c>
      <c r="C1306" t="inlineStr">
        <is>
          <t>Föryngringsavverkning</t>
        </is>
      </c>
      <c r="D1306" s="1" t="n">
        <v>46161</v>
      </c>
      <c r="E1306" s="1" t="n">
        <v>46315</v>
      </c>
      <c r="F1306" t="inlineStr">
        <is>
          <t>HALLANDS LÄN</t>
        </is>
      </c>
      <c r="G1306" t="inlineStr">
        <is>
          <t>HYLTE</t>
        </is>
      </c>
      <c r="I1306" t="n">
        <v>5.2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inlineStr"/>
    </row>
    <row r="1307" ht="15" customHeight="1">
      <c r="A1307" t="inlineStr">
        <is>
          <t>A 41610-2022</t>
        </is>
      </c>
      <c r="B1307" t="inlineStr">
        <is>
          <t>avverkningsanmälan</t>
        </is>
      </c>
      <c r="C1307" t="inlineStr">
        <is>
          <t>Föryngringsavverkning</t>
        </is>
      </c>
      <c r="D1307" s="1" t="n">
        <v>44827</v>
      </c>
      <c r="E1307" s="1" t="n">
        <v>46315</v>
      </c>
      <c r="F1307" t="inlineStr">
        <is>
          <t>HALLANDS LÄN</t>
        </is>
      </c>
      <c r="G1307" t="inlineStr">
        <is>
          <t>FALKENBERG</t>
        </is>
      </c>
      <c r="I1307" t="n">
        <v>3.2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inlineStr"/>
    </row>
    <row r="1308" ht="15" customHeight="1">
      <c r="A1308" t="inlineStr">
        <is>
          <t>A 67861-2021</t>
        </is>
      </c>
      <c r="B1308" t="inlineStr">
        <is>
          <t>avverkningsanmälan</t>
        </is>
      </c>
      <c r="C1308" t="inlineStr">
        <is>
          <t>Avverkning för annat ändamål</t>
        </is>
      </c>
      <c r="D1308" s="1" t="n">
        <v>44525</v>
      </c>
      <c r="E1308" s="1" t="n">
        <v>46315</v>
      </c>
      <c r="F1308" t="inlineStr">
        <is>
          <t>HALLANDS LÄN</t>
        </is>
      </c>
      <c r="G1308" t="inlineStr">
        <is>
          <t>LAHOLM</t>
        </is>
      </c>
      <c r="I1308" t="n">
        <v>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inlineStr"/>
    </row>
    <row r="1309" ht="15" customHeight="1">
      <c r="A1309" t="inlineStr">
        <is>
          <t>A 34598-2023</t>
        </is>
      </c>
      <c r="B1309" t="inlineStr">
        <is>
          <t>avverkningsanmälan</t>
        </is>
      </c>
      <c r="C1309" t="inlineStr">
        <is>
          <t>Föryngringsavverkning</t>
        </is>
      </c>
      <c r="D1309" s="1" t="n">
        <v>45138</v>
      </c>
      <c r="E1309" s="1" t="n">
        <v>46315</v>
      </c>
      <c r="F1309" t="inlineStr">
        <is>
          <t>HALLANDS LÄN</t>
        </is>
      </c>
      <c r="G1309" t="inlineStr">
        <is>
          <t>FALKENBERG</t>
        </is>
      </c>
      <c r="I1309" t="n">
        <v>4.6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inlineStr"/>
    </row>
    <row r="1310" ht="15" customHeight="1">
      <c r="A1310" t="inlineStr">
        <is>
          <t>A 58722-2025</t>
        </is>
      </c>
      <c r="B1310" t="inlineStr">
        <is>
          <t>avverkningsanmälan</t>
        </is>
      </c>
      <c r="C1310" t="inlineStr">
        <is>
          <t>Föryngringsavverkning</t>
        </is>
      </c>
      <c r="D1310" s="1" t="n">
        <v>45986</v>
      </c>
      <c r="E1310" s="1" t="n">
        <v>46315</v>
      </c>
      <c r="F1310" t="inlineStr">
        <is>
          <t>HALLANDS LÄN</t>
        </is>
      </c>
      <c r="G1310" t="inlineStr">
        <is>
          <t>VARBERG</t>
        </is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inlineStr"/>
    </row>
    <row r="1311" ht="15" customHeight="1">
      <c r="A1311" t="inlineStr">
        <is>
          <t>A 49489-2024</t>
        </is>
      </c>
      <c r="B1311" t="inlineStr">
        <is>
          <t>avverkningsanmälan</t>
        </is>
      </c>
      <c r="C1311" t="inlineStr">
        <is>
          <t>Föryngringsavverkning</t>
        </is>
      </c>
      <c r="D1311" s="1" t="n">
        <v>45596</v>
      </c>
      <c r="E1311" s="1" t="n">
        <v>46315</v>
      </c>
      <c r="F1311" t="inlineStr">
        <is>
          <t>HALLANDS LÄN</t>
        </is>
      </c>
      <c r="G1311" t="inlineStr">
        <is>
          <t>KUNGSBACKA</t>
        </is>
      </c>
      <c r="I1311" t="n">
        <v>0.7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inlineStr"/>
    </row>
    <row r="1312" ht="15" customHeight="1">
      <c r="A1312" t="inlineStr">
        <is>
          <t>A 30796-2023</t>
        </is>
      </c>
      <c r="B1312" t="inlineStr">
        <is>
          <t>avverkningsanmälan</t>
        </is>
      </c>
      <c r="C1312" t="inlineStr">
        <is>
          <t>Föryngringsavverkning</t>
        </is>
      </c>
      <c r="D1312" s="1" t="n">
        <v>45112</v>
      </c>
      <c r="E1312" s="1" t="n">
        <v>46315</v>
      </c>
      <c r="F1312" t="inlineStr">
        <is>
          <t>HALLANDS LÄN</t>
        </is>
      </c>
      <c r="G1312" t="inlineStr">
        <is>
          <t>LAHOLM</t>
        </is>
      </c>
      <c r="I1312" t="n">
        <v>2.3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inlineStr"/>
    </row>
    <row r="1313" ht="15" customHeight="1">
      <c r="A1313" t="inlineStr">
        <is>
          <t>A 64767-2023</t>
        </is>
      </c>
      <c r="B1313" t="inlineStr">
        <is>
          <t>avverkningsanmälan</t>
        </is>
      </c>
      <c r="C1313" t="inlineStr">
        <is>
          <t>Avverkning för annat ändamål</t>
        </is>
      </c>
      <c r="D1313" s="1" t="n">
        <v>45281</v>
      </c>
      <c r="E1313" s="1" t="n">
        <v>46315</v>
      </c>
      <c r="F1313" t="inlineStr">
        <is>
          <t>HALLANDS LÄN</t>
        </is>
      </c>
      <c r="G1313" t="inlineStr">
        <is>
          <t>VARBERG</t>
        </is>
      </c>
      <c r="I1313" t="n">
        <v>0.3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inlineStr"/>
    </row>
    <row r="1314" ht="15" customHeight="1">
      <c r="A1314" t="inlineStr">
        <is>
          <t>A 2700-2024</t>
        </is>
      </c>
      <c r="B1314" t="inlineStr">
        <is>
          <t>avverkningsanmälan</t>
        </is>
      </c>
      <c r="C1314" t="inlineStr">
        <is>
          <t>Föryngringsavverkning</t>
        </is>
      </c>
      <c r="D1314" s="1" t="n">
        <v>45314</v>
      </c>
      <c r="E1314" s="1" t="n">
        <v>46315</v>
      </c>
      <c r="F1314" t="inlineStr">
        <is>
          <t>HALLANDS LÄN</t>
        </is>
      </c>
      <c r="G1314" t="inlineStr">
        <is>
          <t>LAHOLM</t>
        </is>
      </c>
      <c r="I1314" t="n">
        <v>5.6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inlineStr"/>
    </row>
    <row r="1315" ht="15" customHeight="1">
      <c r="A1315" t="inlineStr">
        <is>
          <t>A 58977-2025</t>
        </is>
      </c>
      <c r="B1315" t="inlineStr">
        <is>
          <t>avverkningsanmälan</t>
        </is>
      </c>
      <c r="C1315" t="inlineStr">
        <is>
          <t>Föryngringsavverkning</t>
        </is>
      </c>
      <c r="D1315" s="1" t="n">
        <v>45987</v>
      </c>
      <c r="E1315" s="1" t="n">
        <v>46315</v>
      </c>
      <c r="F1315" t="inlineStr">
        <is>
          <t>HALLANDS LÄN</t>
        </is>
      </c>
      <c r="G1315" t="inlineStr">
        <is>
          <t>HYLTE</t>
        </is>
      </c>
      <c r="I1315" t="n">
        <v>3.3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inlineStr"/>
    </row>
    <row r="1316" ht="15" customHeight="1">
      <c r="A1316" t="inlineStr">
        <is>
          <t>A 23105-2026</t>
        </is>
      </c>
      <c r="B1316" t="inlineStr">
        <is>
          <t>avverkningsanmälan</t>
        </is>
      </c>
      <c r="C1316" t="inlineStr">
        <is>
          <t>Föryngringsavverkning</t>
        </is>
      </c>
      <c r="D1316" s="1" t="n">
        <v>46161</v>
      </c>
      <c r="E1316" s="1" t="n">
        <v>46315</v>
      </c>
      <c r="F1316" t="inlineStr">
        <is>
          <t>HALLANDS LÄN</t>
        </is>
      </c>
      <c r="G1316" t="inlineStr">
        <is>
          <t>HYLTE</t>
        </is>
      </c>
      <c r="H1316" t="inlineStr">
        <is>
          <t>Bergvik skog väst AB</t>
        </is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inlineStr"/>
    </row>
    <row r="1317" ht="15" customHeight="1">
      <c r="A1317" t="inlineStr">
        <is>
          <t>A 7609-2022</t>
        </is>
      </c>
      <c r="B1317" t="inlineStr">
        <is>
          <t>avverkningsanmälan</t>
        </is>
      </c>
      <c r="C1317" t="inlineStr">
        <is>
          <t>Föryngringsavverkning</t>
        </is>
      </c>
      <c r="D1317" s="1" t="n">
        <v>44607</v>
      </c>
      <c r="E1317" s="1" t="n">
        <v>46315</v>
      </c>
      <c r="F1317" t="inlineStr">
        <is>
          <t>HALLANDS LÄN</t>
        </is>
      </c>
      <c r="G1317" t="inlineStr">
        <is>
          <t>VARBERG</t>
        </is>
      </c>
      <c r="I1317" t="n">
        <v>1.6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inlineStr"/>
    </row>
    <row r="1318" ht="15" customHeight="1">
      <c r="A1318" t="inlineStr">
        <is>
          <t>A 23165-2026</t>
        </is>
      </c>
      <c r="B1318" t="inlineStr">
        <is>
          <t>avverkningsanmälan</t>
        </is>
      </c>
      <c r="C1318" t="inlineStr">
        <is>
          <t>Föryngringsavverkning</t>
        </is>
      </c>
      <c r="D1318" s="1" t="n">
        <v>46161</v>
      </c>
      <c r="E1318" s="1" t="n">
        <v>46315</v>
      </c>
      <c r="F1318" t="inlineStr">
        <is>
          <t>HALLANDS LÄN</t>
        </is>
      </c>
      <c r="G1318" t="inlineStr">
        <is>
          <t>VARBERG</t>
        </is>
      </c>
      <c r="I1318" t="n">
        <v>2.3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inlineStr"/>
    </row>
    <row r="1319" ht="15" customHeight="1">
      <c r="A1319" t="inlineStr">
        <is>
          <t>A 35589-2024</t>
        </is>
      </c>
      <c r="B1319" t="inlineStr">
        <is>
          <t>avverkningsanmälan</t>
        </is>
      </c>
      <c r="C1319" t="inlineStr">
        <is>
          <t>Föryngringsavverkning</t>
        </is>
      </c>
      <c r="D1319" s="1" t="n">
        <v>45531</v>
      </c>
      <c r="E1319" s="1" t="n">
        <v>46315</v>
      </c>
      <c r="F1319" t="inlineStr">
        <is>
          <t>HALLANDS LÄN</t>
        </is>
      </c>
      <c r="G1319" t="inlineStr">
        <is>
          <t>HYLTE</t>
        </is>
      </c>
      <c r="I1319" t="n">
        <v>0.7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inlineStr"/>
    </row>
    <row r="1320" ht="15" customHeight="1">
      <c r="A1320" t="inlineStr">
        <is>
          <t>A 23395-2026</t>
        </is>
      </c>
      <c r="B1320" t="inlineStr">
        <is>
          <t>avverkningsanmälan</t>
        </is>
      </c>
      <c r="C1320" t="inlineStr">
        <is>
          <t>Föryngringsavverkning</t>
        </is>
      </c>
      <c r="D1320" s="1" t="n">
        <v>46162</v>
      </c>
      <c r="E1320" s="1" t="n">
        <v>46315</v>
      </c>
      <c r="F1320" t="inlineStr">
        <is>
          <t>HALLANDS LÄN</t>
        </is>
      </c>
      <c r="G1320" t="inlineStr">
        <is>
          <t>FALKENBERG</t>
        </is>
      </c>
      <c r="I1320" t="n">
        <v>2.9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inlineStr"/>
    </row>
    <row r="1321" ht="15" customHeight="1">
      <c r="A1321" t="inlineStr">
        <is>
          <t>A 59108-2025</t>
        </is>
      </c>
      <c r="B1321" t="inlineStr">
        <is>
          <t>avverkningsanmälan</t>
        </is>
      </c>
      <c r="C1321" t="inlineStr">
        <is>
          <t>Föryngringsavverkning</t>
        </is>
      </c>
      <c r="D1321" s="1" t="n">
        <v>45988</v>
      </c>
      <c r="E1321" s="1" t="n">
        <v>46315</v>
      </c>
      <c r="F1321" t="inlineStr">
        <is>
          <t>HALLANDS LÄN</t>
        </is>
      </c>
      <c r="G1321" t="inlineStr">
        <is>
          <t>VARBERG</t>
        </is>
      </c>
      <c r="H1321" t="inlineStr">
        <is>
          <t>Övriga statliga verk och myndigheter</t>
        </is>
      </c>
      <c r="I1321" t="n">
        <v>0.6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inlineStr"/>
    </row>
    <row r="1322" ht="15" customHeight="1">
      <c r="A1322" t="inlineStr">
        <is>
          <t>A 57115-2025</t>
        </is>
      </c>
      <c r="B1322" t="inlineStr">
        <is>
          <t>avverkningsanmälan</t>
        </is>
      </c>
      <c r="C1322" t="inlineStr">
        <is>
          <t>Föryngringsavverkning</t>
        </is>
      </c>
      <c r="D1322" s="1" t="n">
        <v>45978</v>
      </c>
      <c r="E1322" s="1" t="n">
        <v>46315</v>
      </c>
      <c r="F1322" t="inlineStr">
        <is>
          <t>HALLANDS LÄN</t>
        </is>
      </c>
      <c r="G1322" t="inlineStr">
        <is>
          <t>FALKENBERG</t>
        </is>
      </c>
      <c r="I1322" t="n">
        <v>1.8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inlineStr"/>
    </row>
    <row r="1323" ht="15" customHeight="1">
      <c r="A1323" t="inlineStr">
        <is>
          <t>A 59464-2025</t>
        </is>
      </c>
      <c r="B1323" t="inlineStr">
        <is>
          <t>avverkningsanmälan</t>
        </is>
      </c>
      <c r="C1323" t="inlineStr">
        <is>
          <t>Föryngringsavverkning</t>
        </is>
      </c>
      <c r="D1323" s="1" t="n">
        <v>45989</v>
      </c>
      <c r="E1323" s="1" t="n">
        <v>46315</v>
      </c>
      <c r="F1323" t="inlineStr">
        <is>
          <t>HALLANDS LÄN</t>
        </is>
      </c>
      <c r="G1323" t="inlineStr">
        <is>
          <t>HYLTE</t>
        </is>
      </c>
      <c r="I1323" t="n">
        <v>1.2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inlineStr"/>
    </row>
    <row r="1324" ht="15" customHeight="1">
      <c r="A1324" t="inlineStr">
        <is>
          <t>A 59510-2025</t>
        </is>
      </c>
      <c r="B1324" t="inlineStr">
        <is>
          <t>avverkningsanmälan</t>
        </is>
      </c>
      <c r="C1324" t="inlineStr">
        <is>
          <t>Föryngringsavverkning</t>
        </is>
      </c>
      <c r="D1324" s="1" t="n">
        <v>45989</v>
      </c>
      <c r="E1324" s="1" t="n">
        <v>46315</v>
      </c>
      <c r="F1324" t="inlineStr">
        <is>
          <t>HALLANDS LÄN</t>
        </is>
      </c>
      <c r="G1324" t="inlineStr">
        <is>
          <t>FALKENBERG</t>
        </is>
      </c>
      <c r="I1324" t="n">
        <v>2.8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inlineStr"/>
    </row>
    <row r="1325" ht="15" customHeight="1">
      <c r="A1325" t="inlineStr">
        <is>
          <t>A 9465-2023</t>
        </is>
      </c>
      <c r="B1325" t="inlineStr">
        <is>
          <t>avverkningsanmälan</t>
        </is>
      </c>
      <c r="C1325" t="inlineStr">
        <is>
          <t>Föryngringsavverkning</t>
        </is>
      </c>
      <c r="D1325" s="1" t="n">
        <v>44981</v>
      </c>
      <c r="E1325" s="1" t="n">
        <v>46315</v>
      </c>
      <c r="F1325" t="inlineStr">
        <is>
          <t>HALLANDS LÄN</t>
        </is>
      </c>
      <c r="G1325" t="inlineStr">
        <is>
          <t>VARBERG</t>
        </is>
      </c>
      <c r="I1325" t="n">
        <v>9.9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inlineStr"/>
    </row>
    <row r="1326" ht="15" customHeight="1">
      <c r="A1326" t="inlineStr">
        <is>
          <t>A 9479-2023</t>
        </is>
      </c>
      <c r="B1326" t="inlineStr">
        <is>
          <t>avverkningsanmälan</t>
        </is>
      </c>
      <c r="C1326" t="inlineStr">
        <is>
          <t>Föryngringsavverkning</t>
        </is>
      </c>
      <c r="D1326" s="1" t="n">
        <v>44981</v>
      </c>
      <c r="E1326" s="1" t="n">
        <v>46315</v>
      </c>
      <c r="F1326" t="inlineStr">
        <is>
          <t>HALLANDS LÄN</t>
        </is>
      </c>
      <c r="G1326" t="inlineStr">
        <is>
          <t>LAHOLM</t>
        </is>
      </c>
      <c r="I1326" t="n">
        <v>3.7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inlineStr"/>
    </row>
    <row r="1327" ht="15" customHeight="1">
      <c r="A1327" t="inlineStr">
        <is>
          <t>A 23312-2026</t>
        </is>
      </c>
      <c r="B1327" t="inlineStr">
        <is>
          <t>avverkningsanmälan</t>
        </is>
      </c>
      <c r="C1327" t="inlineStr">
        <is>
          <t>Föryngringsavverkning</t>
        </is>
      </c>
      <c r="D1327" s="1" t="n">
        <v>46162</v>
      </c>
      <c r="E1327" s="1" t="n">
        <v>46315</v>
      </c>
      <c r="F1327" t="inlineStr">
        <is>
          <t>HALLANDS LÄN</t>
        </is>
      </c>
      <c r="G1327" t="inlineStr">
        <is>
          <t>HALMSTAD</t>
        </is>
      </c>
      <c r="I1327" t="n">
        <v>0.6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inlineStr"/>
    </row>
    <row r="1328" ht="15" customHeight="1">
      <c r="A1328" t="inlineStr">
        <is>
          <t>A 27754-2023</t>
        </is>
      </c>
      <c r="B1328" t="inlineStr">
        <is>
          <t>avverkningsanmälan</t>
        </is>
      </c>
      <c r="C1328" t="inlineStr">
        <is>
          <t>Föryngringsavverkning</t>
        </is>
      </c>
      <c r="D1328" s="1" t="n">
        <v>45098</v>
      </c>
      <c r="E1328" s="1" t="n">
        <v>46315</v>
      </c>
      <c r="F1328" t="inlineStr">
        <is>
          <t>HALLANDS LÄN</t>
        </is>
      </c>
      <c r="G1328" t="inlineStr">
        <is>
          <t>LAHOLM</t>
        </is>
      </c>
      <c r="I1328" t="n">
        <v>0.5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inlineStr"/>
    </row>
    <row r="1329" ht="15" customHeight="1">
      <c r="A1329" t="inlineStr">
        <is>
          <t>A 48768-2024</t>
        </is>
      </c>
      <c r="B1329" t="inlineStr">
        <is>
          <t>avverkningsanmälan</t>
        </is>
      </c>
      <c r="C1329" t="inlineStr">
        <is>
          <t>Föryngringsavverkning</t>
        </is>
      </c>
      <c r="D1329" s="1" t="n">
        <v>45593</v>
      </c>
      <c r="E1329" s="1" t="n">
        <v>46315</v>
      </c>
      <c r="F1329" t="inlineStr">
        <is>
          <t>HALLANDS LÄN</t>
        </is>
      </c>
      <c r="G1329" t="inlineStr">
        <is>
          <t>VARBERG</t>
        </is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inlineStr"/>
    </row>
    <row r="1330" ht="15" customHeight="1">
      <c r="A1330" t="inlineStr">
        <is>
          <t>A 6429-2025</t>
        </is>
      </c>
      <c r="B1330" t="inlineStr">
        <is>
          <t>avverkningsanmälan</t>
        </is>
      </c>
      <c r="C1330" t="inlineStr">
        <is>
          <t>Föryngringsavverkning</t>
        </is>
      </c>
      <c r="D1330" s="1" t="n">
        <v>45699</v>
      </c>
      <c r="E1330" s="1" t="n">
        <v>46315</v>
      </c>
      <c r="F1330" t="inlineStr">
        <is>
          <t>HALLANDS LÄN</t>
        </is>
      </c>
      <c r="G1330" t="inlineStr">
        <is>
          <t>LAHOLM</t>
        </is>
      </c>
      <c r="I1330" t="n">
        <v>1.8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inlineStr"/>
    </row>
    <row r="1331" ht="15" customHeight="1">
      <c r="A1331" t="inlineStr">
        <is>
          <t>A 33163-2023</t>
        </is>
      </c>
      <c r="B1331" t="inlineStr">
        <is>
          <t>avverkningsanmälan</t>
        </is>
      </c>
      <c r="C1331" t="inlineStr">
        <is>
          <t>Föryngringsavverkning</t>
        </is>
      </c>
      <c r="D1331" s="1" t="n">
        <v>45126</v>
      </c>
      <c r="E1331" s="1" t="n">
        <v>46315</v>
      </c>
      <c r="F1331" t="inlineStr">
        <is>
          <t>HALLANDS LÄN</t>
        </is>
      </c>
      <c r="G1331" t="inlineStr">
        <is>
          <t>LAHOLM</t>
        </is>
      </c>
      <c r="I1331" t="n">
        <v>2.8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inlineStr"/>
    </row>
    <row r="1332" ht="15" customHeight="1">
      <c r="A1332" t="inlineStr">
        <is>
          <t>A 42312-2024</t>
        </is>
      </c>
      <c r="B1332" t="inlineStr">
        <is>
          <t>avverkningsanmälan</t>
        </is>
      </c>
      <c r="C1332" t="inlineStr">
        <is>
          <t>Föryngringsavverkning</t>
        </is>
      </c>
      <c r="D1332" s="1" t="n">
        <v>45562</v>
      </c>
      <c r="E1332" s="1" t="n">
        <v>46315</v>
      </c>
      <c r="F1332" t="inlineStr">
        <is>
          <t>HALLANDS LÄN</t>
        </is>
      </c>
      <c r="G1332" t="inlineStr">
        <is>
          <t>LAHOLM</t>
        </is>
      </c>
      <c r="I1332" t="n">
        <v>0.9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inlineStr"/>
    </row>
    <row r="1333" ht="15" customHeight="1">
      <c r="A1333" t="inlineStr">
        <is>
          <t>A 8252-2023</t>
        </is>
      </c>
      <c r="B1333" t="inlineStr">
        <is>
          <t>avverkningsanmälan</t>
        </is>
      </c>
      <c r="C1333" t="inlineStr">
        <is>
          <t>Föryngringsavverkning</t>
        </is>
      </c>
      <c r="D1333" s="1" t="n">
        <v>44974</v>
      </c>
      <c r="E1333" s="1" t="n">
        <v>46315</v>
      </c>
      <c r="F1333" t="inlineStr">
        <is>
          <t>HALLANDS LÄN</t>
        </is>
      </c>
      <c r="G1333" t="inlineStr">
        <is>
          <t>FALKENBERG</t>
        </is>
      </c>
      <c r="I1333" t="n">
        <v>1.3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inlineStr"/>
    </row>
    <row r="1334" ht="15" customHeight="1">
      <c r="A1334" t="inlineStr">
        <is>
          <t>A 27720-2023</t>
        </is>
      </c>
      <c r="B1334" t="inlineStr">
        <is>
          <t>avverkningsanmälan</t>
        </is>
      </c>
      <c r="C1334" t="inlineStr">
        <is>
          <t>Föryngringsavverkning</t>
        </is>
      </c>
      <c r="D1334" s="1" t="n">
        <v>45098</v>
      </c>
      <c r="E1334" s="1" t="n">
        <v>46315</v>
      </c>
      <c r="F1334" t="inlineStr">
        <is>
          <t>HALLANDS LÄN</t>
        </is>
      </c>
      <c r="G1334" t="inlineStr">
        <is>
          <t>LAHOLM</t>
        </is>
      </c>
      <c r="I1334" t="n">
        <v>1.5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inlineStr"/>
    </row>
    <row r="1335" ht="15" customHeight="1">
      <c r="A1335" t="inlineStr">
        <is>
          <t>A 57659-2023</t>
        </is>
      </c>
      <c r="B1335" t="inlineStr">
        <is>
          <t>avverkningsanmälan</t>
        </is>
      </c>
      <c r="C1335" t="inlineStr">
        <is>
          <t>Föryngringsavverkning</t>
        </is>
      </c>
      <c r="D1335" s="1" t="n">
        <v>45246</v>
      </c>
      <c r="E1335" s="1" t="n">
        <v>46315</v>
      </c>
      <c r="F1335" t="inlineStr">
        <is>
          <t>HALLANDS LÄN</t>
        </is>
      </c>
      <c r="G1335" t="inlineStr">
        <is>
          <t>VARBERG</t>
        </is>
      </c>
      <c r="I1335" t="n">
        <v>3.4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inlineStr"/>
    </row>
    <row r="1336" ht="15" customHeight="1">
      <c r="A1336" t="inlineStr">
        <is>
          <t>A 23695-2026</t>
        </is>
      </c>
      <c r="B1336" t="inlineStr">
        <is>
          <t>avverkningsanmälan</t>
        </is>
      </c>
      <c r="C1336" t="inlineStr">
        <is>
          <t>Föryngringsavverkning</t>
        </is>
      </c>
      <c r="D1336" s="1" t="n">
        <v>46164</v>
      </c>
      <c r="E1336" s="1" t="n">
        <v>46315</v>
      </c>
      <c r="F1336" t="inlineStr">
        <is>
          <t>HALLANDS LÄN</t>
        </is>
      </c>
      <c r="G1336" t="inlineStr">
        <is>
          <t>FALKENBERG</t>
        </is>
      </c>
      <c r="I1336" t="n">
        <v>8.199999999999999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inlineStr"/>
    </row>
    <row r="1337" ht="15" customHeight="1">
      <c r="A1337" t="inlineStr">
        <is>
          <t>A 9639-2025</t>
        </is>
      </c>
      <c r="B1337" t="inlineStr">
        <is>
          <t>avverkningsanmälan</t>
        </is>
      </c>
      <c r="C1337" t="inlineStr">
        <is>
          <t>Föryngringsavverkning</t>
        </is>
      </c>
      <c r="D1337" s="1" t="n">
        <v>45715</v>
      </c>
      <c r="E1337" s="1" t="n">
        <v>46315</v>
      </c>
      <c r="F1337" t="inlineStr">
        <is>
          <t>HALLANDS LÄN</t>
        </is>
      </c>
      <c r="G1337" t="inlineStr">
        <is>
          <t>HYLTE</t>
        </is>
      </c>
      <c r="I1337" t="n">
        <v>0.5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inlineStr"/>
    </row>
    <row r="1338" ht="15" customHeight="1">
      <c r="A1338" t="inlineStr">
        <is>
          <t>A 42868-2023</t>
        </is>
      </c>
      <c r="B1338" t="inlineStr">
        <is>
          <t>avverkningsanmälan</t>
        </is>
      </c>
      <c r="C1338" t="inlineStr">
        <is>
          <t>Föryngringsavverkning</t>
        </is>
      </c>
      <c r="D1338" s="1" t="n">
        <v>45182</v>
      </c>
      <c r="E1338" s="1" t="n">
        <v>46315</v>
      </c>
      <c r="F1338" t="inlineStr">
        <is>
          <t>HALLANDS LÄN</t>
        </is>
      </c>
      <c r="G1338" t="inlineStr">
        <is>
          <t>HYLTE</t>
        </is>
      </c>
      <c r="I1338" t="n">
        <v>0.8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inlineStr"/>
    </row>
    <row r="1339" ht="15" customHeight="1">
      <c r="A1339" t="inlineStr">
        <is>
          <t>A 46365-2022</t>
        </is>
      </c>
      <c r="B1339" t="inlineStr">
        <is>
          <t>avverkningsanmälan</t>
        </is>
      </c>
      <c r="C1339" t="inlineStr">
        <is>
          <t>Föryngringsavverkning</t>
        </is>
      </c>
      <c r="D1339" s="1" t="n">
        <v>44848</v>
      </c>
      <c r="E1339" s="1" t="n">
        <v>46315</v>
      </c>
      <c r="F1339" t="inlineStr">
        <is>
          <t>HALLANDS LÄN</t>
        </is>
      </c>
      <c r="G1339" t="inlineStr">
        <is>
          <t>FALKENBERG</t>
        </is>
      </c>
      <c r="I1339" t="n">
        <v>0.8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inlineStr"/>
    </row>
    <row r="1340" ht="15" customHeight="1">
      <c r="A1340" t="inlineStr">
        <is>
          <t>A 70040-2021</t>
        </is>
      </c>
      <c r="B1340" t="inlineStr">
        <is>
          <t>avverkningsanmälan</t>
        </is>
      </c>
      <c r="C1340" t="inlineStr">
        <is>
          <t>Föryngringsavverkning</t>
        </is>
      </c>
      <c r="D1340" s="1" t="n">
        <v>44533</v>
      </c>
      <c r="E1340" s="1" t="n">
        <v>46315</v>
      </c>
      <c r="F1340" t="inlineStr">
        <is>
          <t>HALLANDS LÄN</t>
        </is>
      </c>
      <c r="G1340" t="inlineStr">
        <is>
          <t>VARBERG</t>
        </is>
      </c>
      <c r="I1340" t="n">
        <v>2.2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inlineStr"/>
    </row>
    <row r="1341" ht="15" customHeight="1">
      <c r="A1341" t="inlineStr">
        <is>
          <t>A 17262-2024</t>
        </is>
      </c>
      <c r="B1341" t="inlineStr">
        <is>
          <t>avverkningsanmälan</t>
        </is>
      </c>
      <c r="C1341" t="inlineStr">
        <is>
          <t>Föryngringsavverkning</t>
        </is>
      </c>
      <c r="D1341" s="1" t="n">
        <v>45414</v>
      </c>
      <c r="E1341" s="1" t="n">
        <v>46315</v>
      </c>
      <c r="F1341" t="inlineStr">
        <is>
          <t>HALLANDS LÄN</t>
        </is>
      </c>
      <c r="G1341" t="inlineStr">
        <is>
          <t>HYLTE</t>
        </is>
      </c>
      <c r="I1341" t="n">
        <v>1.5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inlineStr"/>
    </row>
    <row r="1342" ht="15" customHeight="1">
      <c r="A1342" t="inlineStr">
        <is>
          <t>A 17548-2024</t>
        </is>
      </c>
      <c r="B1342" t="inlineStr">
        <is>
          <t>avverkningsanmälan</t>
        </is>
      </c>
      <c r="C1342" t="inlineStr">
        <is>
          <t>Föryngringsavverkning</t>
        </is>
      </c>
      <c r="D1342" s="1" t="n">
        <v>45415</v>
      </c>
      <c r="E1342" s="1" t="n">
        <v>46315</v>
      </c>
      <c r="F1342" t="inlineStr">
        <is>
          <t>HALLANDS LÄN</t>
        </is>
      </c>
      <c r="G1342" t="inlineStr">
        <is>
          <t>LAHOLM</t>
        </is>
      </c>
      <c r="I1342" t="n">
        <v>1.3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inlineStr"/>
    </row>
    <row r="1343" ht="15" customHeight="1">
      <c r="A1343" t="inlineStr">
        <is>
          <t>A 42658-2024</t>
        </is>
      </c>
      <c r="B1343" t="inlineStr">
        <is>
          <t>avverkningsanmälan</t>
        </is>
      </c>
      <c r="C1343" t="inlineStr">
        <is>
          <t>Föryngringsavverkning</t>
        </is>
      </c>
      <c r="D1343" s="1" t="n">
        <v>45566</v>
      </c>
      <c r="E1343" s="1" t="n">
        <v>46315</v>
      </c>
      <c r="F1343" t="inlineStr">
        <is>
          <t>HALLANDS LÄN</t>
        </is>
      </c>
      <c r="G1343" t="inlineStr">
        <is>
          <t>FALKENBERG</t>
        </is>
      </c>
      <c r="I1343" t="n">
        <v>1.1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inlineStr"/>
    </row>
    <row r="1344" ht="15" customHeight="1">
      <c r="A1344" t="inlineStr">
        <is>
          <t>A 42798-2024</t>
        </is>
      </c>
      <c r="B1344" t="inlineStr">
        <is>
          <t>avverkningsanmälan</t>
        </is>
      </c>
      <c r="C1344" t="inlineStr">
        <is>
          <t>Föryngringsavverkning</t>
        </is>
      </c>
      <c r="D1344" s="1" t="n">
        <v>45566</v>
      </c>
      <c r="E1344" s="1" t="n">
        <v>46315</v>
      </c>
      <c r="F1344" t="inlineStr">
        <is>
          <t>HALLANDS LÄN</t>
        </is>
      </c>
      <c r="G1344" t="inlineStr">
        <is>
          <t>FALKENBERG</t>
        </is>
      </c>
      <c r="I1344" t="n">
        <v>0.5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inlineStr"/>
    </row>
    <row r="1345" ht="15" customHeight="1">
      <c r="A1345" t="inlineStr">
        <is>
          <t>A 42799-2024</t>
        </is>
      </c>
      <c r="B1345" t="inlineStr">
        <is>
          <t>avverkningsanmälan</t>
        </is>
      </c>
      <c r="C1345" t="inlineStr">
        <is>
          <t>Föryngringsavverkning</t>
        </is>
      </c>
      <c r="D1345" s="1" t="n">
        <v>45566</v>
      </c>
      <c r="E1345" s="1" t="n">
        <v>46315</v>
      </c>
      <c r="F1345" t="inlineStr">
        <is>
          <t>HALLANDS LÄN</t>
        </is>
      </c>
      <c r="G1345" t="inlineStr">
        <is>
          <t>FALKENBERG</t>
        </is>
      </c>
      <c r="I1345" t="n">
        <v>0.5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inlineStr"/>
    </row>
    <row r="1346" ht="15" customHeight="1">
      <c r="A1346" t="inlineStr">
        <is>
          <t>A 60207-2025</t>
        </is>
      </c>
      <c r="B1346" t="inlineStr">
        <is>
          <t>avverkningsanmälan</t>
        </is>
      </c>
      <c r="C1346" t="inlineStr">
        <is>
          <t>Föryngringsavverkning</t>
        </is>
      </c>
      <c r="D1346" s="1" t="n">
        <v>45994</v>
      </c>
      <c r="E1346" s="1" t="n">
        <v>46315</v>
      </c>
      <c r="F1346" t="inlineStr">
        <is>
          <t>HALLANDS LÄN</t>
        </is>
      </c>
      <c r="G1346" t="inlineStr">
        <is>
          <t>VARBERG</t>
        </is>
      </c>
      <c r="I1346" t="n">
        <v>8.5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inlineStr"/>
    </row>
    <row r="1347" ht="15" customHeight="1">
      <c r="A1347" t="inlineStr">
        <is>
          <t>A 60212-2025</t>
        </is>
      </c>
      <c r="B1347" t="inlineStr">
        <is>
          <t>avverkningsanmälan</t>
        </is>
      </c>
      <c r="C1347" t="inlineStr">
        <is>
          <t>Föryngringsavverkning</t>
        </is>
      </c>
      <c r="D1347" s="1" t="n">
        <v>45994</v>
      </c>
      <c r="E1347" s="1" t="n">
        <v>46315</v>
      </c>
      <c r="F1347" t="inlineStr">
        <is>
          <t>HALLANDS LÄN</t>
        </is>
      </c>
      <c r="G1347" t="inlineStr">
        <is>
          <t>VARBERG</t>
        </is>
      </c>
      <c r="I1347" t="n">
        <v>1.7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inlineStr"/>
    </row>
    <row r="1348" ht="15" customHeight="1">
      <c r="A1348" t="inlineStr">
        <is>
          <t>A 60109-2025</t>
        </is>
      </c>
      <c r="B1348" t="inlineStr">
        <is>
          <t>avverkningsanmälan</t>
        </is>
      </c>
      <c r="C1348" t="inlineStr">
        <is>
          <t>Föryngringsavverkning</t>
        </is>
      </c>
      <c r="D1348" s="1" t="n">
        <v>45994</v>
      </c>
      <c r="E1348" s="1" t="n">
        <v>46315</v>
      </c>
      <c r="F1348" t="inlineStr">
        <is>
          <t>HALLANDS LÄN</t>
        </is>
      </c>
      <c r="G1348" t="inlineStr">
        <is>
          <t>LAHOLM</t>
        </is>
      </c>
      <c r="H1348" t="inlineStr">
        <is>
          <t>Sveaskog</t>
        </is>
      </c>
      <c r="I1348" t="n">
        <v>0.8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inlineStr"/>
    </row>
    <row r="1349" ht="15" customHeight="1">
      <c r="A1349" t="inlineStr">
        <is>
          <t>A 23641-2026</t>
        </is>
      </c>
      <c r="B1349" t="inlineStr">
        <is>
          <t>avverkningsanmälan</t>
        </is>
      </c>
      <c r="C1349" t="inlineStr">
        <is>
          <t>Föryngringsavverkning</t>
        </is>
      </c>
      <c r="D1349" s="1" t="n">
        <v>46164</v>
      </c>
      <c r="E1349" s="1" t="n">
        <v>46315</v>
      </c>
      <c r="F1349" t="inlineStr">
        <is>
          <t>HALLANDS LÄN</t>
        </is>
      </c>
      <c r="G1349" t="inlineStr">
        <is>
          <t>VARBERG</t>
        </is>
      </c>
      <c r="I1349" t="n">
        <v>0.5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inlineStr"/>
    </row>
    <row r="1350" ht="15" customHeight="1">
      <c r="A1350" t="inlineStr">
        <is>
          <t>A 60209-2025</t>
        </is>
      </c>
      <c r="B1350" t="inlineStr">
        <is>
          <t>avverkningsanmälan</t>
        </is>
      </c>
      <c r="C1350" t="inlineStr">
        <is>
          <t>Föryngringsavverkning</t>
        </is>
      </c>
      <c r="D1350" s="1" t="n">
        <v>45994</v>
      </c>
      <c r="E1350" s="1" t="n">
        <v>46315</v>
      </c>
      <c r="F1350" t="inlineStr">
        <is>
          <t>HALLANDS LÄN</t>
        </is>
      </c>
      <c r="G1350" t="inlineStr">
        <is>
          <t>VARBERG</t>
        </is>
      </c>
      <c r="I1350" t="n">
        <v>3.6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inlineStr"/>
    </row>
    <row r="1351" ht="15" customHeight="1">
      <c r="A1351" t="inlineStr">
        <is>
          <t>A 60655-2025</t>
        </is>
      </c>
      <c r="B1351" t="inlineStr">
        <is>
          <t>avverkningsanmälan</t>
        </is>
      </c>
      <c r="C1351" t="inlineStr">
        <is>
          <t>Föryngringsavverkning</t>
        </is>
      </c>
      <c r="D1351" s="1" t="n">
        <v>45995</v>
      </c>
      <c r="E1351" s="1" t="n">
        <v>46315</v>
      </c>
      <c r="F1351" t="inlineStr">
        <is>
          <t>HALLANDS LÄN</t>
        </is>
      </c>
      <c r="G1351" t="inlineStr">
        <is>
          <t>HYLTE</t>
        </is>
      </c>
      <c r="I1351" t="n">
        <v>2.8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inlineStr"/>
    </row>
    <row r="1352" ht="15" customHeight="1">
      <c r="A1352" t="inlineStr">
        <is>
          <t>A 29201-2023</t>
        </is>
      </c>
      <c r="B1352" t="inlineStr">
        <is>
          <t>avverkningsanmälan</t>
        </is>
      </c>
      <c r="C1352" t="inlineStr">
        <is>
          <t>Föryngringsavverkning</t>
        </is>
      </c>
      <c r="D1352" s="1" t="n">
        <v>45105</v>
      </c>
      <c r="E1352" s="1" t="n">
        <v>46315</v>
      </c>
      <c r="F1352" t="inlineStr">
        <is>
          <t>HALLANDS LÄN</t>
        </is>
      </c>
      <c r="G1352" t="inlineStr">
        <is>
          <t>FALKENBERG</t>
        </is>
      </c>
      <c r="I1352" t="n">
        <v>3.6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inlineStr"/>
    </row>
    <row r="1353" ht="15" customHeight="1">
      <c r="A1353" t="inlineStr">
        <is>
          <t>A 23705-2026</t>
        </is>
      </c>
      <c r="B1353" t="inlineStr">
        <is>
          <t>avverkningsanmälan</t>
        </is>
      </c>
      <c r="C1353" t="inlineStr">
        <is>
          <t>Föryngringsavverkning</t>
        </is>
      </c>
      <c r="D1353" s="1" t="n">
        <v>46164</v>
      </c>
      <c r="E1353" s="1" t="n">
        <v>46315</v>
      </c>
      <c r="F1353" t="inlineStr">
        <is>
          <t>HALLANDS LÄN</t>
        </is>
      </c>
      <c r="G1353" t="inlineStr">
        <is>
          <t>FALKENBERG</t>
        </is>
      </c>
      <c r="I1353" t="n">
        <v>1.6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inlineStr"/>
    </row>
    <row r="1354" ht="15" customHeight="1">
      <c r="A1354" t="inlineStr">
        <is>
          <t>A 19118-2023</t>
        </is>
      </c>
      <c r="B1354" t="inlineStr">
        <is>
          <t>avverkningsanmälan</t>
        </is>
      </c>
      <c r="C1354" t="inlineStr">
        <is>
          <t>Föryngringsavverkning</t>
        </is>
      </c>
      <c r="D1354" s="1" t="n">
        <v>45048</v>
      </c>
      <c r="E1354" s="1" t="n">
        <v>46315</v>
      </c>
      <c r="F1354" t="inlineStr">
        <is>
          <t>HALLANDS LÄN</t>
        </is>
      </c>
      <c r="G1354" t="inlineStr">
        <is>
          <t>FALKENBERG</t>
        </is>
      </c>
      <c r="I1354" t="n">
        <v>5.7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inlineStr"/>
    </row>
    <row r="1355" ht="15" customHeight="1">
      <c r="A1355" t="inlineStr">
        <is>
          <t>A 60452-2024</t>
        </is>
      </c>
      <c r="B1355" t="inlineStr">
        <is>
          <t>avverkningsanmälan</t>
        </is>
      </c>
      <c r="C1355" t="inlineStr">
        <is>
          <t>Föryngringsavverkning</t>
        </is>
      </c>
      <c r="D1355" s="1" t="n">
        <v>45643</v>
      </c>
      <c r="E1355" s="1" t="n">
        <v>46315</v>
      </c>
      <c r="F1355" t="inlineStr">
        <is>
          <t>HALLANDS LÄN</t>
        </is>
      </c>
      <c r="G1355" t="inlineStr">
        <is>
          <t>HYLTE</t>
        </is>
      </c>
      <c r="I1355" t="n">
        <v>4.6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inlineStr"/>
    </row>
    <row r="1356" ht="15" customHeight="1">
      <c r="A1356" t="inlineStr">
        <is>
          <t>A 31265-2023</t>
        </is>
      </c>
      <c r="B1356" t="inlineStr">
        <is>
          <t>avverkningsanmälan</t>
        </is>
      </c>
      <c r="C1356" t="inlineStr">
        <is>
          <t>Avverkning för annat ändamål</t>
        </is>
      </c>
      <c r="D1356" s="1" t="n">
        <v>45114</v>
      </c>
      <c r="E1356" s="1" t="n">
        <v>46315</v>
      </c>
      <c r="F1356" t="inlineStr">
        <is>
          <t>HALLANDS LÄN</t>
        </is>
      </c>
      <c r="G1356" t="inlineStr">
        <is>
          <t>HYLTE</t>
        </is>
      </c>
      <c r="I1356" t="n">
        <v>0.3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inlineStr"/>
    </row>
    <row r="1357" ht="15" customHeight="1">
      <c r="A1357" t="inlineStr">
        <is>
          <t>A 23493-2023</t>
        </is>
      </c>
      <c r="B1357" t="inlineStr">
        <is>
          <t>avverkningsanmälan</t>
        </is>
      </c>
      <c r="C1357" t="inlineStr">
        <is>
          <t>Föryngringsavverkning</t>
        </is>
      </c>
      <c r="D1357" s="1" t="n">
        <v>45076</v>
      </c>
      <c r="E1357" s="1" t="n">
        <v>46315</v>
      </c>
      <c r="F1357" t="inlineStr">
        <is>
          <t>HALLANDS LÄN</t>
        </is>
      </c>
      <c r="G1357" t="inlineStr">
        <is>
          <t>LAHOLM</t>
        </is>
      </c>
      <c r="I1357" t="n">
        <v>0.8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inlineStr"/>
    </row>
    <row r="1358" ht="15" customHeight="1">
      <c r="A1358" t="inlineStr">
        <is>
          <t>A 1146-2024</t>
        </is>
      </c>
      <c r="B1358" t="inlineStr">
        <is>
          <t>avverkningsanmälan</t>
        </is>
      </c>
      <c r="C1358" t="inlineStr">
        <is>
          <t>Föryngringsavverkning</t>
        </is>
      </c>
      <c r="D1358" s="1" t="n">
        <v>45302</v>
      </c>
      <c r="E1358" s="1" t="n">
        <v>46315</v>
      </c>
      <c r="F1358" t="inlineStr">
        <is>
          <t>HALLANDS LÄN</t>
        </is>
      </c>
      <c r="G1358" t="inlineStr">
        <is>
          <t>HALMSTAD</t>
        </is>
      </c>
      <c r="I1358" t="n">
        <v>4.5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inlineStr"/>
    </row>
    <row r="1359" ht="15" customHeight="1">
      <c r="A1359" t="inlineStr">
        <is>
          <t>A 15163-2024</t>
        </is>
      </c>
      <c r="B1359" t="inlineStr">
        <is>
          <t>avverkningsanmälan</t>
        </is>
      </c>
      <c r="C1359" t="inlineStr">
        <is>
          <t>Föryngringsavverkning</t>
        </is>
      </c>
      <c r="D1359" s="1" t="n">
        <v>45400</v>
      </c>
      <c r="E1359" s="1" t="n">
        <v>46315</v>
      </c>
      <c r="F1359" t="inlineStr">
        <is>
          <t>HALLANDS LÄN</t>
        </is>
      </c>
      <c r="G1359" t="inlineStr">
        <is>
          <t>KUNGSBACKA</t>
        </is>
      </c>
      <c r="I1359" t="n">
        <v>0.5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inlineStr"/>
    </row>
    <row r="1360" ht="15" customHeight="1">
      <c r="A1360" t="inlineStr">
        <is>
          <t>A 9955-2025</t>
        </is>
      </c>
      <c r="B1360" t="inlineStr">
        <is>
          <t>avverkningsanmälan</t>
        </is>
      </c>
      <c r="C1360" t="inlineStr">
        <is>
          <t>Föryngringsavverkning</t>
        </is>
      </c>
      <c r="D1360" s="1" t="n">
        <v>45719</v>
      </c>
      <c r="E1360" s="1" t="n">
        <v>46315</v>
      </c>
      <c r="F1360" t="inlineStr">
        <is>
          <t>HALLANDS LÄN</t>
        </is>
      </c>
      <c r="G1360" t="inlineStr">
        <is>
          <t>LAHOLM</t>
        </is>
      </c>
      <c r="H1360" t="inlineStr">
        <is>
          <t>Sveaskog</t>
        </is>
      </c>
      <c r="I1360" t="n">
        <v>2.7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inlineStr"/>
    </row>
    <row r="1361" ht="15" customHeight="1">
      <c r="A1361" t="inlineStr">
        <is>
          <t>A 23640-2026</t>
        </is>
      </c>
      <c r="B1361" t="inlineStr">
        <is>
          <t>avverkningsanmälan</t>
        </is>
      </c>
      <c r="C1361" t="inlineStr">
        <is>
          <t>Föryngringsavverkning</t>
        </is>
      </c>
      <c r="D1361" s="1" t="n">
        <v>46164</v>
      </c>
      <c r="E1361" s="1" t="n">
        <v>46315</v>
      </c>
      <c r="F1361" t="inlineStr">
        <is>
          <t>HALLANDS LÄN</t>
        </is>
      </c>
      <c r="G1361" t="inlineStr">
        <is>
          <t>VARBERG</t>
        </is>
      </c>
      <c r="I1361" t="n">
        <v>1.2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inlineStr"/>
    </row>
    <row r="1362" ht="15" customHeight="1">
      <c r="A1362" t="inlineStr">
        <is>
          <t>A 23708-2026</t>
        </is>
      </c>
      <c r="B1362" t="inlineStr">
        <is>
          <t>avverkningsanmälan</t>
        </is>
      </c>
      <c r="C1362" t="inlineStr">
        <is>
          <t>Föryngringsavverkning</t>
        </is>
      </c>
      <c r="D1362" s="1" t="n">
        <v>46164</v>
      </c>
      <c r="E1362" s="1" t="n">
        <v>46315</v>
      </c>
      <c r="F1362" t="inlineStr">
        <is>
          <t>HALLANDS LÄN</t>
        </is>
      </c>
      <c r="G1362" t="inlineStr">
        <is>
          <t>FALKENBERG</t>
        </is>
      </c>
      <c r="I1362" t="n">
        <v>0.5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inlineStr"/>
    </row>
    <row r="1363" ht="15" customHeight="1">
      <c r="A1363" t="inlineStr">
        <is>
          <t>A 24168-2026</t>
        </is>
      </c>
      <c r="B1363" t="inlineStr">
        <is>
          <t>avverkningsanmälan</t>
        </is>
      </c>
      <c r="C1363" t="inlineStr">
        <is>
          <t>Föryngringsavverkning</t>
        </is>
      </c>
      <c r="D1363" s="1" t="n">
        <v>46168</v>
      </c>
      <c r="E1363" s="1" t="n">
        <v>46315</v>
      </c>
      <c r="F1363" t="inlineStr">
        <is>
          <t>HALLANDS LÄN</t>
        </is>
      </c>
      <c r="G1363" t="inlineStr">
        <is>
          <t>HALMSTAD</t>
        </is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inlineStr"/>
    </row>
    <row r="1364" ht="15" customHeight="1">
      <c r="A1364" t="inlineStr">
        <is>
          <t>A 37995-2025</t>
        </is>
      </c>
      <c r="B1364" t="inlineStr">
        <is>
          <t>avverkningsanmälan</t>
        </is>
      </c>
      <c r="C1364" t="inlineStr">
        <is>
          <t>Föryngringsavverkning</t>
        </is>
      </c>
      <c r="D1364" s="1" t="n">
        <v>45881</v>
      </c>
      <c r="E1364" s="1" t="n">
        <v>46315</v>
      </c>
      <c r="F1364" t="inlineStr">
        <is>
          <t>HALLANDS LÄN</t>
        </is>
      </c>
      <c r="G1364" t="inlineStr">
        <is>
          <t>KUNGSBACKA</t>
        </is>
      </c>
      <c r="I1364" t="n">
        <v>5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inlineStr"/>
    </row>
    <row r="1365" ht="15" customHeight="1">
      <c r="A1365" t="inlineStr">
        <is>
          <t>A 60812-2025</t>
        </is>
      </c>
      <c r="B1365" t="inlineStr">
        <is>
          <t>avverkningsanmälan</t>
        </is>
      </c>
      <c r="C1365" t="inlineStr">
        <is>
          <t>Föryngringsavverkning</t>
        </is>
      </c>
      <c r="D1365" s="1" t="n">
        <v>45999</v>
      </c>
      <c r="E1365" s="1" t="n">
        <v>46315</v>
      </c>
      <c r="F1365" t="inlineStr">
        <is>
          <t>HALLANDS LÄN</t>
        </is>
      </c>
      <c r="G1365" t="inlineStr">
        <is>
          <t>FALKENBERG</t>
        </is>
      </c>
      <c r="I1365" t="n">
        <v>1.2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inlineStr"/>
    </row>
    <row r="1366" ht="15" customHeight="1">
      <c r="A1366" t="inlineStr">
        <is>
          <t>A 23892-2026</t>
        </is>
      </c>
      <c r="B1366" t="inlineStr">
        <is>
          <t>avverkningsanmälan</t>
        </is>
      </c>
      <c r="C1366" t="inlineStr">
        <is>
          <t>Föryngringsavverkning</t>
        </is>
      </c>
      <c r="D1366" s="1" t="n">
        <v>46167</v>
      </c>
      <c r="E1366" s="1" t="n">
        <v>46315</v>
      </c>
      <c r="F1366" t="inlineStr">
        <is>
          <t>HALLANDS LÄN</t>
        </is>
      </c>
      <c r="G1366" t="inlineStr">
        <is>
          <t>HALMSTAD</t>
        </is>
      </c>
      <c r="I1366" t="n">
        <v>1.2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inlineStr"/>
    </row>
    <row r="1367" ht="15" customHeight="1">
      <c r="A1367" t="inlineStr">
        <is>
          <t>A 45700-2025</t>
        </is>
      </c>
      <c r="B1367" t="inlineStr">
        <is>
          <t>avverkningsanmälan</t>
        </is>
      </c>
      <c r="C1367" t="inlineStr">
        <is>
          <t>Föryngringsavverkning</t>
        </is>
      </c>
      <c r="D1367" s="1" t="n">
        <v>45923</v>
      </c>
      <c r="E1367" s="1" t="n">
        <v>46315</v>
      </c>
      <c r="F1367" t="inlineStr">
        <is>
          <t>HALLANDS LÄN</t>
        </is>
      </c>
      <c r="G1367" t="inlineStr">
        <is>
          <t>FALKENBERG</t>
        </is>
      </c>
      <c r="I1367" t="n">
        <v>1.4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inlineStr"/>
    </row>
    <row r="1368" ht="15" customHeight="1">
      <c r="A1368" t="inlineStr">
        <is>
          <t>A 48453-2024</t>
        </is>
      </c>
      <c r="B1368" t="inlineStr">
        <is>
          <t>avverkningsanmälan</t>
        </is>
      </c>
      <c r="C1368" t="inlineStr">
        <is>
          <t>Föryngringsavverkning</t>
        </is>
      </c>
      <c r="D1368" s="1" t="n">
        <v>45590</v>
      </c>
      <c r="E1368" s="1" t="n">
        <v>46315</v>
      </c>
      <c r="F1368" t="inlineStr">
        <is>
          <t>HALLANDS LÄN</t>
        </is>
      </c>
      <c r="G1368" t="inlineStr">
        <is>
          <t>VARBERG</t>
        </is>
      </c>
      <c r="I1368" t="n">
        <v>1.1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inlineStr"/>
    </row>
    <row r="1369" ht="15" customHeight="1">
      <c r="A1369" t="inlineStr">
        <is>
          <t>A 35841-2023</t>
        </is>
      </c>
      <c r="B1369" t="inlineStr">
        <is>
          <t>avverkningsanmälan</t>
        </is>
      </c>
      <c r="C1369" t="inlineStr">
        <is>
          <t>Föryngringsavverkning</t>
        </is>
      </c>
      <c r="D1369" s="1" t="n">
        <v>45148</v>
      </c>
      <c r="E1369" s="1" t="n">
        <v>46315</v>
      </c>
      <c r="F1369" t="inlineStr">
        <is>
          <t>HALLANDS LÄN</t>
        </is>
      </c>
      <c r="G1369" t="inlineStr">
        <is>
          <t>FALKENBERG</t>
        </is>
      </c>
      <c r="I1369" t="n">
        <v>0.9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inlineStr"/>
    </row>
    <row r="1370" ht="15" customHeight="1">
      <c r="A1370" t="inlineStr">
        <is>
          <t>A 4609-2024</t>
        </is>
      </c>
      <c r="B1370" t="inlineStr">
        <is>
          <t>avverkningsanmälan</t>
        </is>
      </c>
      <c r="C1370" t="inlineStr">
        <is>
          <t>Föryngringsavverkning</t>
        </is>
      </c>
      <c r="D1370" s="1" t="n">
        <v>45328</v>
      </c>
      <c r="E1370" s="1" t="n">
        <v>46315</v>
      </c>
      <c r="F1370" t="inlineStr">
        <is>
          <t>HALLANDS LÄN</t>
        </is>
      </c>
      <c r="G1370" t="inlineStr">
        <is>
          <t>FALKENBERG</t>
        </is>
      </c>
      <c r="H1370" t="inlineStr">
        <is>
          <t>Kyrkan</t>
        </is>
      </c>
      <c r="I1370" t="n">
        <v>0.4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inlineStr"/>
    </row>
    <row r="1371" ht="15" customHeight="1">
      <c r="A1371" t="inlineStr">
        <is>
          <t>A 37301-2023</t>
        </is>
      </c>
      <c r="B1371" t="inlineStr">
        <is>
          <t>avverkningsanmälan</t>
        </is>
      </c>
      <c r="C1371" t="inlineStr">
        <is>
          <t>Föryngringsavverkning</t>
        </is>
      </c>
      <c r="D1371" s="1" t="n">
        <v>45156</v>
      </c>
      <c r="E1371" s="1" t="n">
        <v>46315</v>
      </c>
      <c r="F1371" t="inlineStr">
        <is>
          <t>HALLANDS LÄN</t>
        </is>
      </c>
      <c r="G1371" t="inlineStr">
        <is>
          <t>HALMSTAD</t>
        </is>
      </c>
      <c r="I1371" t="n">
        <v>0.5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inlineStr"/>
    </row>
    <row r="1372" ht="15" customHeight="1">
      <c r="A1372" t="inlineStr">
        <is>
          <t>A 61621-2025</t>
        </is>
      </c>
      <c r="B1372" t="inlineStr">
        <is>
          <t>avverkningsanmälan</t>
        </is>
      </c>
      <c r="C1372" t="inlineStr">
        <is>
          <t>Föryngringsavverkning</t>
        </is>
      </c>
      <c r="D1372" s="1" t="n">
        <v>46002</v>
      </c>
      <c r="E1372" s="1" t="n">
        <v>46315</v>
      </c>
      <c r="F1372" t="inlineStr">
        <is>
          <t>HALLANDS LÄN</t>
        </is>
      </c>
      <c r="G1372" t="inlineStr">
        <is>
          <t>KUNGSBACKA</t>
        </is>
      </c>
      <c r="I1372" t="n">
        <v>1.6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inlineStr"/>
    </row>
    <row r="1373" ht="15" customHeight="1">
      <c r="A1373" t="inlineStr">
        <is>
          <t>A 45987-2024</t>
        </is>
      </c>
      <c r="B1373" t="inlineStr">
        <is>
          <t>avverkningsanmälan</t>
        </is>
      </c>
      <c r="C1373" t="inlineStr">
        <is>
          <t>Föryngringsavverkning</t>
        </is>
      </c>
      <c r="D1373" s="1" t="n">
        <v>45580</v>
      </c>
      <c r="E1373" s="1" t="n">
        <v>46315</v>
      </c>
      <c r="F1373" t="inlineStr">
        <is>
          <t>HALLANDS LÄN</t>
        </is>
      </c>
      <c r="G1373" t="inlineStr">
        <is>
          <t>VARBERG</t>
        </is>
      </c>
      <c r="I1373" t="n">
        <v>4.1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inlineStr"/>
    </row>
    <row r="1374" ht="15" customHeight="1">
      <c r="A1374" t="inlineStr">
        <is>
          <t>A 6774-2025</t>
        </is>
      </c>
      <c r="B1374" t="inlineStr">
        <is>
          <t>avverkningsanmälan</t>
        </is>
      </c>
      <c r="C1374" t="inlineStr">
        <is>
          <t>Föryngringsavverkning</t>
        </is>
      </c>
      <c r="D1374" s="1" t="n">
        <v>45700</v>
      </c>
      <c r="E1374" s="1" t="n">
        <v>46315</v>
      </c>
      <c r="F1374" t="inlineStr">
        <is>
          <t>HALLANDS LÄN</t>
        </is>
      </c>
      <c r="G1374" t="inlineStr">
        <is>
          <t>KUNGSBACKA</t>
        </is>
      </c>
      <c r="I1374" t="n">
        <v>3.5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inlineStr"/>
    </row>
    <row r="1375" ht="15" customHeight="1">
      <c r="A1375" t="inlineStr">
        <is>
          <t>A 8128-2024</t>
        </is>
      </c>
      <c r="B1375" t="inlineStr">
        <is>
          <t>avverkningsanmälan</t>
        </is>
      </c>
      <c r="C1375" t="inlineStr">
        <is>
          <t>Föryngringsavverkning</t>
        </is>
      </c>
      <c r="D1375" s="1" t="n">
        <v>45351</v>
      </c>
      <c r="E1375" s="1" t="n">
        <v>46315</v>
      </c>
      <c r="F1375" t="inlineStr">
        <is>
          <t>HALLANDS LÄN</t>
        </is>
      </c>
      <c r="G1375" t="inlineStr">
        <is>
          <t>HYLTE</t>
        </is>
      </c>
      <c r="I1375" t="n">
        <v>0.6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inlineStr"/>
    </row>
    <row r="1376" ht="15" customHeight="1">
      <c r="A1376" t="inlineStr">
        <is>
          <t>A 7226-2023</t>
        </is>
      </c>
      <c r="B1376" t="inlineStr">
        <is>
          <t>avverkningsanmälan</t>
        </is>
      </c>
      <c r="C1376" t="inlineStr">
        <is>
          <t>Föryngringsavverkning</t>
        </is>
      </c>
      <c r="D1376" s="1" t="n">
        <v>44970</v>
      </c>
      <c r="E1376" s="1" t="n">
        <v>46315</v>
      </c>
      <c r="F1376" t="inlineStr">
        <is>
          <t>HALLANDS LÄN</t>
        </is>
      </c>
      <c r="G1376" t="inlineStr">
        <is>
          <t>HYLTE</t>
        </is>
      </c>
      <c r="I1376" t="n">
        <v>1.8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inlineStr"/>
    </row>
    <row r="1377" ht="15" customHeight="1">
      <c r="A1377" t="inlineStr">
        <is>
          <t>A 23829-2026</t>
        </is>
      </c>
      <c r="B1377" t="inlineStr">
        <is>
          <t>avverkningsanmälan</t>
        </is>
      </c>
      <c r="C1377" t="inlineStr">
        <is>
          <t>Föryngringsavverkning</t>
        </is>
      </c>
      <c r="D1377" s="1" t="n">
        <v>46166</v>
      </c>
      <c r="E1377" s="1" t="n">
        <v>46315</v>
      </c>
      <c r="F1377" t="inlineStr">
        <is>
          <t>HALLANDS LÄN</t>
        </is>
      </c>
      <c r="G1377" t="inlineStr">
        <is>
          <t>FALKENBERG</t>
        </is>
      </c>
      <c r="I1377" t="n">
        <v>2.1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inlineStr"/>
    </row>
    <row r="1378" ht="15" customHeight="1">
      <c r="A1378" t="inlineStr">
        <is>
          <t>A 23878-2026</t>
        </is>
      </c>
      <c r="B1378" t="inlineStr">
        <is>
          <t>avverkningsanmälan</t>
        </is>
      </c>
      <c r="C1378" t="inlineStr">
        <is>
          <t>Föryngringsavverkning</t>
        </is>
      </c>
      <c r="D1378" s="1" t="n">
        <v>46167</v>
      </c>
      <c r="E1378" s="1" t="n">
        <v>46315</v>
      </c>
      <c r="F1378" t="inlineStr">
        <is>
          <t>HALLANDS LÄN</t>
        </is>
      </c>
      <c r="G1378" t="inlineStr">
        <is>
          <t>HALMSTAD</t>
        </is>
      </c>
      <c r="I1378" t="n">
        <v>1.1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inlineStr"/>
    </row>
    <row r="1379" ht="15" customHeight="1">
      <c r="A1379" t="inlineStr">
        <is>
          <t>A 44619-2024</t>
        </is>
      </c>
      <c r="B1379" t="inlineStr">
        <is>
          <t>avverkningsanmälan</t>
        </is>
      </c>
      <c r="C1379" t="inlineStr">
        <is>
          <t>Föryngringsavverkning</t>
        </is>
      </c>
      <c r="D1379" s="1" t="n">
        <v>45574</v>
      </c>
      <c r="E1379" s="1" t="n">
        <v>46315</v>
      </c>
      <c r="F1379" t="inlineStr">
        <is>
          <t>HALLANDS LÄN</t>
        </is>
      </c>
      <c r="G1379" t="inlineStr">
        <is>
          <t>VARBERG</t>
        </is>
      </c>
      <c r="I1379" t="n">
        <v>5.1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inlineStr"/>
    </row>
    <row r="1380" ht="15" customHeight="1">
      <c r="A1380" t="inlineStr">
        <is>
          <t>A 61845-2025</t>
        </is>
      </c>
      <c r="B1380" t="inlineStr">
        <is>
          <t>avverkningsanmälan</t>
        </is>
      </c>
      <c r="C1380" t="inlineStr">
        <is>
          <t>Föryngringsavverkning</t>
        </is>
      </c>
      <c r="D1380" s="1" t="n">
        <v>46003</v>
      </c>
      <c r="E1380" s="1" t="n">
        <v>46315</v>
      </c>
      <c r="F1380" t="inlineStr">
        <is>
          <t>HALLANDS LÄN</t>
        </is>
      </c>
      <c r="G1380" t="inlineStr">
        <is>
          <t>VARBERG</t>
        </is>
      </c>
      <c r="I1380" t="n">
        <v>6.1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inlineStr"/>
    </row>
    <row r="1381" ht="15" customHeight="1">
      <c r="A1381" t="inlineStr">
        <is>
          <t>A 63598-2023</t>
        </is>
      </c>
      <c r="B1381" t="inlineStr">
        <is>
          <t>avverkningsanmälan</t>
        </is>
      </c>
      <c r="C1381" t="inlineStr">
        <is>
          <t>Föryngringsavverkning</t>
        </is>
      </c>
      <c r="D1381" s="1" t="n">
        <v>45275</v>
      </c>
      <c r="E1381" s="1" t="n">
        <v>46315</v>
      </c>
      <c r="F1381" t="inlineStr">
        <is>
          <t>HALLANDS LÄN</t>
        </is>
      </c>
      <c r="G1381" t="inlineStr">
        <is>
          <t>KUNGSBACKA</t>
        </is>
      </c>
      <c r="I1381" t="n">
        <v>1.6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inlineStr"/>
    </row>
    <row r="1382" ht="15" customHeight="1">
      <c r="A1382" t="inlineStr">
        <is>
          <t>A 62014-2025</t>
        </is>
      </c>
      <c r="B1382" t="inlineStr">
        <is>
          <t>avverkningsanmälan</t>
        </is>
      </c>
      <c r="C1382" t="inlineStr">
        <is>
          <t>Föryngringsavverkning</t>
        </is>
      </c>
      <c r="D1382" s="1" t="n">
        <v>46003</v>
      </c>
      <c r="E1382" s="1" t="n">
        <v>46315</v>
      </c>
      <c r="F1382" t="inlineStr">
        <is>
          <t>HALLANDS LÄN</t>
        </is>
      </c>
      <c r="G1382" t="inlineStr">
        <is>
          <t>FALKENBERG</t>
        </is>
      </c>
      <c r="I1382" t="n">
        <v>2.8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inlineStr"/>
    </row>
    <row r="1383" ht="15" customHeight="1">
      <c r="A1383" t="inlineStr">
        <is>
          <t>A 61848-2025</t>
        </is>
      </c>
      <c r="B1383" t="inlineStr">
        <is>
          <t>avverkningsanmälan</t>
        </is>
      </c>
      <c r="C1383" t="inlineStr">
        <is>
          <t>Föryngringsavverkning</t>
        </is>
      </c>
      <c r="D1383" s="1" t="n">
        <v>46003</v>
      </c>
      <c r="E1383" s="1" t="n">
        <v>46315</v>
      </c>
      <c r="F1383" t="inlineStr">
        <is>
          <t>HALLANDS LÄN</t>
        </is>
      </c>
      <c r="G1383" t="inlineStr">
        <is>
          <t>VARBERG</t>
        </is>
      </c>
      <c r="I1383" t="n">
        <v>3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inlineStr"/>
    </row>
    <row r="1384" ht="15" customHeight="1">
      <c r="A1384" t="inlineStr">
        <is>
          <t>A 57699-2024</t>
        </is>
      </c>
      <c r="B1384" t="inlineStr">
        <is>
          <t>avverkningsanmälan</t>
        </is>
      </c>
      <c r="C1384" t="inlineStr">
        <is>
          <t>Föryngringsavverkning</t>
        </is>
      </c>
      <c r="D1384" s="1" t="n">
        <v>45630</v>
      </c>
      <c r="E1384" s="1" t="n">
        <v>46315</v>
      </c>
      <c r="F1384" t="inlineStr">
        <is>
          <t>HALLANDS LÄN</t>
        </is>
      </c>
      <c r="G1384" t="inlineStr">
        <is>
          <t>HALMSTAD</t>
        </is>
      </c>
      <c r="I1384" t="n">
        <v>0.5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inlineStr"/>
    </row>
    <row r="1385" ht="15" customHeight="1">
      <c r="A1385" t="inlineStr">
        <is>
          <t>A 57701-2024</t>
        </is>
      </c>
      <c r="B1385" t="inlineStr">
        <is>
          <t>avverkningsanmälan</t>
        </is>
      </c>
      <c r="C1385" t="inlineStr">
        <is>
          <t>Föryngringsavverkning</t>
        </is>
      </c>
      <c r="D1385" s="1" t="n">
        <v>45630</v>
      </c>
      <c r="E1385" s="1" t="n">
        <v>46315</v>
      </c>
      <c r="F1385" t="inlineStr">
        <is>
          <t>HALLANDS LÄN</t>
        </is>
      </c>
      <c r="G1385" t="inlineStr">
        <is>
          <t>LAHOLM</t>
        </is>
      </c>
      <c r="I1385" t="n">
        <v>0.5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inlineStr"/>
    </row>
    <row r="1386" ht="15" customHeight="1">
      <c r="A1386" t="inlineStr">
        <is>
          <t>A 40730-2023</t>
        </is>
      </c>
      <c r="B1386" t="inlineStr">
        <is>
          <t>avverkningsanmälan</t>
        </is>
      </c>
      <c r="C1386" t="inlineStr">
        <is>
          <t>Föryngringsavverkning</t>
        </is>
      </c>
      <c r="D1386" s="1" t="n">
        <v>45170</v>
      </c>
      <c r="E1386" s="1" t="n">
        <v>46315</v>
      </c>
      <c r="F1386" t="inlineStr">
        <is>
          <t>HALLANDS LÄN</t>
        </is>
      </c>
      <c r="G1386" t="inlineStr">
        <is>
          <t>HALMSTAD</t>
        </is>
      </c>
      <c r="I1386" t="n">
        <v>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inlineStr"/>
    </row>
    <row r="1387" ht="15" customHeight="1">
      <c r="A1387" t="inlineStr">
        <is>
          <t>A 62131-2025</t>
        </is>
      </c>
      <c r="B1387" t="inlineStr">
        <is>
          <t>avverkningsanmälan</t>
        </is>
      </c>
      <c r="C1387" t="inlineStr">
        <is>
          <t>Föryngringsavverkning</t>
        </is>
      </c>
      <c r="D1387" s="1" t="n">
        <v>46006</v>
      </c>
      <c r="E1387" s="1" t="n">
        <v>46315</v>
      </c>
      <c r="F1387" t="inlineStr">
        <is>
          <t>HALLANDS LÄN</t>
        </is>
      </c>
      <c r="G1387" t="inlineStr">
        <is>
          <t>FALKENBERG</t>
        </is>
      </c>
      <c r="I1387" t="n">
        <v>4.9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inlineStr"/>
    </row>
    <row r="1388" ht="15" customHeight="1">
      <c r="A1388" t="inlineStr">
        <is>
          <t>A 46699-2025</t>
        </is>
      </c>
      <c r="B1388" t="inlineStr">
        <is>
          <t>avverkningsanmälan</t>
        </is>
      </c>
      <c r="C1388" t="inlineStr">
        <is>
          <t>Föryngringsavverkning</t>
        </is>
      </c>
      <c r="D1388" s="1" t="n">
        <v>45926</v>
      </c>
      <c r="E1388" s="1" t="n">
        <v>46315</v>
      </c>
      <c r="F1388" t="inlineStr">
        <is>
          <t>HALLANDS LÄN</t>
        </is>
      </c>
      <c r="G1388" t="inlineStr">
        <is>
          <t>HYLTE</t>
        </is>
      </c>
      <c r="I1388" t="n">
        <v>2.2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inlineStr"/>
    </row>
    <row r="1389" ht="15" customHeight="1">
      <c r="A1389" t="inlineStr">
        <is>
          <t>A 36976-2024</t>
        </is>
      </c>
      <c r="B1389" t="inlineStr">
        <is>
          <t>avverkningsanmälan</t>
        </is>
      </c>
      <c r="C1389" t="inlineStr">
        <is>
          <t>Föryngringsavverkning</t>
        </is>
      </c>
      <c r="D1389" s="1" t="n">
        <v>45538</v>
      </c>
      <c r="E1389" s="1" t="n">
        <v>46315</v>
      </c>
      <c r="F1389" t="inlineStr">
        <is>
          <t>HALLANDS LÄN</t>
        </is>
      </c>
      <c r="G1389" t="inlineStr">
        <is>
          <t>HYLTE</t>
        </is>
      </c>
      <c r="I1389" t="n">
        <v>1.1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inlineStr"/>
    </row>
    <row r="1390" ht="15" customHeight="1">
      <c r="A1390" t="inlineStr">
        <is>
          <t>A 62035-2025</t>
        </is>
      </c>
      <c r="B1390" t="inlineStr">
        <is>
          <t>avverkningsanmälan</t>
        </is>
      </c>
      <c r="C1390" t="inlineStr">
        <is>
          <t>Föryngringsavverkning</t>
        </is>
      </c>
      <c r="D1390" s="1" t="n">
        <v>46004</v>
      </c>
      <c r="E1390" s="1" t="n">
        <v>46315</v>
      </c>
      <c r="F1390" t="inlineStr">
        <is>
          <t>HALLANDS LÄN</t>
        </is>
      </c>
      <c r="G1390" t="inlineStr">
        <is>
          <t>FALKENBERG</t>
        </is>
      </c>
      <c r="I1390" t="n">
        <v>2.4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inlineStr"/>
    </row>
    <row r="1391" ht="15" customHeight="1">
      <c r="A1391" t="inlineStr">
        <is>
          <t>A 23883-2026</t>
        </is>
      </c>
      <c r="B1391" t="inlineStr">
        <is>
          <t>avverkningsanmälan</t>
        </is>
      </c>
      <c r="C1391" t="inlineStr">
        <is>
          <t>Föryngringsavverkning</t>
        </is>
      </c>
      <c r="D1391" s="1" t="n">
        <v>46167</v>
      </c>
      <c r="E1391" s="1" t="n">
        <v>46315</v>
      </c>
      <c r="F1391" t="inlineStr">
        <is>
          <t>HALLANDS LÄN</t>
        </is>
      </c>
      <c r="G1391" t="inlineStr">
        <is>
          <t>HALMSTAD</t>
        </is>
      </c>
      <c r="I1391" t="n">
        <v>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inlineStr"/>
    </row>
    <row r="1392" ht="15" customHeight="1">
      <c r="A1392" t="inlineStr">
        <is>
          <t>A 10249-2023</t>
        </is>
      </c>
      <c r="B1392" t="inlineStr">
        <is>
          <t>avverkningsanmälan</t>
        </is>
      </c>
      <c r="C1392" t="inlineStr">
        <is>
          <t>Föryngringsavverkning</t>
        </is>
      </c>
      <c r="D1392" s="1" t="n">
        <v>44986</v>
      </c>
      <c r="E1392" s="1" t="n">
        <v>46315</v>
      </c>
      <c r="F1392" t="inlineStr">
        <is>
          <t>HALLANDS LÄN</t>
        </is>
      </c>
      <c r="G1392" t="inlineStr">
        <is>
          <t>FALKENBERG</t>
        </is>
      </c>
      <c r="I1392" t="n">
        <v>0.9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inlineStr"/>
    </row>
    <row r="1393" ht="15" customHeight="1">
      <c r="A1393" t="inlineStr">
        <is>
          <t>A 42993-2023</t>
        </is>
      </c>
      <c r="B1393" t="inlineStr">
        <is>
          <t>avverkningsanmälan</t>
        </is>
      </c>
      <c r="C1393" t="inlineStr">
        <is>
          <t>Föryngringsavverkning</t>
        </is>
      </c>
      <c r="D1393" s="1" t="n">
        <v>45182</v>
      </c>
      <c r="E1393" s="1" t="n">
        <v>46315</v>
      </c>
      <c r="F1393" t="inlineStr">
        <is>
          <t>HALLANDS LÄN</t>
        </is>
      </c>
      <c r="G1393" t="inlineStr">
        <is>
          <t>LAHOLM</t>
        </is>
      </c>
      <c r="I1393" t="n">
        <v>0.6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inlineStr"/>
    </row>
    <row r="1394" ht="15" customHeight="1">
      <c r="A1394" t="inlineStr">
        <is>
          <t>A 62268-2025</t>
        </is>
      </c>
      <c r="B1394" t="inlineStr">
        <is>
          <t>avverkningsanmälan</t>
        </is>
      </c>
      <c r="C1394" t="inlineStr">
        <is>
          <t>Föryngringsavverkning</t>
        </is>
      </c>
      <c r="D1394" s="1" t="n">
        <v>46006</v>
      </c>
      <c r="E1394" s="1" t="n">
        <v>46315</v>
      </c>
      <c r="F1394" t="inlineStr">
        <is>
          <t>HALLANDS LÄN</t>
        </is>
      </c>
      <c r="G1394" t="inlineStr">
        <is>
          <t>HALMSTAD</t>
        </is>
      </c>
      <c r="I1394" t="n">
        <v>1.3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inlineStr"/>
    </row>
    <row r="1395" ht="15" customHeight="1">
      <c r="A1395" t="inlineStr">
        <is>
          <t>A 62293-2025</t>
        </is>
      </c>
      <c r="B1395" t="inlineStr">
        <is>
          <t>avverkningsanmälan</t>
        </is>
      </c>
      <c r="C1395" t="inlineStr">
        <is>
          <t>Föryngringsavverkning</t>
        </is>
      </c>
      <c r="D1395" s="1" t="n">
        <v>46006</v>
      </c>
      <c r="E1395" s="1" t="n">
        <v>46315</v>
      </c>
      <c r="F1395" t="inlineStr">
        <is>
          <t>HALLANDS LÄN</t>
        </is>
      </c>
      <c r="G1395" t="inlineStr">
        <is>
          <t>LAHOLM</t>
        </is>
      </c>
      <c r="I1395" t="n">
        <v>3.7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inlineStr"/>
    </row>
    <row r="1396" ht="15" customHeight="1">
      <c r="A1396" t="inlineStr">
        <is>
          <t>A 40513-2024</t>
        </is>
      </c>
      <c r="B1396" t="inlineStr">
        <is>
          <t>avverkningsanmälan</t>
        </is>
      </c>
      <c r="C1396" t="inlineStr">
        <is>
          <t>Föryngringsavverkning</t>
        </is>
      </c>
      <c r="D1396" s="1" t="n">
        <v>45555</v>
      </c>
      <c r="E1396" s="1" t="n">
        <v>46315</v>
      </c>
      <c r="F1396" t="inlineStr">
        <is>
          <t>HALLANDS LÄN</t>
        </is>
      </c>
      <c r="G1396" t="inlineStr">
        <is>
          <t>HALMSTAD</t>
        </is>
      </c>
      <c r="I1396" t="n">
        <v>2.7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inlineStr"/>
    </row>
    <row r="1397" ht="15" customHeight="1">
      <c r="A1397" t="inlineStr">
        <is>
          <t>A 46578-2024</t>
        </is>
      </c>
      <c r="B1397" t="inlineStr">
        <is>
          <t>avverkningsanmälan</t>
        </is>
      </c>
      <c r="C1397" t="inlineStr">
        <is>
          <t>Föryngringsavverkning</t>
        </is>
      </c>
      <c r="D1397" s="1" t="n">
        <v>45582</v>
      </c>
      <c r="E1397" s="1" t="n">
        <v>46315</v>
      </c>
      <c r="F1397" t="inlineStr">
        <is>
          <t>HALLANDS LÄN</t>
        </is>
      </c>
      <c r="G1397" t="inlineStr">
        <is>
          <t>VARBERG</t>
        </is>
      </c>
      <c r="I1397" t="n">
        <v>1.5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inlineStr"/>
    </row>
    <row r="1398" ht="15" customHeight="1">
      <c r="A1398" t="inlineStr">
        <is>
          <t>A 23888-2026</t>
        </is>
      </c>
      <c r="B1398" t="inlineStr">
        <is>
          <t>avverkningsanmälan</t>
        </is>
      </c>
      <c r="C1398" t="inlineStr">
        <is>
          <t>Föryngringsavverkning</t>
        </is>
      </c>
      <c r="D1398" s="1" t="n">
        <v>46167</v>
      </c>
      <c r="E1398" s="1" t="n">
        <v>46315</v>
      </c>
      <c r="F1398" t="inlineStr">
        <is>
          <t>HALLANDS LÄN</t>
        </is>
      </c>
      <c r="G1398" t="inlineStr">
        <is>
          <t>HALMSTAD</t>
        </is>
      </c>
      <c r="I1398" t="n">
        <v>0.6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inlineStr"/>
    </row>
    <row r="1399" ht="15" customHeight="1">
      <c r="A1399" t="inlineStr">
        <is>
          <t>A 62662-2025</t>
        </is>
      </c>
      <c r="B1399" t="inlineStr">
        <is>
          <t>avverkningsanmälan</t>
        </is>
      </c>
      <c r="C1399" t="inlineStr">
        <is>
          <t>Föryngringsavverkning</t>
        </is>
      </c>
      <c r="D1399" s="1" t="n">
        <v>46008</v>
      </c>
      <c r="E1399" s="1" t="n">
        <v>46315</v>
      </c>
      <c r="F1399" t="inlineStr">
        <is>
          <t>HALLANDS LÄN</t>
        </is>
      </c>
      <c r="G1399" t="inlineStr">
        <is>
          <t>HALMSTAD</t>
        </is>
      </c>
      <c r="H1399" t="inlineStr">
        <is>
          <t>Kommuner</t>
        </is>
      </c>
      <c r="I1399" t="n">
        <v>3.4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inlineStr"/>
    </row>
    <row r="1400" ht="15" customHeight="1">
      <c r="A1400" t="inlineStr">
        <is>
          <t>A 10270-2022</t>
        </is>
      </c>
      <c r="B1400" t="inlineStr">
        <is>
          <t>avverkningsanmälan</t>
        </is>
      </c>
      <c r="C1400" t="inlineStr">
        <is>
          <t>Föryngringsavverkning</t>
        </is>
      </c>
      <c r="D1400" s="1" t="n">
        <v>44622</v>
      </c>
      <c r="E1400" s="1" t="n">
        <v>46315</v>
      </c>
      <c r="F1400" t="inlineStr">
        <is>
          <t>HALLANDS LÄN</t>
        </is>
      </c>
      <c r="G1400" t="inlineStr">
        <is>
          <t>FALKENBERG</t>
        </is>
      </c>
      <c r="I1400" t="n">
        <v>2.8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inlineStr"/>
    </row>
    <row r="1401" ht="15" customHeight="1">
      <c r="A1401" t="inlineStr">
        <is>
          <t>A 62812-2025</t>
        </is>
      </c>
      <c r="B1401" t="inlineStr">
        <is>
          <t>avverkningsanmälan</t>
        </is>
      </c>
      <c r="C1401" t="inlineStr">
        <is>
          <t>Föryngringsavverkning</t>
        </is>
      </c>
      <c r="D1401" s="1" t="n">
        <v>46008</v>
      </c>
      <c r="E1401" s="1" t="n">
        <v>46315</v>
      </c>
      <c r="F1401" t="inlineStr">
        <is>
          <t>HALLANDS LÄN</t>
        </is>
      </c>
      <c r="G1401" t="inlineStr">
        <is>
          <t>HALMSTAD</t>
        </is>
      </c>
      <c r="H1401" t="inlineStr">
        <is>
          <t>Kommuner</t>
        </is>
      </c>
      <c r="I1401" t="n">
        <v>2.2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inlineStr"/>
    </row>
    <row r="1402" ht="15" customHeight="1">
      <c r="A1402" t="inlineStr">
        <is>
          <t>A 34474-2023</t>
        </is>
      </c>
      <c r="B1402" t="inlineStr">
        <is>
          <t>avverkningsanmälan</t>
        </is>
      </c>
      <c r="C1402" t="inlineStr">
        <is>
          <t>Föryngringsavverkning</t>
        </is>
      </c>
      <c r="D1402" s="1" t="n">
        <v>45139</v>
      </c>
      <c r="E1402" s="1" t="n">
        <v>46315</v>
      </c>
      <c r="F1402" t="inlineStr">
        <is>
          <t>HALLANDS LÄN</t>
        </is>
      </c>
      <c r="G1402" t="inlineStr">
        <is>
          <t>LAHOLM</t>
        </is>
      </c>
      <c r="I1402" t="n">
        <v>0.8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inlineStr"/>
    </row>
    <row r="1403" ht="15" customHeight="1">
      <c r="A1403" t="inlineStr">
        <is>
          <t>A 62553-2025</t>
        </is>
      </c>
      <c r="B1403" t="inlineStr">
        <is>
          <t>avverkningsanmälan</t>
        </is>
      </c>
      <c r="C1403" t="inlineStr">
        <is>
          <t>Föryngringsavverkning</t>
        </is>
      </c>
      <c r="D1403" s="1" t="n">
        <v>46007</v>
      </c>
      <c r="E1403" s="1" t="n">
        <v>46315</v>
      </c>
      <c r="F1403" t="inlineStr">
        <is>
          <t>HALLANDS LÄN</t>
        </is>
      </c>
      <c r="G1403" t="inlineStr">
        <is>
          <t>VARBERG</t>
        </is>
      </c>
      <c r="I1403" t="n">
        <v>6.8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inlineStr"/>
    </row>
    <row r="1404" ht="15" customHeight="1">
      <c r="A1404" t="inlineStr">
        <is>
          <t>A 34475-2023</t>
        </is>
      </c>
      <c r="B1404" t="inlineStr">
        <is>
          <t>avverkningsanmälan</t>
        </is>
      </c>
      <c r="C1404" t="inlineStr">
        <is>
          <t>Föryngringsavverkning</t>
        </is>
      </c>
      <c r="D1404" s="1" t="n">
        <v>45139</v>
      </c>
      <c r="E1404" s="1" t="n">
        <v>46315</v>
      </c>
      <c r="F1404" t="inlineStr">
        <is>
          <t>HALLANDS LÄN</t>
        </is>
      </c>
      <c r="G1404" t="inlineStr">
        <is>
          <t>LAHOLM</t>
        </is>
      </c>
      <c r="I1404" t="n">
        <v>1.6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inlineStr"/>
    </row>
    <row r="1405" ht="15" customHeight="1">
      <c r="A1405" t="inlineStr">
        <is>
          <t>A 18343-2024</t>
        </is>
      </c>
      <c r="B1405" t="inlineStr">
        <is>
          <t>avverkningsanmälan</t>
        </is>
      </c>
      <c r="C1405" t="inlineStr">
        <is>
          <t>Föryngringsavverkning</t>
        </is>
      </c>
      <c r="D1405" s="1" t="n">
        <v>45422</v>
      </c>
      <c r="E1405" s="1" t="n">
        <v>46315</v>
      </c>
      <c r="F1405" t="inlineStr">
        <is>
          <t>HALLANDS LÄN</t>
        </is>
      </c>
      <c r="G1405" t="inlineStr">
        <is>
          <t>VARBERG</t>
        </is>
      </c>
      <c r="I1405" t="n">
        <v>1.3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inlineStr"/>
    </row>
    <row r="1406" ht="15" customHeight="1">
      <c r="A1406" t="inlineStr">
        <is>
          <t>A 24041-2026</t>
        </is>
      </c>
      <c r="B1406" t="inlineStr">
        <is>
          <t>avverkningsanmälan</t>
        </is>
      </c>
      <c r="C1406" t="inlineStr">
        <is>
          <t>Föryngringsavverkning</t>
        </is>
      </c>
      <c r="D1406" s="1" t="n">
        <v>46168</v>
      </c>
      <c r="E1406" s="1" t="n">
        <v>46315</v>
      </c>
      <c r="F1406" t="inlineStr">
        <is>
          <t>HALLANDS LÄN</t>
        </is>
      </c>
      <c r="G1406" t="inlineStr">
        <is>
          <t>VARBERG</t>
        </is>
      </c>
      <c r="I1406" t="n">
        <v>1.9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inlineStr"/>
    </row>
    <row r="1407" ht="15" customHeight="1">
      <c r="A1407" t="inlineStr">
        <is>
          <t>A 40544-2023</t>
        </is>
      </c>
      <c r="B1407" t="inlineStr">
        <is>
          <t>avverkningsanmälan</t>
        </is>
      </c>
      <c r="C1407" t="inlineStr">
        <is>
          <t>Föryngringsavverkning</t>
        </is>
      </c>
      <c r="D1407" s="1" t="n">
        <v>45170</v>
      </c>
      <c r="E1407" s="1" t="n">
        <v>46315</v>
      </c>
      <c r="F1407" t="inlineStr">
        <is>
          <t>HALLANDS LÄN</t>
        </is>
      </c>
      <c r="G1407" t="inlineStr">
        <is>
          <t>HYLTE</t>
        </is>
      </c>
      <c r="I1407" t="n">
        <v>2.5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inlineStr"/>
    </row>
    <row r="1408" ht="15" customHeight="1">
      <c r="A1408" t="inlineStr">
        <is>
          <t>A 47813-2024</t>
        </is>
      </c>
      <c r="B1408" t="inlineStr">
        <is>
          <t>avverkningsanmälan</t>
        </is>
      </c>
      <c r="C1408" t="inlineStr">
        <is>
          <t>Föryngringsavverkning</t>
        </is>
      </c>
      <c r="D1408" s="1" t="n">
        <v>45588</v>
      </c>
      <c r="E1408" s="1" t="n">
        <v>46315</v>
      </c>
      <c r="F1408" t="inlineStr">
        <is>
          <t>HALLANDS LÄN</t>
        </is>
      </c>
      <c r="G1408" t="inlineStr">
        <is>
          <t>HALMSTAD</t>
        </is>
      </c>
      <c r="I1408" t="n">
        <v>0.4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inlineStr"/>
    </row>
    <row r="1409" ht="15" customHeight="1">
      <c r="A1409" t="inlineStr">
        <is>
          <t>A 1781-2022</t>
        </is>
      </c>
      <c r="B1409" t="inlineStr">
        <is>
          <t>avverkningsanmälan</t>
        </is>
      </c>
      <c r="C1409" t="inlineStr">
        <is>
          <t>Föryngringsavverkning</t>
        </is>
      </c>
      <c r="D1409" s="1" t="n">
        <v>44574</v>
      </c>
      <c r="E1409" s="1" t="n">
        <v>46315</v>
      </c>
      <c r="F1409" t="inlineStr">
        <is>
          <t>HALLANDS LÄN</t>
        </is>
      </c>
      <c r="G1409" t="inlineStr">
        <is>
          <t>FALKENBERG</t>
        </is>
      </c>
      <c r="I1409" t="n">
        <v>0.9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inlineStr"/>
    </row>
    <row r="1410" ht="15" customHeight="1">
      <c r="A1410" t="inlineStr">
        <is>
          <t>A 62353-2025</t>
        </is>
      </c>
      <c r="B1410" t="inlineStr">
        <is>
          <t>avverkningsanmälan</t>
        </is>
      </c>
      <c r="C1410" t="inlineStr">
        <is>
          <t>Föryngringsavverkning</t>
        </is>
      </c>
      <c r="D1410" s="1" t="n">
        <v>46007</v>
      </c>
      <c r="E1410" s="1" t="n">
        <v>46315</v>
      </c>
      <c r="F1410" t="inlineStr">
        <is>
          <t>HALLANDS LÄN</t>
        </is>
      </c>
      <c r="G1410" t="inlineStr">
        <is>
          <t>VARBERG</t>
        </is>
      </c>
      <c r="I1410" t="n">
        <v>1.1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inlineStr"/>
    </row>
    <row r="1411" ht="15" customHeight="1">
      <c r="A1411" t="inlineStr">
        <is>
          <t>A 62354-2025</t>
        </is>
      </c>
      <c r="B1411" t="inlineStr">
        <is>
          <t>avverkningsanmälan</t>
        </is>
      </c>
      <c r="C1411" t="inlineStr">
        <is>
          <t>Föryngringsavverkning</t>
        </is>
      </c>
      <c r="D1411" s="1" t="n">
        <v>46007</v>
      </c>
      <c r="E1411" s="1" t="n">
        <v>46315</v>
      </c>
      <c r="F1411" t="inlineStr">
        <is>
          <t>HALLANDS LÄN</t>
        </is>
      </c>
      <c r="G1411" t="inlineStr">
        <is>
          <t>VARBERG</t>
        </is>
      </c>
      <c r="I1411" t="n">
        <v>1.1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inlineStr"/>
    </row>
    <row r="1412" ht="15" customHeight="1">
      <c r="A1412" t="inlineStr">
        <is>
          <t>A 62583-2025</t>
        </is>
      </c>
      <c r="B1412" t="inlineStr">
        <is>
          <t>avverkningsanmälan</t>
        </is>
      </c>
      <c r="C1412" t="inlineStr">
        <is>
          <t>Föryngringsavverkning</t>
        </is>
      </c>
      <c r="D1412" s="1" t="n">
        <v>46007</v>
      </c>
      <c r="E1412" s="1" t="n">
        <v>46315</v>
      </c>
      <c r="F1412" t="inlineStr">
        <is>
          <t>HALLANDS LÄN</t>
        </is>
      </c>
      <c r="G1412" t="inlineStr">
        <is>
          <t>HALMSTAD</t>
        </is>
      </c>
      <c r="I1412" t="n">
        <v>1.4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inlineStr"/>
    </row>
    <row r="1413" ht="15" customHeight="1">
      <c r="A1413" t="inlineStr">
        <is>
          <t>A 62608-2025</t>
        </is>
      </c>
      <c r="B1413" t="inlineStr">
        <is>
          <t>avverkningsanmälan</t>
        </is>
      </c>
      <c r="C1413" t="inlineStr">
        <is>
          <t>Föryngringsavverkning</t>
        </is>
      </c>
      <c r="D1413" s="1" t="n">
        <v>46008</v>
      </c>
      <c r="E1413" s="1" t="n">
        <v>46315</v>
      </c>
      <c r="F1413" t="inlineStr">
        <is>
          <t>HALLANDS LÄN</t>
        </is>
      </c>
      <c r="G1413" t="inlineStr">
        <is>
          <t>VARBERG</t>
        </is>
      </c>
      <c r="I1413" t="n">
        <v>0.6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inlineStr"/>
    </row>
    <row r="1414" ht="15" customHeight="1">
      <c r="A1414" t="inlineStr">
        <is>
          <t>A 9270-2025</t>
        </is>
      </c>
      <c r="B1414" t="inlineStr">
        <is>
          <t>avverkningsanmälan</t>
        </is>
      </c>
      <c r="C1414" t="inlineStr">
        <is>
          <t>Föryngringsavverkning</t>
        </is>
      </c>
      <c r="D1414" s="1" t="n">
        <v>45714</v>
      </c>
      <c r="E1414" s="1" t="n">
        <v>46315</v>
      </c>
      <c r="F1414" t="inlineStr">
        <is>
          <t>HALLANDS LÄN</t>
        </is>
      </c>
      <c r="G1414" t="inlineStr">
        <is>
          <t>FALKENBERG</t>
        </is>
      </c>
      <c r="I1414" t="n">
        <v>1.9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inlineStr"/>
    </row>
    <row r="1415" ht="15" customHeight="1">
      <c r="A1415" t="inlineStr">
        <is>
          <t>A 62356-2025</t>
        </is>
      </c>
      <c r="B1415" t="inlineStr">
        <is>
          <t>avverkningsanmälan</t>
        </is>
      </c>
      <c r="C1415" t="inlineStr">
        <is>
          <t>Föryngringsavverkning</t>
        </is>
      </c>
      <c r="D1415" s="1" t="n">
        <v>46007</v>
      </c>
      <c r="E1415" s="1" t="n">
        <v>46315</v>
      </c>
      <c r="F1415" t="inlineStr">
        <is>
          <t>HALLANDS LÄN</t>
        </is>
      </c>
      <c r="G1415" t="inlineStr">
        <is>
          <t>VARBERG</t>
        </is>
      </c>
      <c r="I1415" t="n">
        <v>1.1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inlineStr"/>
    </row>
    <row r="1416" ht="15" customHeight="1">
      <c r="A1416" t="inlineStr">
        <is>
          <t>A 24390-2026</t>
        </is>
      </c>
      <c r="B1416" t="inlineStr">
        <is>
          <t>avverkningsanmälan</t>
        </is>
      </c>
      <c r="C1416" t="inlineStr">
        <is>
          <t>Föryngringsavverkning</t>
        </is>
      </c>
      <c r="D1416" s="1" t="n">
        <v>46169</v>
      </c>
      <c r="E1416" s="1" t="n">
        <v>46315</v>
      </c>
      <c r="F1416" t="inlineStr">
        <is>
          <t>HALLANDS LÄN</t>
        </is>
      </c>
      <c r="G1416" t="inlineStr">
        <is>
          <t>HYLTE</t>
        </is>
      </c>
      <c r="I1416" t="n">
        <v>0.6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inlineStr"/>
    </row>
    <row r="1417" ht="15" customHeight="1">
      <c r="A1417" t="inlineStr">
        <is>
          <t>A 24133-2026</t>
        </is>
      </c>
      <c r="B1417" t="inlineStr">
        <is>
          <t>avverkningsanmälan</t>
        </is>
      </c>
      <c r="C1417" t="inlineStr">
        <is>
          <t>Föryngringsavverkning</t>
        </is>
      </c>
      <c r="D1417" s="1" t="n">
        <v>46168</v>
      </c>
      <c r="E1417" s="1" t="n">
        <v>46315</v>
      </c>
      <c r="F1417" t="inlineStr">
        <is>
          <t>HALLANDS LÄN</t>
        </is>
      </c>
      <c r="G1417" t="inlineStr">
        <is>
          <t>FALKENBERG</t>
        </is>
      </c>
      <c r="I1417" t="n">
        <v>2.5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inlineStr"/>
    </row>
    <row r="1418" ht="15" customHeight="1">
      <c r="A1418" t="inlineStr">
        <is>
          <t>A 25064-2024</t>
        </is>
      </c>
      <c r="B1418" t="inlineStr">
        <is>
          <t>avverkningsanmälan</t>
        </is>
      </c>
      <c r="C1418" t="inlineStr">
        <is>
          <t>Föryngringsavverkning</t>
        </is>
      </c>
      <c r="D1418" s="1" t="n">
        <v>45462</v>
      </c>
      <c r="E1418" s="1" t="n">
        <v>46315</v>
      </c>
      <c r="F1418" t="inlineStr">
        <is>
          <t>HALLANDS LÄN</t>
        </is>
      </c>
      <c r="G1418" t="inlineStr">
        <is>
          <t>HYLTE</t>
        </is>
      </c>
      <c r="I1418" t="n">
        <v>0.4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inlineStr"/>
    </row>
    <row r="1419" ht="15" customHeight="1">
      <c r="A1419" t="inlineStr">
        <is>
          <t>A 63003-2025</t>
        </is>
      </c>
      <c r="B1419" t="inlineStr">
        <is>
          <t>avverkningsanmälan</t>
        </is>
      </c>
      <c r="C1419" t="inlineStr">
        <is>
          <t>Föryngringsavverkning</t>
        </is>
      </c>
      <c r="D1419" s="1" t="n">
        <v>46009</v>
      </c>
      <c r="E1419" s="1" t="n">
        <v>46315</v>
      </c>
      <c r="F1419" t="inlineStr">
        <is>
          <t>HALLANDS LÄN</t>
        </is>
      </c>
      <c r="G1419" t="inlineStr">
        <is>
          <t>LAHOLM</t>
        </is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inlineStr"/>
    </row>
    <row r="1420" ht="15" customHeight="1">
      <c r="A1420" t="inlineStr">
        <is>
          <t>A 24383-2026</t>
        </is>
      </c>
      <c r="B1420" t="inlineStr">
        <is>
          <t>avverkningsanmälan</t>
        </is>
      </c>
      <c r="C1420" t="inlineStr">
        <is>
          <t>Föryngringsavverkning</t>
        </is>
      </c>
      <c r="D1420" s="1" t="n">
        <v>46169</v>
      </c>
      <c r="E1420" s="1" t="n">
        <v>46315</v>
      </c>
      <c r="F1420" t="inlineStr">
        <is>
          <t>HALLANDS LÄN</t>
        </is>
      </c>
      <c r="G1420" t="inlineStr">
        <is>
          <t>HYLTE</t>
        </is>
      </c>
      <c r="I1420" t="n">
        <v>1.6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inlineStr"/>
    </row>
    <row r="1421" ht="15" customHeight="1">
      <c r="A1421" t="inlineStr">
        <is>
          <t>A 63271-2025</t>
        </is>
      </c>
      <c r="B1421" t="inlineStr">
        <is>
          <t>avverkningsanmälan</t>
        </is>
      </c>
      <c r="C1421" t="inlineStr">
        <is>
          <t>Föryngringsavverkning</t>
        </is>
      </c>
      <c r="D1421" s="1" t="n">
        <v>46010</v>
      </c>
      <c r="E1421" s="1" t="n">
        <v>46315</v>
      </c>
      <c r="F1421" t="inlineStr">
        <is>
          <t>HALLANDS LÄN</t>
        </is>
      </c>
      <c r="G1421" t="inlineStr">
        <is>
          <t>VARBERG</t>
        </is>
      </c>
      <c r="I1421" t="n">
        <v>2.4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inlineStr"/>
    </row>
    <row r="1422" ht="15" customHeight="1">
      <c r="A1422" t="inlineStr">
        <is>
          <t>A 20072-2024</t>
        </is>
      </c>
      <c r="B1422" t="inlineStr">
        <is>
          <t>avverkningsanmälan</t>
        </is>
      </c>
      <c r="C1422" t="inlineStr">
        <is>
          <t>Föryngringsavverkning</t>
        </is>
      </c>
      <c r="D1422" s="1" t="n">
        <v>45434</v>
      </c>
      <c r="E1422" s="1" t="n">
        <v>46315</v>
      </c>
      <c r="F1422" t="inlineStr">
        <is>
          <t>HALLANDS LÄN</t>
        </is>
      </c>
      <c r="G1422" t="inlineStr">
        <is>
          <t>VARBERG</t>
        </is>
      </c>
      <c r="I1422" t="n">
        <v>9.1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inlineStr"/>
    </row>
    <row r="1423" ht="15" customHeight="1">
      <c r="A1423" t="inlineStr">
        <is>
          <t>A 24394-2026</t>
        </is>
      </c>
      <c r="B1423" t="inlineStr">
        <is>
          <t>avverkningsanmälan</t>
        </is>
      </c>
      <c r="C1423" t="inlineStr">
        <is>
          <t>Föryngringsavverkning</t>
        </is>
      </c>
      <c r="D1423" s="1" t="n">
        <v>46169</v>
      </c>
      <c r="E1423" s="1" t="n">
        <v>46315</v>
      </c>
      <c r="F1423" t="inlineStr">
        <is>
          <t>HALLANDS LÄN</t>
        </is>
      </c>
      <c r="G1423" t="inlineStr">
        <is>
          <t>HYLTE</t>
        </is>
      </c>
      <c r="I1423" t="n">
        <v>0.6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inlineStr"/>
    </row>
    <row r="1424" ht="15" customHeight="1">
      <c r="A1424" t="inlineStr">
        <is>
          <t>A 28946-2024</t>
        </is>
      </c>
      <c r="B1424" t="inlineStr">
        <is>
          <t>avverkningsanmälan</t>
        </is>
      </c>
      <c r="C1424" t="inlineStr">
        <is>
          <t>Föryngringsavverkning</t>
        </is>
      </c>
      <c r="D1424" s="1" t="n">
        <v>45481</v>
      </c>
      <c r="E1424" s="1" t="n">
        <v>46315</v>
      </c>
      <c r="F1424" t="inlineStr">
        <is>
          <t>HALLANDS LÄN</t>
        </is>
      </c>
      <c r="G1424" t="inlineStr">
        <is>
          <t>FALKENBERG</t>
        </is>
      </c>
      <c r="I1424" t="n">
        <v>0.7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inlineStr"/>
    </row>
    <row r="1425" ht="15" customHeight="1">
      <c r="A1425" t="inlineStr">
        <is>
          <t>A 10688-2025</t>
        </is>
      </c>
      <c r="B1425" t="inlineStr">
        <is>
          <t>avverkningsanmälan</t>
        </is>
      </c>
      <c r="C1425" t="inlineStr">
        <is>
          <t>Föryngringsavverkning</t>
        </is>
      </c>
      <c r="D1425" s="1" t="n">
        <v>45722</v>
      </c>
      <c r="E1425" s="1" t="n">
        <v>46315</v>
      </c>
      <c r="F1425" t="inlineStr">
        <is>
          <t>HALLANDS LÄN</t>
        </is>
      </c>
      <c r="G1425" t="inlineStr">
        <is>
          <t>VARBERG</t>
        </is>
      </c>
      <c r="I1425" t="n">
        <v>9.5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inlineStr"/>
    </row>
    <row r="1426" ht="15" customHeight="1">
      <c r="A1426" t="inlineStr">
        <is>
          <t>A 29889-2024</t>
        </is>
      </c>
      <c r="B1426" t="inlineStr">
        <is>
          <t>avverkningsanmälan</t>
        </is>
      </c>
      <c r="C1426" t="inlineStr">
        <is>
          <t>Föryngringsavverkning</t>
        </is>
      </c>
      <c r="D1426" s="1" t="n">
        <v>45487</v>
      </c>
      <c r="E1426" s="1" t="n">
        <v>46315</v>
      </c>
      <c r="F1426" t="inlineStr">
        <is>
          <t>HALLANDS LÄN</t>
        </is>
      </c>
      <c r="G1426" t="inlineStr">
        <is>
          <t>VARBERG</t>
        </is>
      </c>
      <c r="I1426" t="n">
        <v>2.8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inlineStr"/>
    </row>
    <row r="1427" ht="15" customHeight="1">
      <c r="A1427" t="inlineStr">
        <is>
          <t>A 1778-2026</t>
        </is>
      </c>
      <c r="B1427" t="inlineStr">
        <is>
          <t>avverkningsanmälan</t>
        </is>
      </c>
      <c r="C1427" t="inlineStr">
        <is>
          <t>Föryngringsavverkning</t>
        </is>
      </c>
      <c r="D1427" s="1" t="n">
        <v>46034</v>
      </c>
      <c r="E1427" s="1" t="n">
        <v>46315</v>
      </c>
      <c r="F1427" t="inlineStr">
        <is>
          <t>HALLANDS LÄN</t>
        </is>
      </c>
      <c r="G1427" t="inlineStr">
        <is>
          <t>HALMSTAD</t>
        </is>
      </c>
      <c r="I1427" t="n">
        <v>2.7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inlineStr"/>
    </row>
    <row r="1428" ht="15" customHeight="1">
      <c r="A1428" t="inlineStr">
        <is>
          <t>A 7633-2024</t>
        </is>
      </c>
      <c r="B1428" t="inlineStr">
        <is>
          <t>avverkningsanmälan</t>
        </is>
      </c>
      <c r="C1428" t="inlineStr">
        <is>
          <t>Föryngringsavverkning</t>
        </is>
      </c>
      <c r="D1428" s="1" t="n">
        <v>45348</v>
      </c>
      <c r="E1428" s="1" t="n">
        <v>46315</v>
      </c>
      <c r="F1428" t="inlineStr">
        <is>
          <t>HALLANDS LÄN</t>
        </is>
      </c>
      <c r="G1428" t="inlineStr">
        <is>
          <t>HALMSTAD</t>
        </is>
      </c>
      <c r="I1428" t="n">
        <v>0.4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inlineStr"/>
    </row>
    <row r="1429" ht="15" customHeight="1">
      <c r="A1429" t="inlineStr">
        <is>
          <t>A 45988-2025</t>
        </is>
      </c>
      <c r="B1429" t="inlineStr">
        <is>
          <t>avverkningsanmälan</t>
        </is>
      </c>
      <c r="C1429" t="inlineStr">
        <is>
          <t>Föryngringsavverkning</t>
        </is>
      </c>
      <c r="D1429" s="1" t="n">
        <v>45924</v>
      </c>
      <c r="E1429" s="1" t="n">
        <v>46315</v>
      </c>
      <c r="F1429" t="inlineStr">
        <is>
          <t>HALLANDS LÄN</t>
        </is>
      </c>
      <c r="G1429" t="inlineStr">
        <is>
          <t>HALMSTAD</t>
        </is>
      </c>
      <c r="I1429" t="n">
        <v>3.1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inlineStr"/>
    </row>
    <row r="1430" ht="15" customHeight="1">
      <c r="A1430" t="inlineStr">
        <is>
          <t>A 62999-2025</t>
        </is>
      </c>
      <c r="B1430" t="inlineStr">
        <is>
          <t>avverkningsanmälan</t>
        </is>
      </c>
      <c r="C1430" t="inlineStr">
        <is>
          <t>Föryngringsavverkning</t>
        </is>
      </c>
      <c r="D1430" s="1" t="n">
        <v>46009</v>
      </c>
      <c r="E1430" s="1" t="n">
        <v>46315</v>
      </c>
      <c r="F1430" t="inlineStr">
        <is>
          <t>HALLANDS LÄN</t>
        </is>
      </c>
      <c r="G1430" t="inlineStr">
        <is>
          <t>LAHOLM</t>
        </is>
      </c>
      <c r="I1430" t="n">
        <v>0.6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inlineStr"/>
    </row>
    <row r="1431" ht="15" customHeight="1">
      <c r="A1431" t="inlineStr">
        <is>
          <t>A 71120-2021</t>
        </is>
      </c>
      <c r="B1431" t="inlineStr">
        <is>
          <t>avverkningsanmälan</t>
        </is>
      </c>
      <c r="C1431" t="inlineStr">
        <is>
          <t>Föryngringsavverkning</t>
        </is>
      </c>
      <c r="D1431" s="1" t="n">
        <v>44539</v>
      </c>
      <c r="E1431" s="1" t="n">
        <v>46315</v>
      </c>
      <c r="F1431" t="inlineStr">
        <is>
          <t>HALLANDS LÄN</t>
        </is>
      </c>
      <c r="G1431" t="inlineStr">
        <is>
          <t>HYLTE</t>
        </is>
      </c>
      <c r="I1431" t="n">
        <v>0.6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inlineStr"/>
    </row>
    <row r="1432" ht="15" customHeight="1">
      <c r="A1432" t="inlineStr">
        <is>
          <t>A 63524-2025</t>
        </is>
      </c>
      <c r="B1432" t="inlineStr">
        <is>
          <t>avverkningsanmälan</t>
        </is>
      </c>
      <c r="C1432" t="inlineStr">
        <is>
          <t>Föryngringsavverkning</t>
        </is>
      </c>
      <c r="D1432" s="1" t="n">
        <v>46013</v>
      </c>
      <c r="E1432" s="1" t="n">
        <v>46315</v>
      </c>
      <c r="F1432" t="inlineStr">
        <is>
          <t>HALLANDS LÄN</t>
        </is>
      </c>
      <c r="G1432" t="inlineStr">
        <is>
          <t>HALMSTAD</t>
        </is>
      </c>
      <c r="I1432" t="n">
        <v>0.5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inlineStr"/>
    </row>
    <row r="1433" ht="15" customHeight="1">
      <c r="A1433" t="inlineStr">
        <is>
          <t>A 40725-2023</t>
        </is>
      </c>
      <c r="B1433" t="inlineStr">
        <is>
          <t>avverkningsanmälan</t>
        </is>
      </c>
      <c r="C1433" t="inlineStr">
        <is>
          <t>Föryngringsavverkning</t>
        </is>
      </c>
      <c r="D1433" s="1" t="n">
        <v>45170</v>
      </c>
      <c r="E1433" s="1" t="n">
        <v>46315</v>
      </c>
      <c r="F1433" t="inlineStr">
        <is>
          <t>HALLANDS LÄN</t>
        </is>
      </c>
      <c r="G1433" t="inlineStr">
        <is>
          <t>HYLTE</t>
        </is>
      </c>
      <c r="I1433" t="n">
        <v>1.4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inlineStr"/>
    </row>
    <row r="1434" ht="15" customHeight="1">
      <c r="A1434" t="inlineStr">
        <is>
          <t>A 40735-2023</t>
        </is>
      </c>
      <c r="B1434" t="inlineStr">
        <is>
          <t>avverkningsanmälan</t>
        </is>
      </c>
      <c r="C1434" t="inlineStr">
        <is>
          <t>Föryngringsavverkning</t>
        </is>
      </c>
      <c r="D1434" s="1" t="n">
        <v>45170</v>
      </c>
      <c r="E1434" s="1" t="n">
        <v>46315</v>
      </c>
      <c r="F1434" t="inlineStr">
        <is>
          <t>HALLANDS LÄN</t>
        </is>
      </c>
      <c r="G1434" t="inlineStr">
        <is>
          <t>HALMSTAD</t>
        </is>
      </c>
      <c r="I1434" t="n">
        <v>1.3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inlineStr"/>
    </row>
    <row r="1435" ht="15" customHeight="1">
      <c r="A1435" t="inlineStr">
        <is>
          <t>A 24804-2026</t>
        </is>
      </c>
      <c r="B1435" t="inlineStr">
        <is>
          <t>avverkningsanmälan</t>
        </is>
      </c>
      <c r="C1435" t="inlineStr">
        <is>
          <t>Föryngringsavverkning</t>
        </is>
      </c>
      <c r="D1435" s="1" t="n">
        <v>46172</v>
      </c>
      <c r="E1435" s="1" t="n">
        <v>46315</v>
      </c>
      <c r="F1435" t="inlineStr">
        <is>
          <t>HALLANDS LÄN</t>
        </is>
      </c>
      <c r="G1435" t="inlineStr">
        <is>
          <t>FALKENBERG</t>
        </is>
      </c>
      <c r="I1435" t="n">
        <v>0.6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inlineStr"/>
    </row>
    <row r="1436" ht="15" customHeight="1">
      <c r="A1436" t="inlineStr">
        <is>
          <t>A 60112-2025</t>
        </is>
      </c>
      <c r="B1436" t="inlineStr">
        <is>
          <t>avverkningsanmälan</t>
        </is>
      </c>
      <c r="C1436" t="inlineStr">
        <is>
          <t>Föryngringsavverkning</t>
        </is>
      </c>
      <c r="D1436" s="1" t="n">
        <v>45994</v>
      </c>
      <c r="E1436" s="1" t="n">
        <v>46315</v>
      </c>
      <c r="F1436" t="inlineStr">
        <is>
          <t>HALLANDS LÄN</t>
        </is>
      </c>
      <c r="G1436" t="inlineStr">
        <is>
          <t>LAHOLM</t>
        </is>
      </c>
      <c r="H1436" t="inlineStr">
        <is>
          <t>Sveaskog</t>
        </is>
      </c>
      <c r="I1436" t="n">
        <v>2.6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inlineStr"/>
    </row>
    <row r="1437" ht="15" customHeight="1">
      <c r="A1437" t="inlineStr">
        <is>
          <t>A 7695-2024</t>
        </is>
      </c>
      <c r="B1437" t="inlineStr">
        <is>
          <t>avverkningsanmälan</t>
        </is>
      </c>
      <c r="C1437" t="inlineStr">
        <is>
          <t>Föryngringsavverkning</t>
        </is>
      </c>
      <c r="D1437" s="1" t="n">
        <v>45349</v>
      </c>
      <c r="E1437" s="1" t="n">
        <v>46315</v>
      </c>
      <c r="F1437" t="inlineStr">
        <is>
          <t>HALLANDS LÄN</t>
        </is>
      </c>
      <c r="G1437" t="inlineStr">
        <is>
          <t>VARBERG</t>
        </is>
      </c>
      <c r="I1437" t="n">
        <v>1.8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inlineStr"/>
    </row>
    <row r="1438" ht="15" customHeight="1">
      <c r="A1438" t="inlineStr">
        <is>
          <t>A 6803-2023</t>
        </is>
      </c>
      <c r="B1438" t="inlineStr">
        <is>
          <t>avverkningsanmälan</t>
        </is>
      </c>
      <c r="C1438" t="inlineStr">
        <is>
          <t>Föryngringsavverkning</t>
        </is>
      </c>
      <c r="D1438" s="1" t="n">
        <v>44967</v>
      </c>
      <c r="E1438" s="1" t="n">
        <v>46315</v>
      </c>
      <c r="F1438" t="inlineStr">
        <is>
          <t>HALLANDS LÄN</t>
        </is>
      </c>
      <c r="G1438" t="inlineStr">
        <is>
          <t>VARBERG</t>
        </is>
      </c>
      <c r="I1438" t="n">
        <v>2.4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inlineStr"/>
    </row>
    <row r="1439" ht="15" customHeight="1">
      <c r="A1439" t="inlineStr">
        <is>
          <t>A 62612-2025</t>
        </is>
      </c>
      <c r="B1439" t="inlineStr">
        <is>
          <t>avverkningsanmälan</t>
        </is>
      </c>
      <c r="C1439" t="inlineStr">
        <is>
          <t>Föryngringsavverkning</t>
        </is>
      </c>
      <c r="D1439" s="1" t="n">
        <v>46008</v>
      </c>
      <c r="E1439" s="1" t="n">
        <v>46315</v>
      </c>
      <c r="F1439" t="inlineStr">
        <is>
          <t>HALLANDS LÄN</t>
        </is>
      </c>
      <c r="G1439" t="inlineStr">
        <is>
          <t>VARBERG</t>
        </is>
      </c>
      <c r="I1439" t="n">
        <v>5.5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inlineStr"/>
    </row>
    <row r="1440" ht="15" customHeight="1">
      <c r="A1440" t="inlineStr">
        <is>
          <t>A 60115-2025</t>
        </is>
      </c>
      <c r="B1440" t="inlineStr">
        <is>
          <t>avverkningsanmälan</t>
        </is>
      </c>
      <c r="C1440" t="inlineStr">
        <is>
          <t>Föryngringsavverkning</t>
        </is>
      </c>
      <c r="D1440" s="1" t="n">
        <v>45994</v>
      </c>
      <c r="E1440" s="1" t="n">
        <v>46315</v>
      </c>
      <c r="F1440" t="inlineStr">
        <is>
          <t>HALLANDS LÄN</t>
        </is>
      </c>
      <c r="G1440" t="inlineStr">
        <is>
          <t>LAHOLM</t>
        </is>
      </c>
      <c r="H1440" t="inlineStr">
        <is>
          <t>Sveaskog</t>
        </is>
      </c>
      <c r="I1440" t="n">
        <v>6.3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inlineStr"/>
    </row>
    <row r="1441" ht="15" customHeight="1">
      <c r="A1441" t="inlineStr">
        <is>
          <t>A 34866-2025</t>
        </is>
      </c>
      <c r="B1441" t="inlineStr">
        <is>
          <t>avverkningsanmälan</t>
        </is>
      </c>
      <c r="C1441" t="inlineStr">
        <is>
          <t>Föryngringsavverkning</t>
        </is>
      </c>
      <c r="D1441" s="1" t="n">
        <v>45849</v>
      </c>
      <c r="E1441" s="1" t="n">
        <v>46315</v>
      </c>
      <c r="F1441" t="inlineStr">
        <is>
          <t>HALLANDS LÄN</t>
        </is>
      </c>
      <c r="G1441" t="inlineStr">
        <is>
          <t>LAHOLM</t>
        </is>
      </c>
      <c r="I1441" t="n">
        <v>2.9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inlineStr"/>
    </row>
    <row r="1442" ht="15" customHeight="1">
      <c r="A1442" t="inlineStr">
        <is>
          <t>A 12076-2024</t>
        </is>
      </c>
      <c r="B1442" t="inlineStr">
        <is>
          <t>avverkningsanmälan</t>
        </is>
      </c>
      <c r="C1442" t="inlineStr">
        <is>
          <t>Föryngringsavverkning</t>
        </is>
      </c>
      <c r="D1442" s="1" t="n">
        <v>45377</v>
      </c>
      <c r="E1442" s="1" t="n">
        <v>46315</v>
      </c>
      <c r="F1442" t="inlineStr">
        <is>
          <t>HALLANDS LÄN</t>
        </is>
      </c>
      <c r="G1442" t="inlineStr">
        <is>
          <t>FALKENBERG</t>
        </is>
      </c>
      <c r="I1442" t="n">
        <v>0.8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inlineStr"/>
    </row>
    <row r="1443" ht="15" customHeight="1">
      <c r="A1443" t="inlineStr">
        <is>
          <t>A 39570-2024</t>
        </is>
      </c>
      <c r="B1443" t="inlineStr">
        <is>
          <t>avverkningsanmälan</t>
        </is>
      </c>
      <c r="C1443" t="inlineStr">
        <is>
          <t>Föryngringsavverkning</t>
        </is>
      </c>
      <c r="D1443" s="1" t="n">
        <v>45552</v>
      </c>
      <c r="E1443" s="1" t="n">
        <v>46315</v>
      </c>
      <c r="F1443" t="inlineStr">
        <is>
          <t>HALLANDS LÄN</t>
        </is>
      </c>
      <c r="G1443" t="inlineStr">
        <is>
          <t>FALKENBERG</t>
        </is>
      </c>
      <c r="I1443" t="n">
        <v>1.6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inlineStr"/>
    </row>
    <row r="1444" ht="15" customHeight="1">
      <c r="A1444" t="inlineStr">
        <is>
          <t>A 63634-2025</t>
        </is>
      </c>
      <c r="B1444" t="inlineStr">
        <is>
          <t>avverkningsanmälan</t>
        </is>
      </c>
      <c r="C1444" t="inlineStr">
        <is>
          <t>Föryngringsavverkning</t>
        </is>
      </c>
      <c r="D1444" s="1" t="n">
        <v>46014</v>
      </c>
      <c r="E1444" s="1" t="n">
        <v>46315</v>
      </c>
      <c r="F1444" t="inlineStr">
        <is>
          <t>HALLANDS LÄN</t>
        </is>
      </c>
      <c r="G1444" t="inlineStr">
        <is>
          <t>VARBERG</t>
        </is>
      </c>
      <c r="I1444" t="n">
        <v>1.6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inlineStr"/>
    </row>
    <row r="1445" ht="15" customHeight="1">
      <c r="A1445" t="inlineStr">
        <is>
          <t>A 63638-2025</t>
        </is>
      </c>
      <c r="B1445" t="inlineStr">
        <is>
          <t>avverkningsanmälan</t>
        </is>
      </c>
      <c r="C1445" t="inlineStr">
        <is>
          <t>Föryngringsavverkning</t>
        </is>
      </c>
      <c r="D1445" s="1" t="n">
        <v>46014</v>
      </c>
      <c r="E1445" s="1" t="n">
        <v>46315</v>
      </c>
      <c r="F1445" t="inlineStr">
        <is>
          <t>HALLANDS LÄN</t>
        </is>
      </c>
      <c r="G1445" t="inlineStr">
        <is>
          <t>VARBERG</t>
        </is>
      </c>
      <c r="I1445" t="n">
        <v>2.5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inlineStr"/>
    </row>
    <row r="1446" ht="15" customHeight="1">
      <c r="A1446" t="inlineStr">
        <is>
          <t>A 25242-2023</t>
        </is>
      </c>
      <c r="B1446" t="inlineStr">
        <is>
          <t>avverkningsanmälan</t>
        </is>
      </c>
      <c r="C1446" t="inlineStr">
        <is>
          <t>Föryngringsavverkning</t>
        </is>
      </c>
      <c r="D1446" s="1" t="n">
        <v>45086</v>
      </c>
      <c r="E1446" s="1" t="n">
        <v>46315</v>
      </c>
      <c r="F1446" t="inlineStr">
        <is>
          <t>HALLANDS LÄN</t>
        </is>
      </c>
      <c r="G1446" t="inlineStr">
        <is>
          <t>VARBERG</t>
        </is>
      </c>
      <c r="I1446" t="n">
        <v>2.2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inlineStr"/>
    </row>
    <row r="1447" ht="15" customHeight="1">
      <c r="A1447" t="inlineStr">
        <is>
          <t>A 63632-2025</t>
        </is>
      </c>
      <c r="B1447" t="inlineStr">
        <is>
          <t>avverkningsanmälan</t>
        </is>
      </c>
      <c r="C1447" t="inlineStr">
        <is>
          <t>Föryngringsavverkning</t>
        </is>
      </c>
      <c r="D1447" s="1" t="n">
        <v>46014</v>
      </c>
      <c r="E1447" s="1" t="n">
        <v>46315</v>
      </c>
      <c r="F1447" t="inlineStr">
        <is>
          <t>HALLANDS LÄN</t>
        </is>
      </c>
      <c r="G1447" t="inlineStr">
        <is>
          <t>VARBERG</t>
        </is>
      </c>
      <c r="I1447" t="n">
        <v>5.7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inlineStr"/>
    </row>
    <row r="1448" ht="15" customHeight="1">
      <c r="A1448" t="inlineStr">
        <is>
          <t>A 24783-2026</t>
        </is>
      </c>
      <c r="B1448" t="inlineStr">
        <is>
          <t>avverkningsanmälan</t>
        </is>
      </c>
      <c r="C1448" t="inlineStr">
        <is>
          <t>Föryngringsavverkning</t>
        </is>
      </c>
      <c r="D1448" s="1" t="n">
        <v>46171</v>
      </c>
      <c r="E1448" s="1" t="n">
        <v>46315</v>
      </c>
      <c r="F1448" t="inlineStr">
        <is>
          <t>HALLANDS LÄN</t>
        </is>
      </c>
      <c r="G1448" t="inlineStr">
        <is>
          <t>HYLTE</t>
        </is>
      </c>
      <c r="I1448" t="n">
        <v>5.4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inlineStr"/>
    </row>
    <row r="1449" ht="15" customHeight="1">
      <c r="A1449" t="inlineStr">
        <is>
          <t>A 60341-2024</t>
        </is>
      </c>
      <c r="B1449" t="inlineStr">
        <is>
          <t>avverkningsanmälan</t>
        </is>
      </c>
      <c r="C1449" t="inlineStr">
        <is>
          <t>Avverkning för annat ändamål</t>
        </is>
      </c>
      <c r="D1449" s="1" t="n">
        <v>45643</v>
      </c>
      <c r="E1449" s="1" t="n">
        <v>46315</v>
      </c>
      <c r="F1449" t="inlineStr">
        <is>
          <t>HALLANDS LÄN</t>
        </is>
      </c>
      <c r="G1449" t="inlineStr">
        <is>
          <t>LAHOLM</t>
        </is>
      </c>
      <c r="I1449" t="n">
        <v>2.7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inlineStr"/>
    </row>
    <row r="1450" ht="15" customHeight="1">
      <c r="A1450" t="inlineStr">
        <is>
          <t>A 24534-2026</t>
        </is>
      </c>
      <c r="B1450" t="inlineStr">
        <is>
          <t>avverkningsanmälan</t>
        </is>
      </c>
      <c r="C1450" t="inlineStr">
        <is>
          <t>Föryngringsavverkning</t>
        </is>
      </c>
      <c r="D1450" s="1" t="n">
        <v>46170</v>
      </c>
      <c r="E1450" s="1" t="n">
        <v>46315</v>
      </c>
      <c r="F1450" t="inlineStr">
        <is>
          <t>HALLANDS LÄN</t>
        </is>
      </c>
      <c r="G1450" t="inlineStr">
        <is>
          <t>HYLTE</t>
        </is>
      </c>
      <c r="I1450" t="n">
        <v>2.1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inlineStr"/>
    </row>
    <row r="1451" ht="15" customHeight="1">
      <c r="A1451" t="inlineStr">
        <is>
          <t>A 63630-2025</t>
        </is>
      </c>
      <c r="B1451" t="inlineStr">
        <is>
          <t>avverkningsanmälan</t>
        </is>
      </c>
      <c r="C1451" t="inlineStr">
        <is>
          <t>Föryngringsavverkning</t>
        </is>
      </c>
      <c r="D1451" s="1" t="n">
        <v>46014</v>
      </c>
      <c r="E1451" s="1" t="n">
        <v>46315</v>
      </c>
      <c r="F1451" t="inlineStr">
        <is>
          <t>HALLANDS LÄN</t>
        </is>
      </c>
      <c r="G1451" t="inlineStr">
        <is>
          <t>VARBERG</t>
        </is>
      </c>
      <c r="I1451" t="n">
        <v>0.9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inlineStr"/>
    </row>
    <row r="1452" ht="15" customHeight="1">
      <c r="A1452" t="inlineStr">
        <is>
          <t>A 63637-2025</t>
        </is>
      </c>
      <c r="B1452" t="inlineStr">
        <is>
          <t>avverkningsanmälan</t>
        </is>
      </c>
      <c r="C1452" t="inlineStr">
        <is>
          <t>Föryngringsavverkning</t>
        </is>
      </c>
      <c r="D1452" s="1" t="n">
        <v>46014</v>
      </c>
      <c r="E1452" s="1" t="n">
        <v>46315</v>
      </c>
      <c r="F1452" t="inlineStr">
        <is>
          <t>HALLANDS LÄN</t>
        </is>
      </c>
      <c r="G1452" t="inlineStr">
        <is>
          <t>VARBERG</t>
        </is>
      </c>
      <c r="I1452" t="n">
        <v>1.1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inlineStr"/>
    </row>
    <row r="1453" ht="15" customHeight="1">
      <c r="A1453" t="inlineStr">
        <is>
          <t>A 23213-2023</t>
        </is>
      </c>
      <c r="B1453" t="inlineStr">
        <is>
          <t>avverkningsanmälan</t>
        </is>
      </c>
      <c r="C1453" t="inlineStr">
        <is>
          <t>Föryngringsavverkning</t>
        </is>
      </c>
      <c r="D1453" s="1" t="n">
        <v>45075</v>
      </c>
      <c r="E1453" s="1" t="n">
        <v>46315</v>
      </c>
      <c r="F1453" t="inlineStr">
        <is>
          <t>HALLANDS LÄN</t>
        </is>
      </c>
      <c r="G1453" t="inlineStr">
        <is>
          <t>VARBERG</t>
        </is>
      </c>
      <c r="I1453" t="n">
        <v>0.9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inlineStr"/>
    </row>
    <row r="1454" ht="15" customHeight="1">
      <c r="A1454" t="inlineStr">
        <is>
          <t>A 52273-2025</t>
        </is>
      </c>
      <c r="B1454" t="inlineStr">
        <is>
          <t>avverkningsanmälan</t>
        </is>
      </c>
      <c r="C1454" t="inlineStr">
        <is>
          <t>Föryngringsavverkning</t>
        </is>
      </c>
      <c r="D1454" s="1" t="n">
        <v>45953</v>
      </c>
      <c r="E1454" s="1" t="n">
        <v>46315</v>
      </c>
      <c r="F1454" t="inlineStr">
        <is>
          <t>HALLANDS LÄN</t>
        </is>
      </c>
      <c r="G1454" t="inlineStr">
        <is>
          <t>FALKENBERG</t>
        </is>
      </c>
      <c r="I1454" t="n">
        <v>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inlineStr"/>
    </row>
    <row r="1455" ht="15" customHeight="1">
      <c r="A1455" t="inlineStr">
        <is>
          <t>A 24480-2026</t>
        </is>
      </c>
      <c r="B1455" t="inlineStr">
        <is>
          <t>avverkningsanmälan</t>
        </is>
      </c>
      <c r="C1455" t="inlineStr">
        <is>
          <t>Föryngringsavverkning</t>
        </is>
      </c>
      <c r="D1455" s="1" t="n">
        <v>46170</v>
      </c>
      <c r="E1455" s="1" t="n">
        <v>46315</v>
      </c>
      <c r="F1455" t="inlineStr">
        <is>
          <t>HALLANDS LÄN</t>
        </is>
      </c>
      <c r="G1455" t="inlineStr">
        <is>
          <t>FALKENBERG</t>
        </is>
      </c>
      <c r="I1455" t="n">
        <v>1.1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inlineStr"/>
    </row>
    <row r="1456" ht="15" customHeight="1">
      <c r="A1456" t="inlineStr">
        <is>
          <t>A 12404-2023</t>
        </is>
      </c>
      <c r="B1456" t="inlineStr">
        <is>
          <t>avverkningsanmälan</t>
        </is>
      </c>
      <c r="C1456" t="inlineStr">
        <is>
          <t>Föryngringsavverkning</t>
        </is>
      </c>
      <c r="D1456" s="1" t="n">
        <v>44999</v>
      </c>
      <c r="E1456" s="1" t="n">
        <v>46315</v>
      </c>
      <c r="F1456" t="inlineStr">
        <is>
          <t>HALLANDS LÄN</t>
        </is>
      </c>
      <c r="G1456" t="inlineStr">
        <is>
          <t>KUNGSBACKA</t>
        </is>
      </c>
      <c r="I1456" t="n">
        <v>0.5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inlineStr"/>
    </row>
    <row r="1457" ht="15" customHeight="1">
      <c r="A1457" t="inlineStr">
        <is>
          <t>A 5330-2022</t>
        </is>
      </c>
      <c r="B1457" t="inlineStr">
        <is>
          <t>avverkningsanmälan</t>
        </is>
      </c>
      <c r="C1457" t="inlineStr">
        <is>
          <t>Föryngringsavverkning</t>
        </is>
      </c>
      <c r="D1457" s="1" t="n">
        <v>44594</v>
      </c>
      <c r="E1457" s="1" t="n">
        <v>46315</v>
      </c>
      <c r="F1457" t="inlineStr">
        <is>
          <t>HALLANDS LÄN</t>
        </is>
      </c>
      <c r="G1457" t="inlineStr">
        <is>
          <t>HALMSTAD</t>
        </is>
      </c>
      <c r="I1457" t="n">
        <v>1.6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inlineStr"/>
    </row>
    <row r="1458" ht="15" customHeight="1">
      <c r="A1458" t="inlineStr">
        <is>
          <t>A 63888-2025</t>
        </is>
      </c>
      <c r="B1458" t="inlineStr">
        <is>
          <t>avverkningsanmälan</t>
        </is>
      </c>
      <c r="C1458" t="inlineStr">
        <is>
          <t>Föryngringsavverkning</t>
        </is>
      </c>
      <c r="D1458" s="1" t="n">
        <v>46020</v>
      </c>
      <c r="E1458" s="1" t="n">
        <v>46315</v>
      </c>
      <c r="F1458" t="inlineStr">
        <is>
          <t>HALLANDS LÄN</t>
        </is>
      </c>
      <c r="G1458" t="inlineStr">
        <is>
          <t>HYLTE</t>
        </is>
      </c>
      <c r="I1458" t="n">
        <v>0.7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inlineStr"/>
    </row>
    <row r="1459" ht="15" customHeight="1">
      <c r="A1459" t="inlineStr">
        <is>
          <t>A 3092-2025</t>
        </is>
      </c>
      <c r="B1459" t="inlineStr">
        <is>
          <t>avverkningsanmälan</t>
        </is>
      </c>
      <c r="C1459" t="inlineStr">
        <is>
          <t>Föryngringsavverkning</t>
        </is>
      </c>
      <c r="D1459" s="1" t="n">
        <v>45678</v>
      </c>
      <c r="E1459" s="1" t="n">
        <v>46315</v>
      </c>
      <c r="F1459" t="inlineStr">
        <is>
          <t>HALLANDS LÄN</t>
        </is>
      </c>
      <c r="G1459" t="inlineStr">
        <is>
          <t>FALKENBERG</t>
        </is>
      </c>
      <c r="I1459" t="n">
        <v>2.7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inlineStr"/>
    </row>
    <row r="1460" ht="15" customHeight="1">
      <c r="A1460" t="inlineStr">
        <is>
          <t>A 11091-2022</t>
        </is>
      </c>
      <c r="B1460" t="inlineStr">
        <is>
          <t>avverkningsanmälan</t>
        </is>
      </c>
      <c r="C1460" t="inlineStr">
        <is>
          <t>Föryngringsavverkning</t>
        </is>
      </c>
      <c r="D1460" s="1" t="n">
        <v>44628</v>
      </c>
      <c r="E1460" s="1" t="n">
        <v>46315</v>
      </c>
      <c r="F1460" t="inlineStr">
        <is>
          <t>HALLANDS LÄN</t>
        </is>
      </c>
      <c r="G1460" t="inlineStr">
        <is>
          <t>HALMSTAD</t>
        </is>
      </c>
      <c r="I1460" t="n">
        <v>4.9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inlineStr"/>
    </row>
    <row r="1461" ht="15" customHeight="1">
      <c r="A1461" t="inlineStr">
        <is>
          <t>A 15427-2024</t>
        </is>
      </c>
      <c r="B1461" t="inlineStr">
        <is>
          <t>avverkningsanmälan</t>
        </is>
      </c>
      <c r="C1461" t="inlineStr">
        <is>
          <t>Föryngringsavverkning</t>
        </is>
      </c>
      <c r="D1461" s="1" t="n">
        <v>45401</v>
      </c>
      <c r="E1461" s="1" t="n">
        <v>46315</v>
      </c>
      <c r="F1461" t="inlineStr">
        <is>
          <t>HALLANDS LÄN</t>
        </is>
      </c>
      <c r="G1461" t="inlineStr">
        <is>
          <t>FALKENBERG</t>
        </is>
      </c>
      <c r="H1461" t="inlineStr">
        <is>
          <t>Kyrkan</t>
        </is>
      </c>
      <c r="I1461" t="n">
        <v>4.5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inlineStr"/>
    </row>
    <row r="1462" ht="15" customHeight="1">
      <c r="A1462" t="inlineStr">
        <is>
          <t>A 40-2026</t>
        </is>
      </c>
      <c r="B1462" t="inlineStr">
        <is>
          <t>avverkningsanmälan</t>
        </is>
      </c>
      <c r="C1462" t="inlineStr">
        <is>
          <t>Föryngringsavverkning</t>
        </is>
      </c>
      <c r="D1462" s="1" t="n">
        <v>46024</v>
      </c>
      <c r="E1462" s="1" t="n">
        <v>46315</v>
      </c>
      <c r="F1462" t="inlineStr">
        <is>
          <t>HALLANDS LÄN</t>
        </is>
      </c>
      <c r="G1462" t="inlineStr">
        <is>
          <t>VARBERG</t>
        </is>
      </c>
      <c r="I1462" t="n">
        <v>1.8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inlineStr"/>
    </row>
    <row r="1463" ht="15" customHeight="1">
      <c r="A1463" t="inlineStr">
        <is>
          <t>A 12956-2025</t>
        </is>
      </c>
      <c r="B1463" t="inlineStr">
        <is>
          <t>avverkningsanmälan</t>
        </is>
      </c>
      <c r="C1463" t="inlineStr">
        <is>
          <t>Föryngringsavverkning</t>
        </is>
      </c>
      <c r="D1463" s="1" t="n">
        <v>45734</v>
      </c>
      <c r="E1463" s="1" t="n">
        <v>46315</v>
      </c>
      <c r="F1463" t="inlineStr">
        <is>
          <t>HALLANDS LÄN</t>
        </is>
      </c>
      <c r="G1463" t="inlineStr">
        <is>
          <t>LAHOLM</t>
        </is>
      </c>
      <c r="I1463" t="n">
        <v>0.5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inlineStr"/>
    </row>
    <row r="1464" ht="15" customHeight="1">
      <c r="A1464" t="inlineStr">
        <is>
          <t>A 25253-2026</t>
        </is>
      </c>
      <c r="B1464" t="inlineStr">
        <is>
          <t>avverkningsanmälan</t>
        </is>
      </c>
      <c r="C1464" t="inlineStr">
        <is>
          <t>Föryngringsavverkning</t>
        </is>
      </c>
      <c r="D1464" s="1" t="n">
        <v>46175</v>
      </c>
      <c r="E1464" s="1" t="n">
        <v>46315</v>
      </c>
      <c r="F1464" t="inlineStr">
        <is>
          <t>HALLANDS LÄN</t>
        </is>
      </c>
      <c r="G1464" t="inlineStr">
        <is>
          <t>VARBERG</t>
        </is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inlineStr"/>
    </row>
    <row r="1465" ht="15" customHeight="1">
      <c r="A1465" t="inlineStr">
        <is>
          <t>A 25255-2026</t>
        </is>
      </c>
      <c r="B1465" t="inlineStr">
        <is>
          <t>avverkningsanmälan</t>
        </is>
      </c>
      <c r="C1465" t="inlineStr">
        <is>
          <t>Föryngringsavverkning</t>
        </is>
      </c>
      <c r="D1465" s="1" t="n">
        <v>46175</v>
      </c>
      <c r="E1465" s="1" t="n">
        <v>46315</v>
      </c>
      <c r="F1465" t="inlineStr">
        <is>
          <t>HALLANDS LÄN</t>
        </is>
      </c>
      <c r="G1465" t="inlineStr">
        <is>
          <t>VARBERG</t>
        </is>
      </c>
      <c r="I1465" t="n">
        <v>3.2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inlineStr"/>
    </row>
    <row r="1466" ht="15" customHeight="1">
      <c r="A1466" t="inlineStr">
        <is>
          <t>A 55963-2025</t>
        </is>
      </c>
      <c r="B1466" t="inlineStr">
        <is>
          <t>avverkningsanmälan</t>
        </is>
      </c>
      <c r="C1466" t="inlineStr">
        <is>
          <t>Föryngringsavverkning</t>
        </is>
      </c>
      <c r="D1466" s="1" t="n">
        <v>45973</v>
      </c>
      <c r="E1466" s="1" t="n">
        <v>46315</v>
      </c>
      <c r="F1466" t="inlineStr">
        <is>
          <t>HALLANDS LÄN</t>
        </is>
      </c>
      <c r="G1466" t="inlineStr">
        <is>
          <t>HALMSTAD</t>
        </is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inlineStr"/>
    </row>
    <row r="1467" ht="15" customHeight="1">
      <c r="A1467" t="inlineStr">
        <is>
          <t>A 25028-2026</t>
        </is>
      </c>
      <c r="B1467" t="inlineStr">
        <is>
          <t>avverkningsanmälan</t>
        </is>
      </c>
      <c r="C1467" t="inlineStr">
        <is>
          <t>Föryngringsavverkning</t>
        </is>
      </c>
      <c r="D1467" s="1" t="n">
        <v>46174</v>
      </c>
      <c r="E1467" s="1" t="n">
        <v>46315</v>
      </c>
      <c r="F1467" t="inlineStr">
        <is>
          <t>HALLANDS LÄN</t>
        </is>
      </c>
      <c r="G1467" t="inlineStr">
        <is>
          <t>LAHOLM</t>
        </is>
      </c>
      <c r="I1467" t="n">
        <v>4.8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inlineStr"/>
    </row>
    <row r="1468" ht="15" customHeight="1">
      <c r="A1468" t="inlineStr">
        <is>
          <t>A 51372-2024</t>
        </is>
      </c>
      <c r="B1468" t="inlineStr">
        <is>
          <t>avverkningsanmälan</t>
        </is>
      </c>
      <c r="C1468" t="inlineStr">
        <is>
          <t>Föryngringsavverkning</t>
        </is>
      </c>
      <c r="D1468" s="1" t="n">
        <v>45604</v>
      </c>
      <c r="E1468" s="1" t="n">
        <v>46315</v>
      </c>
      <c r="F1468" t="inlineStr">
        <is>
          <t>HALLANDS LÄN</t>
        </is>
      </c>
      <c r="G1468" t="inlineStr">
        <is>
          <t>HYLTE</t>
        </is>
      </c>
      <c r="I1468" t="n">
        <v>1.3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inlineStr"/>
    </row>
    <row r="1469" ht="15" customHeight="1">
      <c r="A1469" t="inlineStr">
        <is>
          <t>A 24956-2026</t>
        </is>
      </c>
      <c r="B1469" t="inlineStr">
        <is>
          <t>avverkningsanmälan</t>
        </is>
      </c>
      <c r="C1469" t="inlineStr">
        <is>
          <t>Föryngringsavverkning</t>
        </is>
      </c>
      <c r="D1469" s="1" t="n">
        <v>46174</v>
      </c>
      <c r="E1469" s="1" t="n">
        <v>46315</v>
      </c>
      <c r="F1469" t="inlineStr">
        <is>
          <t>HALLANDS LÄN</t>
        </is>
      </c>
      <c r="G1469" t="inlineStr">
        <is>
          <t>HYLTE</t>
        </is>
      </c>
      <c r="I1469" t="n">
        <v>3.9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inlineStr"/>
    </row>
    <row r="1470" ht="15" customHeight="1">
      <c r="A1470" t="inlineStr">
        <is>
          <t>A 25025-2026</t>
        </is>
      </c>
      <c r="B1470" t="inlineStr">
        <is>
          <t>avverkningsanmälan</t>
        </is>
      </c>
      <c r="C1470" t="inlineStr">
        <is>
          <t>Föryngringsavverkning</t>
        </is>
      </c>
      <c r="D1470" s="1" t="n">
        <v>46174</v>
      </c>
      <c r="E1470" s="1" t="n">
        <v>46315</v>
      </c>
      <c r="F1470" t="inlineStr">
        <is>
          <t>HALLANDS LÄN</t>
        </is>
      </c>
      <c r="G1470" t="inlineStr">
        <is>
          <t>VARBERG</t>
        </is>
      </c>
      <c r="I1470" t="n">
        <v>4.6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inlineStr"/>
    </row>
    <row r="1471" ht="15" customHeight="1">
      <c r="A1471" t="inlineStr">
        <is>
          <t>A 274-2026</t>
        </is>
      </c>
      <c r="B1471" t="inlineStr">
        <is>
          <t>avverkningsanmälan</t>
        </is>
      </c>
      <c r="C1471" t="inlineStr">
        <is>
          <t>Föryngringsavverkning</t>
        </is>
      </c>
      <c r="D1471" s="1" t="n">
        <v>46027</v>
      </c>
      <c r="E1471" s="1" t="n">
        <v>46315</v>
      </c>
      <c r="F1471" t="inlineStr">
        <is>
          <t>HALLANDS LÄN</t>
        </is>
      </c>
      <c r="G1471" t="inlineStr">
        <is>
          <t>KUNGSBACKA</t>
        </is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inlineStr"/>
    </row>
    <row r="1472" ht="15" customHeight="1">
      <c r="A1472" t="inlineStr">
        <is>
          <t>A 58193-2024</t>
        </is>
      </c>
      <c r="B1472" t="inlineStr">
        <is>
          <t>avverkningsanmälan</t>
        </is>
      </c>
      <c r="C1472" t="inlineStr">
        <is>
          <t>Föryngringsavverkning</t>
        </is>
      </c>
      <c r="D1472" s="1" t="n">
        <v>45632</v>
      </c>
      <c r="E1472" s="1" t="n">
        <v>46315</v>
      </c>
      <c r="F1472" t="inlineStr">
        <is>
          <t>HALLANDS LÄN</t>
        </is>
      </c>
      <c r="G1472" t="inlineStr">
        <is>
          <t>HALMSTAD</t>
        </is>
      </c>
      <c r="I1472" t="n">
        <v>2.2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inlineStr"/>
    </row>
    <row r="1473" ht="15" customHeight="1">
      <c r="A1473" t="inlineStr">
        <is>
          <t>A 26257-2023</t>
        </is>
      </c>
      <c r="B1473" t="inlineStr">
        <is>
          <t>avverkningsanmälan</t>
        </is>
      </c>
      <c r="C1473" t="inlineStr">
        <is>
          <t>Föryngringsavverkning</t>
        </is>
      </c>
      <c r="D1473" s="1" t="n">
        <v>45091</v>
      </c>
      <c r="E1473" s="1" t="n">
        <v>46315</v>
      </c>
      <c r="F1473" t="inlineStr">
        <is>
          <t>HALLANDS LÄN</t>
        </is>
      </c>
      <c r="G1473" t="inlineStr">
        <is>
          <t>HYLTE</t>
        </is>
      </c>
      <c r="I1473" t="n">
        <v>4.9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inlineStr"/>
    </row>
    <row r="1474" ht="15" customHeight="1">
      <c r="A1474" t="inlineStr">
        <is>
          <t>A 24817-2026</t>
        </is>
      </c>
      <c r="B1474" t="inlineStr">
        <is>
          <t>avverkningsanmälan</t>
        </is>
      </c>
      <c r="C1474" t="inlineStr">
        <is>
          <t>Föryngringsavverkning</t>
        </is>
      </c>
      <c r="D1474" s="1" t="n">
        <v>46173</v>
      </c>
      <c r="E1474" s="1" t="n">
        <v>46315</v>
      </c>
      <c r="F1474" t="inlineStr">
        <is>
          <t>HALLANDS LÄN</t>
        </is>
      </c>
      <c r="G1474" t="inlineStr">
        <is>
          <t>HALMSTAD</t>
        </is>
      </c>
      <c r="I1474" t="n">
        <v>0.8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inlineStr"/>
    </row>
    <row r="1475" ht="15" customHeight="1">
      <c r="A1475" t="inlineStr">
        <is>
          <t>A 35523-2024</t>
        </is>
      </c>
      <c r="B1475" t="inlineStr">
        <is>
          <t>avverkningsanmälan</t>
        </is>
      </c>
      <c r="C1475" t="inlineStr">
        <is>
          <t>Föryngringsavverkning</t>
        </is>
      </c>
      <c r="D1475" s="1" t="n">
        <v>45531</v>
      </c>
      <c r="E1475" s="1" t="n">
        <v>46315</v>
      </c>
      <c r="F1475" t="inlineStr">
        <is>
          <t>HALLANDS LÄN</t>
        </is>
      </c>
      <c r="G1475" t="inlineStr">
        <is>
          <t>LAHOLM</t>
        </is>
      </c>
      <c r="I1475" t="n">
        <v>3.7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inlineStr"/>
    </row>
    <row r="1476" ht="15" customHeight="1">
      <c r="A1476" t="inlineStr">
        <is>
          <t>A 9354-2025</t>
        </is>
      </c>
      <c r="B1476" t="inlineStr">
        <is>
          <t>avverkningsanmälan</t>
        </is>
      </c>
      <c r="C1476" t="inlineStr">
        <is>
          <t>Föryngringsavverkning</t>
        </is>
      </c>
      <c r="D1476" s="1" t="n">
        <v>45714</v>
      </c>
      <c r="E1476" s="1" t="n">
        <v>46315</v>
      </c>
      <c r="F1476" t="inlineStr">
        <is>
          <t>HALLANDS LÄN</t>
        </is>
      </c>
      <c r="G1476" t="inlineStr">
        <is>
          <t>FALKENBERG</t>
        </is>
      </c>
      <c r="I1476" t="n">
        <v>7.2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inlineStr"/>
    </row>
    <row r="1477" ht="15" customHeight="1">
      <c r="A1477" t="inlineStr">
        <is>
          <t>A 25026-2026</t>
        </is>
      </c>
      <c r="B1477" t="inlineStr">
        <is>
          <t>avverkningsanmälan</t>
        </is>
      </c>
      <c r="C1477" t="inlineStr">
        <is>
          <t>Föryngringsavverkning</t>
        </is>
      </c>
      <c r="D1477" s="1" t="n">
        <v>46174</v>
      </c>
      <c r="E1477" s="1" t="n">
        <v>46315</v>
      </c>
      <c r="F1477" t="inlineStr">
        <is>
          <t>HALLANDS LÄN</t>
        </is>
      </c>
      <c r="G1477" t="inlineStr">
        <is>
          <t>LAHOLM</t>
        </is>
      </c>
      <c r="I1477" t="n">
        <v>1.5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inlineStr"/>
    </row>
    <row r="1478" ht="15" customHeight="1">
      <c r="A1478" t="inlineStr">
        <is>
          <t>A 47321-2024</t>
        </is>
      </c>
      <c r="B1478" t="inlineStr">
        <is>
          <t>avverkningsanmälan</t>
        </is>
      </c>
      <c r="C1478" t="inlineStr">
        <is>
          <t>Föryngringsavverkning</t>
        </is>
      </c>
      <c r="D1478" s="1" t="n">
        <v>45587</v>
      </c>
      <c r="E1478" s="1" t="n">
        <v>46315</v>
      </c>
      <c r="F1478" t="inlineStr">
        <is>
          <t>HALLANDS LÄN</t>
        </is>
      </c>
      <c r="G1478" t="inlineStr">
        <is>
          <t>KUNGSBACKA</t>
        </is>
      </c>
      <c r="I1478" t="n">
        <v>9.699999999999999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inlineStr"/>
    </row>
    <row r="1479" ht="15" customHeight="1">
      <c r="A1479" t="inlineStr">
        <is>
          <t>A 24818-2026</t>
        </is>
      </c>
      <c r="B1479" t="inlineStr">
        <is>
          <t>avverkningsanmälan</t>
        </is>
      </c>
      <c r="C1479" t="inlineStr">
        <is>
          <t>Föryngringsavverkning</t>
        </is>
      </c>
      <c r="D1479" s="1" t="n">
        <v>46173</v>
      </c>
      <c r="E1479" s="1" t="n">
        <v>46315</v>
      </c>
      <c r="F1479" t="inlineStr">
        <is>
          <t>HALLANDS LÄN</t>
        </is>
      </c>
      <c r="G1479" t="inlineStr">
        <is>
          <t>HALMSTAD</t>
        </is>
      </c>
      <c r="I1479" t="n">
        <v>1.4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inlineStr"/>
    </row>
    <row r="1480" ht="15" customHeight="1">
      <c r="A1480" t="inlineStr">
        <is>
          <t>A 47698-2024</t>
        </is>
      </c>
      <c r="B1480" t="inlineStr">
        <is>
          <t>avverkningsanmälan</t>
        </is>
      </c>
      <c r="C1480" t="inlineStr">
        <is>
          <t>Föryngringsavverkning</t>
        </is>
      </c>
      <c r="D1480" s="1" t="n">
        <v>45588</v>
      </c>
      <c r="E1480" s="1" t="n">
        <v>46315</v>
      </c>
      <c r="F1480" t="inlineStr">
        <is>
          <t>HALLANDS LÄN</t>
        </is>
      </c>
      <c r="G1480" t="inlineStr">
        <is>
          <t>FALKENBERG</t>
        </is>
      </c>
      <c r="I1480" t="n">
        <v>0.8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inlineStr"/>
    </row>
    <row r="1481" ht="15" customHeight="1">
      <c r="A1481" t="inlineStr">
        <is>
          <t>A 25024-2026</t>
        </is>
      </c>
      <c r="B1481" t="inlineStr">
        <is>
          <t>avverkningsanmälan</t>
        </is>
      </c>
      <c r="C1481" t="inlineStr">
        <is>
          <t>Föryngringsavverkning</t>
        </is>
      </c>
      <c r="D1481" s="1" t="n">
        <v>46174</v>
      </c>
      <c r="E1481" s="1" t="n">
        <v>46315</v>
      </c>
      <c r="F1481" t="inlineStr">
        <is>
          <t>HALLANDS LÄN</t>
        </is>
      </c>
      <c r="G1481" t="inlineStr">
        <is>
          <t>LAHOLM</t>
        </is>
      </c>
      <c r="I1481" t="n">
        <v>4.2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inlineStr"/>
    </row>
    <row r="1482" ht="15" customHeight="1">
      <c r="A1482" t="inlineStr">
        <is>
          <t>A 25027-2026</t>
        </is>
      </c>
      <c r="B1482" t="inlineStr">
        <is>
          <t>avverkningsanmälan</t>
        </is>
      </c>
      <c r="C1482" t="inlineStr">
        <is>
          <t>Föryngringsavverkning</t>
        </is>
      </c>
      <c r="D1482" s="1" t="n">
        <v>46174</v>
      </c>
      <c r="E1482" s="1" t="n">
        <v>46315</v>
      </c>
      <c r="F1482" t="inlineStr">
        <is>
          <t>HALLANDS LÄN</t>
        </is>
      </c>
      <c r="G1482" t="inlineStr">
        <is>
          <t>LAHOLM</t>
        </is>
      </c>
      <c r="I1482" t="n">
        <v>1.8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inlineStr"/>
    </row>
    <row r="1483" ht="15" customHeight="1">
      <c r="A1483" t="inlineStr">
        <is>
          <t>A 25029-2026</t>
        </is>
      </c>
      <c r="B1483" t="inlineStr">
        <is>
          <t>avverkningsanmälan</t>
        </is>
      </c>
      <c r="C1483" t="inlineStr">
        <is>
          <t>Föryngringsavverkning</t>
        </is>
      </c>
      <c r="D1483" s="1" t="n">
        <v>46174</v>
      </c>
      <c r="E1483" s="1" t="n">
        <v>46315</v>
      </c>
      <c r="F1483" t="inlineStr">
        <is>
          <t>HALLANDS LÄN</t>
        </is>
      </c>
      <c r="G1483" t="inlineStr">
        <is>
          <t>LAHOLM</t>
        </is>
      </c>
      <c r="I1483" t="n">
        <v>2.9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inlineStr"/>
    </row>
    <row r="1484" ht="15" customHeight="1">
      <c r="A1484" t="inlineStr">
        <is>
          <t>A 25233-2026</t>
        </is>
      </c>
      <c r="B1484" t="inlineStr">
        <is>
          <t>avverkningsanmälan</t>
        </is>
      </c>
      <c r="C1484" t="inlineStr">
        <is>
          <t>Föryngringsavverkning</t>
        </is>
      </c>
      <c r="D1484" s="1" t="n">
        <v>46175</v>
      </c>
      <c r="E1484" s="1" t="n">
        <v>46315</v>
      </c>
      <c r="F1484" t="inlineStr">
        <is>
          <t>HALLANDS LÄN</t>
        </is>
      </c>
      <c r="G1484" t="inlineStr">
        <is>
          <t>HYLTE</t>
        </is>
      </c>
      <c r="I1484" t="n">
        <v>1.5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inlineStr"/>
    </row>
    <row r="1485" ht="15" customHeight="1">
      <c r="A1485" t="inlineStr">
        <is>
          <t>A 40644-2023</t>
        </is>
      </c>
      <c r="B1485" t="inlineStr">
        <is>
          <t>avverkningsanmälan</t>
        </is>
      </c>
      <c r="C1485" t="inlineStr">
        <is>
          <t>Föryngringsavverkning</t>
        </is>
      </c>
      <c r="D1485" s="1" t="n">
        <v>45168</v>
      </c>
      <c r="E1485" s="1" t="n">
        <v>46315</v>
      </c>
      <c r="F1485" t="inlineStr">
        <is>
          <t>HALLANDS LÄN</t>
        </is>
      </c>
      <c r="G1485" t="inlineStr">
        <is>
          <t>HALMSTAD</t>
        </is>
      </c>
      <c r="H1485" t="inlineStr">
        <is>
          <t>Kommuner</t>
        </is>
      </c>
      <c r="I1485" t="n">
        <v>1.3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inlineStr"/>
    </row>
    <row r="1486" ht="15" customHeight="1">
      <c r="A1486" t="inlineStr">
        <is>
          <t>A 1379-2026</t>
        </is>
      </c>
      <c r="B1486" t="inlineStr">
        <is>
          <t>avverkningsanmälan</t>
        </is>
      </c>
      <c r="C1486" t="inlineStr">
        <is>
          <t>Föryngringsavverkning</t>
        </is>
      </c>
      <c r="D1486" s="1" t="n">
        <v>46031</v>
      </c>
      <c r="E1486" s="1" t="n">
        <v>46315</v>
      </c>
      <c r="F1486" t="inlineStr">
        <is>
          <t>HALLANDS LÄN</t>
        </is>
      </c>
      <c r="G1486" t="inlineStr">
        <is>
          <t>KUNGSBACKA</t>
        </is>
      </c>
      <c r="I1486" t="n">
        <v>0.9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inlineStr"/>
    </row>
    <row r="1487" ht="15" customHeight="1">
      <c r="A1487" t="inlineStr">
        <is>
          <t>A 1383-2026</t>
        </is>
      </c>
      <c r="B1487" t="inlineStr">
        <is>
          <t>avverkningsanmälan</t>
        </is>
      </c>
      <c r="C1487" t="inlineStr">
        <is>
          <t>Föryngringsavverkning</t>
        </is>
      </c>
      <c r="D1487" s="1" t="n">
        <v>46031</v>
      </c>
      <c r="E1487" s="1" t="n">
        <v>46315</v>
      </c>
      <c r="F1487" t="inlineStr">
        <is>
          <t>HALLANDS LÄN</t>
        </is>
      </c>
      <c r="G1487" t="inlineStr">
        <is>
          <t>KUNGSBACKA</t>
        </is>
      </c>
      <c r="I1487" t="n">
        <v>0.6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inlineStr"/>
    </row>
    <row r="1488" ht="15" customHeight="1">
      <c r="A1488" t="inlineStr">
        <is>
          <t>A 59696-2024</t>
        </is>
      </c>
      <c r="B1488" t="inlineStr">
        <is>
          <t>avverkningsanmälan</t>
        </is>
      </c>
      <c r="C1488" t="inlineStr">
        <is>
          <t>Föryngringsavverkning</t>
        </is>
      </c>
      <c r="D1488" s="1" t="n">
        <v>45639</v>
      </c>
      <c r="E1488" s="1" t="n">
        <v>46315</v>
      </c>
      <c r="F1488" t="inlineStr">
        <is>
          <t>HALLANDS LÄN</t>
        </is>
      </c>
      <c r="G1488" t="inlineStr">
        <is>
          <t>KUNGSBACKA</t>
        </is>
      </c>
      <c r="I1488" t="n">
        <v>0.6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inlineStr"/>
    </row>
    <row r="1489" ht="15" customHeight="1">
      <c r="A1489" t="inlineStr">
        <is>
          <t>A 49916-2024</t>
        </is>
      </c>
      <c r="B1489" t="inlineStr">
        <is>
          <t>avverkningsanmälan</t>
        </is>
      </c>
      <c r="C1489" t="inlineStr">
        <is>
          <t>Föryngringsavverkning</t>
        </is>
      </c>
      <c r="D1489" s="1" t="n">
        <v>45597</v>
      </c>
      <c r="E1489" s="1" t="n">
        <v>46315</v>
      </c>
      <c r="F1489" t="inlineStr">
        <is>
          <t>HALLANDS LÄN</t>
        </is>
      </c>
      <c r="G1489" t="inlineStr">
        <is>
          <t>HYLTE</t>
        </is>
      </c>
      <c r="I1489" t="n">
        <v>0.5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inlineStr"/>
    </row>
    <row r="1490" ht="15" customHeight="1">
      <c r="A1490" t="inlineStr">
        <is>
          <t>A 24996-2026</t>
        </is>
      </c>
      <c r="B1490" t="inlineStr">
        <is>
          <t>avverkningsanmälan</t>
        </is>
      </c>
      <c r="C1490" t="inlineStr">
        <is>
          <t>Föryngringsavverkning</t>
        </is>
      </c>
      <c r="D1490" s="1" t="n">
        <v>46174</v>
      </c>
      <c r="E1490" s="1" t="n">
        <v>46315</v>
      </c>
      <c r="F1490" t="inlineStr">
        <is>
          <t>HALLANDS LÄN</t>
        </is>
      </c>
      <c r="G1490" t="inlineStr">
        <is>
          <t>VARBERG</t>
        </is>
      </c>
      <c r="I1490" t="n">
        <v>4.3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inlineStr"/>
    </row>
    <row r="1491" ht="15" customHeight="1">
      <c r="A1491" t="inlineStr">
        <is>
          <t>A 1780-2026</t>
        </is>
      </c>
      <c r="B1491" t="inlineStr">
        <is>
          <t>avverkningsanmälan</t>
        </is>
      </c>
      <c r="C1491" t="inlineStr">
        <is>
          <t>Föryngringsavverkning</t>
        </is>
      </c>
      <c r="D1491" s="1" t="n">
        <v>46034</v>
      </c>
      <c r="E1491" s="1" t="n">
        <v>46315</v>
      </c>
      <c r="F1491" t="inlineStr">
        <is>
          <t>HALLANDS LÄN</t>
        </is>
      </c>
      <c r="G1491" t="inlineStr">
        <is>
          <t>HALMSTAD</t>
        </is>
      </c>
      <c r="I1491" t="n">
        <v>1.2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inlineStr"/>
    </row>
    <row r="1492" ht="15" customHeight="1">
      <c r="A1492" t="inlineStr">
        <is>
          <t>A 1299-2026</t>
        </is>
      </c>
      <c r="B1492" t="inlineStr">
        <is>
          <t>avverkningsanmälan</t>
        </is>
      </c>
      <c r="C1492" t="inlineStr">
        <is>
          <t>Föryngringsavverkning</t>
        </is>
      </c>
      <c r="D1492" s="1" t="n">
        <v>46031</v>
      </c>
      <c r="E1492" s="1" t="n">
        <v>46315</v>
      </c>
      <c r="F1492" t="inlineStr">
        <is>
          <t>HALLANDS LÄN</t>
        </is>
      </c>
      <c r="G1492" t="inlineStr">
        <is>
          <t>HALMSTAD</t>
        </is>
      </c>
      <c r="I1492" t="n">
        <v>0.9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inlineStr"/>
    </row>
    <row r="1493" ht="15" customHeight="1">
      <c r="A1493" t="inlineStr">
        <is>
          <t>A 1505-2026</t>
        </is>
      </c>
      <c r="B1493" t="inlineStr">
        <is>
          <t>avverkningsanmälan</t>
        </is>
      </c>
      <c r="C1493" t="inlineStr">
        <is>
          <t>Föryngringsavverkning</t>
        </is>
      </c>
      <c r="D1493" s="1" t="n">
        <v>46034</v>
      </c>
      <c r="E1493" s="1" t="n">
        <v>46315</v>
      </c>
      <c r="F1493" t="inlineStr">
        <is>
          <t>HALLANDS LÄN</t>
        </is>
      </c>
      <c r="G1493" t="inlineStr">
        <is>
          <t>LAHOLM</t>
        </is>
      </c>
      <c r="I1493" t="n">
        <v>0.6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inlineStr"/>
    </row>
    <row r="1494" ht="15" customHeight="1">
      <c r="A1494" t="inlineStr">
        <is>
          <t>A 1540-2026</t>
        </is>
      </c>
      <c r="B1494" t="inlineStr">
        <is>
          <t>avverkningsanmälan</t>
        </is>
      </c>
      <c r="C1494" t="inlineStr">
        <is>
          <t>Föryngringsavverkning</t>
        </is>
      </c>
      <c r="D1494" s="1" t="n">
        <v>46034</v>
      </c>
      <c r="E1494" s="1" t="n">
        <v>46315</v>
      </c>
      <c r="F1494" t="inlineStr">
        <is>
          <t>HALLANDS LÄN</t>
        </is>
      </c>
      <c r="G1494" t="inlineStr">
        <is>
          <t>LAHOLM</t>
        </is>
      </c>
      <c r="I1494" t="n">
        <v>0.5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inlineStr"/>
    </row>
    <row r="1495" ht="15" customHeight="1">
      <c r="A1495" t="inlineStr">
        <is>
          <t>A 1223-2025</t>
        </is>
      </c>
      <c r="B1495" t="inlineStr">
        <is>
          <t>avverkningsanmälan</t>
        </is>
      </c>
      <c r="C1495" t="inlineStr">
        <is>
          <t>Föryngringsavverkning</t>
        </is>
      </c>
      <c r="D1495" s="1" t="n">
        <v>45667</v>
      </c>
      <c r="E1495" s="1" t="n">
        <v>46315</v>
      </c>
      <c r="F1495" t="inlineStr">
        <is>
          <t>HALLANDS LÄN</t>
        </is>
      </c>
      <c r="G1495" t="inlineStr">
        <is>
          <t>FALKENBERG</t>
        </is>
      </c>
      <c r="I1495" t="n">
        <v>2.8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inlineStr"/>
    </row>
    <row r="1496" ht="15" customHeight="1">
      <c r="A1496" t="inlineStr">
        <is>
          <t>A 25383-2026</t>
        </is>
      </c>
      <c r="B1496" t="inlineStr">
        <is>
          <t>avverkningsanmälan</t>
        </is>
      </c>
      <c r="C1496" t="inlineStr">
        <is>
          <t>Föryngringsavverkning</t>
        </is>
      </c>
      <c r="D1496" s="1" t="n">
        <v>46176</v>
      </c>
      <c r="E1496" s="1" t="n">
        <v>46315</v>
      </c>
      <c r="F1496" t="inlineStr">
        <is>
          <t>HALLANDS LÄN</t>
        </is>
      </c>
      <c r="G1496" t="inlineStr">
        <is>
          <t>HALMSTAD</t>
        </is>
      </c>
      <c r="I1496" t="n">
        <v>17.8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inlineStr"/>
    </row>
    <row r="1497" ht="15" customHeight="1">
      <c r="A1497" t="inlineStr">
        <is>
          <t>A 13113-2022</t>
        </is>
      </c>
      <c r="B1497" t="inlineStr">
        <is>
          <t>avverkningsanmälan</t>
        </is>
      </c>
      <c r="C1497" t="inlineStr">
        <is>
          <t>Föryngringsavverkning</t>
        </is>
      </c>
      <c r="D1497" s="1" t="n">
        <v>44644</v>
      </c>
      <c r="E1497" s="1" t="n">
        <v>46315</v>
      </c>
      <c r="F1497" t="inlineStr">
        <is>
          <t>HALLANDS LÄN</t>
        </is>
      </c>
      <c r="G1497" t="inlineStr">
        <is>
          <t>FALKENBERG</t>
        </is>
      </c>
      <c r="I1497" t="n">
        <v>3.1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inlineStr"/>
    </row>
    <row r="1498" ht="15" customHeight="1">
      <c r="A1498" t="inlineStr">
        <is>
          <t>A 14721-2025</t>
        </is>
      </c>
      <c r="B1498" t="inlineStr">
        <is>
          <t>avverkningsanmälan</t>
        </is>
      </c>
      <c r="C1498" t="inlineStr">
        <is>
          <t>Föryngringsavverkning</t>
        </is>
      </c>
      <c r="D1498" s="1" t="n">
        <v>45742</v>
      </c>
      <c r="E1498" s="1" t="n">
        <v>46315</v>
      </c>
      <c r="F1498" t="inlineStr">
        <is>
          <t>HALLANDS LÄN</t>
        </is>
      </c>
      <c r="G1498" t="inlineStr">
        <is>
          <t>KUNGSBACKA</t>
        </is>
      </c>
      <c r="I1498" t="n">
        <v>6.1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inlineStr"/>
    </row>
    <row r="1499" ht="15" customHeight="1">
      <c r="A1499" t="inlineStr">
        <is>
          <t>A 1385-2026</t>
        </is>
      </c>
      <c r="B1499" t="inlineStr">
        <is>
          <t>avverkningsanmälan</t>
        </is>
      </c>
      <c r="C1499" t="inlineStr">
        <is>
          <t>Föryngringsavverkning</t>
        </is>
      </c>
      <c r="D1499" s="1" t="n">
        <v>46031</v>
      </c>
      <c r="E1499" s="1" t="n">
        <v>46315</v>
      </c>
      <c r="F1499" t="inlineStr">
        <is>
          <t>HALLANDS LÄN</t>
        </is>
      </c>
      <c r="G1499" t="inlineStr">
        <is>
          <t>KUNGSBACKA</t>
        </is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inlineStr"/>
    </row>
    <row r="1500" ht="15" customHeight="1">
      <c r="A1500" t="inlineStr">
        <is>
          <t>A 25021-2026</t>
        </is>
      </c>
      <c r="B1500" t="inlineStr">
        <is>
          <t>avverkningsanmälan</t>
        </is>
      </c>
      <c r="C1500" t="inlineStr">
        <is>
          <t>Föryngringsavverkning</t>
        </is>
      </c>
      <c r="D1500" s="1" t="n">
        <v>46174</v>
      </c>
      <c r="E1500" s="1" t="n">
        <v>46315</v>
      </c>
      <c r="F1500" t="inlineStr">
        <is>
          <t>HALLANDS LÄN</t>
        </is>
      </c>
      <c r="G1500" t="inlineStr">
        <is>
          <t>HYLTE</t>
        </is>
      </c>
      <c r="I1500" t="n">
        <v>1.1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inlineStr"/>
    </row>
    <row r="1501" ht="15" customHeight="1">
      <c r="A1501" t="inlineStr">
        <is>
          <t>A 44954-2023</t>
        </is>
      </c>
      <c r="B1501" t="inlineStr">
        <is>
          <t>avverkningsanmälan</t>
        </is>
      </c>
      <c r="C1501" t="inlineStr">
        <is>
          <t>Föryngringsavverkning</t>
        </is>
      </c>
      <c r="D1501" s="1" t="n">
        <v>45190</v>
      </c>
      <c r="E1501" s="1" t="n">
        <v>46315</v>
      </c>
      <c r="F1501" t="inlineStr">
        <is>
          <t>HALLANDS LÄN</t>
        </is>
      </c>
      <c r="G1501" t="inlineStr">
        <is>
          <t>FALKENBERG</t>
        </is>
      </c>
      <c r="I1501" t="n">
        <v>0.8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inlineStr"/>
    </row>
    <row r="1502" ht="15" customHeight="1">
      <c r="A1502" t="inlineStr">
        <is>
          <t>A 73973-2021</t>
        </is>
      </c>
      <c r="B1502" t="inlineStr">
        <is>
          <t>avverkningsanmälan</t>
        </is>
      </c>
      <c r="C1502" t="inlineStr">
        <is>
          <t>Föryngringsavverkning</t>
        </is>
      </c>
      <c r="D1502" s="1" t="n">
        <v>44554</v>
      </c>
      <c r="E1502" s="1" t="n">
        <v>46315</v>
      </c>
      <c r="F1502" t="inlineStr">
        <is>
          <t>HALLANDS LÄN</t>
        </is>
      </c>
      <c r="G1502" t="inlineStr">
        <is>
          <t>FALKENBERG</t>
        </is>
      </c>
      <c r="I1502" t="n">
        <v>3.2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inlineStr"/>
    </row>
    <row r="1503" ht="15" customHeight="1">
      <c r="A1503" t="inlineStr">
        <is>
          <t>A 12706-2022</t>
        </is>
      </c>
      <c r="B1503" t="inlineStr">
        <is>
          <t>avverkningsanmälan</t>
        </is>
      </c>
      <c r="C1503" t="inlineStr">
        <is>
          <t>Föryngringsavverkning</t>
        </is>
      </c>
      <c r="D1503" s="1" t="n">
        <v>44641</v>
      </c>
      <c r="E1503" s="1" t="n">
        <v>46315</v>
      </c>
      <c r="F1503" t="inlineStr">
        <is>
          <t>HALLANDS LÄN</t>
        </is>
      </c>
      <c r="G1503" t="inlineStr">
        <is>
          <t>HYLTE</t>
        </is>
      </c>
      <c r="I1503" t="n">
        <v>1.7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inlineStr"/>
    </row>
    <row r="1504" ht="15" customHeight="1">
      <c r="A1504" t="inlineStr">
        <is>
          <t>A 2561-2026</t>
        </is>
      </c>
      <c r="B1504" t="inlineStr">
        <is>
          <t>avverkningsanmälan</t>
        </is>
      </c>
      <c r="C1504" t="inlineStr">
        <is>
          <t>Föryngringsavverkning</t>
        </is>
      </c>
      <c r="D1504" s="1" t="n">
        <v>46035</v>
      </c>
      <c r="E1504" s="1" t="n">
        <v>46315</v>
      </c>
      <c r="F1504" t="inlineStr">
        <is>
          <t>HALLANDS LÄN</t>
        </is>
      </c>
      <c r="G1504" t="inlineStr">
        <is>
          <t>FALKENBERG</t>
        </is>
      </c>
      <c r="I1504" t="n">
        <v>2.1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inlineStr"/>
    </row>
    <row r="1505" ht="15" customHeight="1">
      <c r="A1505" t="inlineStr">
        <is>
          <t>A 59623-2024</t>
        </is>
      </c>
      <c r="B1505" t="inlineStr">
        <is>
          <t>avverkningsanmälan</t>
        </is>
      </c>
      <c r="C1505" t="inlineStr">
        <is>
          <t>Avverkning för annat ändamål</t>
        </is>
      </c>
      <c r="D1505" s="1" t="n">
        <v>45638</v>
      </c>
      <c r="E1505" s="1" t="n">
        <v>46315</v>
      </c>
      <c r="F1505" t="inlineStr">
        <is>
          <t>HALLANDS LÄN</t>
        </is>
      </c>
      <c r="G1505" t="inlineStr">
        <is>
          <t>KUNGSBACKA</t>
        </is>
      </c>
      <c r="I1505" t="n">
        <v>19.2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inlineStr"/>
    </row>
    <row r="1506" ht="15" customHeight="1">
      <c r="A1506" t="inlineStr">
        <is>
          <t>A 50647-2024</t>
        </is>
      </c>
      <c r="B1506" t="inlineStr">
        <is>
          <t>avverkningsanmälan</t>
        </is>
      </c>
      <c r="C1506" t="inlineStr">
        <is>
          <t>Föryngringsavverkning</t>
        </is>
      </c>
      <c r="D1506" s="1" t="n">
        <v>45601</v>
      </c>
      <c r="E1506" s="1" t="n">
        <v>46315</v>
      </c>
      <c r="F1506" t="inlineStr">
        <is>
          <t>HALLANDS LÄN</t>
        </is>
      </c>
      <c r="G1506" t="inlineStr">
        <is>
          <t>FALKENBERG</t>
        </is>
      </c>
      <c r="I1506" t="n">
        <v>1.6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inlineStr"/>
    </row>
    <row r="1507" ht="15" customHeight="1">
      <c r="A1507" t="inlineStr">
        <is>
          <t>A 2640-2026</t>
        </is>
      </c>
      <c r="B1507" t="inlineStr">
        <is>
          <t>avverkningsanmälan</t>
        </is>
      </c>
      <c r="C1507" t="inlineStr">
        <is>
          <t>Föryngringsavverkning</t>
        </is>
      </c>
      <c r="D1507" s="1" t="n">
        <v>46037</v>
      </c>
      <c r="E1507" s="1" t="n">
        <v>46315</v>
      </c>
      <c r="F1507" t="inlineStr">
        <is>
          <t>HALLANDS LÄN</t>
        </is>
      </c>
      <c r="G1507" t="inlineStr">
        <is>
          <t>FALKENBERG</t>
        </is>
      </c>
      <c r="H1507" t="inlineStr">
        <is>
          <t>Naturvårdsverket</t>
        </is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inlineStr"/>
    </row>
    <row r="1508" ht="15" customHeight="1">
      <c r="A1508" t="inlineStr">
        <is>
          <t>A 11524-2025</t>
        </is>
      </c>
      <c r="B1508" t="inlineStr">
        <is>
          <t>avverkningsanmälan</t>
        </is>
      </c>
      <c r="C1508" t="inlineStr">
        <is>
          <t>Föryngringsavverkning</t>
        </is>
      </c>
      <c r="D1508" s="1" t="n">
        <v>45727</v>
      </c>
      <c r="E1508" s="1" t="n">
        <v>46315</v>
      </c>
      <c r="F1508" t="inlineStr">
        <is>
          <t>HALLANDS LÄN</t>
        </is>
      </c>
      <c r="G1508" t="inlineStr">
        <is>
          <t>VARBERG</t>
        </is>
      </c>
      <c r="I1508" t="n">
        <v>0.9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inlineStr"/>
    </row>
    <row r="1509" ht="15" customHeight="1">
      <c r="A1509" t="inlineStr">
        <is>
          <t>A 19791-2024</t>
        </is>
      </c>
      <c r="B1509" t="inlineStr">
        <is>
          <t>avverkningsanmälan</t>
        </is>
      </c>
      <c r="C1509" t="inlineStr">
        <is>
          <t>Föryngringsavverkning</t>
        </is>
      </c>
      <c r="D1509" s="1" t="n">
        <v>45432</v>
      </c>
      <c r="E1509" s="1" t="n">
        <v>46315</v>
      </c>
      <c r="F1509" t="inlineStr">
        <is>
          <t>HALLANDS LÄN</t>
        </is>
      </c>
      <c r="G1509" t="inlineStr">
        <is>
          <t>HYLTE</t>
        </is>
      </c>
      <c r="I1509" t="n">
        <v>1.7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inlineStr"/>
    </row>
    <row r="1510" ht="15" customHeight="1">
      <c r="A1510" t="inlineStr">
        <is>
          <t>A 25011-2026</t>
        </is>
      </c>
      <c r="B1510" t="inlineStr">
        <is>
          <t>avverkningsanmälan</t>
        </is>
      </c>
      <c r="C1510" t="inlineStr">
        <is>
          <t>Föryngringsavverkning</t>
        </is>
      </c>
      <c r="D1510" s="1" t="n">
        <v>46174</v>
      </c>
      <c r="E1510" s="1" t="n">
        <v>46315</v>
      </c>
      <c r="F1510" t="inlineStr">
        <is>
          <t>HALLANDS LÄN</t>
        </is>
      </c>
      <c r="G1510" t="inlineStr">
        <is>
          <t>HYLTE</t>
        </is>
      </c>
      <c r="I1510" t="n">
        <v>4.9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inlineStr"/>
    </row>
    <row r="1511" ht="15" customHeight="1">
      <c r="A1511" t="inlineStr">
        <is>
          <t>A 20349-2024</t>
        </is>
      </c>
      <c r="B1511" t="inlineStr">
        <is>
          <t>avverkningsanmälan</t>
        </is>
      </c>
      <c r="C1511" t="inlineStr">
        <is>
          <t>Föryngringsavverkning</t>
        </is>
      </c>
      <c r="D1511" s="1" t="n">
        <v>45435</v>
      </c>
      <c r="E1511" s="1" t="n">
        <v>46315</v>
      </c>
      <c r="F1511" t="inlineStr">
        <is>
          <t>HALLANDS LÄN</t>
        </is>
      </c>
      <c r="G1511" t="inlineStr">
        <is>
          <t>FALKENBERG</t>
        </is>
      </c>
      <c r="I1511" t="n">
        <v>0.7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inlineStr"/>
    </row>
    <row r="1512" ht="15" customHeight="1">
      <c r="A1512" t="inlineStr">
        <is>
          <t>A 2512-2026</t>
        </is>
      </c>
      <c r="B1512" t="inlineStr">
        <is>
          <t>avverkningsanmälan</t>
        </is>
      </c>
      <c r="C1512" t="inlineStr">
        <is>
          <t>Föryngringsavverkning</t>
        </is>
      </c>
      <c r="D1512" s="1" t="n">
        <v>46037</v>
      </c>
      <c r="E1512" s="1" t="n">
        <v>46315</v>
      </c>
      <c r="F1512" t="inlineStr">
        <is>
          <t>HALLANDS LÄN</t>
        </is>
      </c>
      <c r="G1512" t="inlineStr">
        <is>
          <t>FALKENBERG</t>
        </is>
      </c>
      <c r="I1512" t="n">
        <v>3.2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inlineStr"/>
    </row>
    <row r="1513" ht="15" customHeight="1">
      <c r="A1513" t="inlineStr">
        <is>
          <t>A 3022-2026</t>
        </is>
      </c>
      <c r="B1513" t="inlineStr">
        <is>
          <t>avverkningsanmälan</t>
        </is>
      </c>
      <c r="C1513" t="inlineStr">
        <is>
          <t>Avverkning för annat ändamål</t>
        </is>
      </c>
      <c r="D1513" s="1" t="n">
        <v>46038</v>
      </c>
      <c r="E1513" s="1" t="n">
        <v>46315</v>
      </c>
      <c r="F1513" t="inlineStr">
        <is>
          <t>HALLANDS LÄN</t>
        </is>
      </c>
      <c r="G1513" t="inlineStr">
        <is>
          <t>LAHOLM</t>
        </is>
      </c>
      <c r="I1513" t="n">
        <v>2.7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inlineStr"/>
    </row>
    <row r="1514" ht="15" customHeight="1">
      <c r="A1514" t="inlineStr">
        <is>
          <t>A 37725-2023</t>
        </is>
      </c>
      <c r="B1514" t="inlineStr">
        <is>
          <t>avverkningsanmälan</t>
        </is>
      </c>
      <c r="C1514" t="inlineStr">
        <is>
          <t>Föryngringsavverkning</t>
        </is>
      </c>
      <c r="D1514" s="1" t="n">
        <v>45159</v>
      </c>
      <c r="E1514" s="1" t="n">
        <v>46315</v>
      </c>
      <c r="F1514" t="inlineStr">
        <is>
          <t>HALLANDS LÄN</t>
        </is>
      </c>
      <c r="G1514" t="inlineStr">
        <is>
          <t>HYLTE</t>
        </is>
      </c>
      <c r="I1514" t="n">
        <v>2.1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inlineStr"/>
    </row>
    <row r="1515" ht="15" customHeight="1">
      <c r="A1515" t="inlineStr">
        <is>
          <t>A 15433-2025</t>
        </is>
      </c>
      <c r="B1515" t="inlineStr">
        <is>
          <t>avverkningsanmälan</t>
        </is>
      </c>
      <c r="C1515" t="inlineStr">
        <is>
          <t>Föryngringsavverkning</t>
        </is>
      </c>
      <c r="D1515" s="1" t="n">
        <v>45747</v>
      </c>
      <c r="E1515" s="1" t="n">
        <v>46315</v>
      </c>
      <c r="F1515" t="inlineStr">
        <is>
          <t>HALLANDS LÄN</t>
        </is>
      </c>
      <c r="G1515" t="inlineStr">
        <is>
          <t>LAHOLM</t>
        </is>
      </c>
      <c r="I1515" t="n">
        <v>4.3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inlineStr"/>
    </row>
    <row r="1516" ht="15" customHeight="1">
      <c r="A1516" t="inlineStr">
        <is>
          <t>A 3384-2026</t>
        </is>
      </c>
      <c r="B1516" t="inlineStr">
        <is>
          <t>avverkningsanmälan</t>
        </is>
      </c>
      <c r="C1516" t="inlineStr">
        <is>
          <t>Föryngringsavverkning</t>
        </is>
      </c>
      <c r="D1516" s="1" t="n">
        <v>46042</v>
      </c>
      <c r="E1516" s="1" t="n">
        <v>46315</v>
      </c>
      <c r="F1516" t="inlineStr">
        <is>
          <t>HALLANDS LÄN</t>
        </is>
      </c>
      <c r="G1516" t="inlineStr">
        <is>
          <t>HYLTE</t>
        </is>
      </c>
      <c r="I1516" t="n">
        <v>3.4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inlineStr"/>
    </row>
    <row r="1517" ht="15" customHeight="1">
      <c r="A1517" t="inlineStr">
        <is>
          <t>A 332-2025</t>
        </is>
      </c>
      <c r="B1517" t="inlineStr">
        <is>
          <t>avverkningsanmälan</t>
        </is>
      </c>
      <c r="C1517" t="inlineStr">
        <is>
          <t>Föryngringsavverkning</t>
        </is>
      </c>
      <c r="D1517" s="1" t="n">
        <v>45660</v>
      </c>
      <c r="E1517" s="1" t="n">
        <v>46315</v>
      </c>
      <c r="F1517" t="inlineStr">
        <is>
          <t>HALLANDS LÄN</t>
        </is>
      </c>
      <c r="G1517" t="inlineStr">
        <is>
          <t>HALMSTAD</t>
        </is>
      </c>
      <c r="I1517" t="n">
        <v>3.8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inlineStr"/>
    </row>
    <row r="1518" ht="15" customHeight="1">
      <c r="A1518" t="inlineStr">
        <is>
          <t>A 22589-2023</t>
        </is>
      </c>
      <c r="B1518" t="inlineStr">
        <is>
          <t>avverkningsanmälan</t>
        </is>
      </c>
      <c r="C1518" t="inlineStr">
        <is>
          <t>Föryngringsavverkning</t>
        </is>
      </c>
      <c r="D1518" s="1" t="n">
        <v>45071</v>
      </c>
      <c r="E1518" s="1" t="n">
        <v>46315</v>
      </c>
      <c r="F1518" t="inlineStr">
        <is>
          <t>HALLANDS LÄN</t>
        </is>
      </c>
      <c r="G1518" t="inlineStr">
        <is>
          <t>KUNGSBACKA</t>
        </is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inlineStr"/>
    </row>
    <row r="1519" ht="15" customHeight="1">
      <c r="A1519" t="inlineStr">
        <is>
          <t>A 62534-2025</t>
        </is>
      </c>
      <c r="B1519" t="inlineStr">
        <is>
          <t>avverkningsanmälan</t>
        </is>
      </c>
      <c r="C1519" t="inlineStr">
        <is>
          <t>Föryngringsavverkning</t>
        </is>
      </c>
      <c r="D1519" s="1" t="n">
        <v>46007</v>
      </c>
      <c r="E1519" s="1" t="n">
        <v>46315</v>
      </c>
      <c r="F1519" t="inlineStr">
        <is>
          <t>HALLANDS LÄN</t>
        </is>
      </c>
      <c r="G1519" t="inlineStr">
        <is>
          <t>FALKENBERG</t>
        </is>
      </c>
      <c r="I1519" t="n">
        <v>1.1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inlineStr"/>
    </row>
    <row r="1520" ht="15" customHeight="1">
      <c r="A1520" t="inlineStr">
        <is>
          <t>A 3530-2026</t>
        </is>
      </c>
      <c r="B1520" t="inlineStr">
        <is>
          <t>avverkningsanmälan</t>
        </is>
      </c>
      <c r="C1520" t="inlineStr">
        <is>
          <t>Föryngringsavverkning</t>
        </is>
      </c>
      <c r="D1520" s="1" t="n">
        <v>46042</v>
      </c>
      <c r="E1520" s="1" t="n">
        <v>46315</v>
      </c>
      <c r="F1520" t="inlineStr">
        <is>
          <t>HALLANDS LÄN</t>
        </is>
      </c>
      <c r="G1520" t="inlineStr">
        <is>
          <t>FALKENBERG</t>
        </is>
      </c>
      <c r="I1520" t="n">
        <v>0.4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inlineStr"/>
    </row>
    <row r="1521" ht="15" customHeight="1">
      <c r="A1521" t="inlineStr">
        <is>
          <t>A 2029-2025</t>
        </is>
      </c>
      <c r="B1521" t="inlineStr">
        <is>
          <t>avverkningsanmälan</t>
        </is>
      </c>
      <c r="C1521" t="inlineStr">
        <is>
          <t>Föryngringsavverkning</t>
        </is>
      </c>
      <c r="D1521" s="1" t="n">
        <v>45672</v>
      </c>
      <c r="E1521" s="1" t="n">
        <v>46315</v>
      </c>
      <c r="F1521" t="inlineStr">
        <is>
          <t>HALLANDS LÄN</t>
        </is>
      </c>
      <c r="G1521" t="inlineStr">
        <is>
          <t>VARBERG</t>
        </is>
      </c>
      <c r="I1521" t="n">
        <v>3.6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inlineStr"/>
    </row>
    <row r="1522" ht="15" customHeight="1">
      <c r="A1522" t="inlineStr">
        <is>
          <t>A 51-2025</t>
        </is>
      </c>
      <c r="B1522" t="inlineStr">
        <is>
          <t>avverkningsanmälan</t>
        </is>
      </c>
      <c r="C1522" t="inlineStr">
        <is>
          <t>Föryngringsavverkning</t>
        </is>
      </c>
      <c r="D1522" s="1" t="n">
        <v>45659</v>
      </c>
      <c r="E1522" s="1" t="n">
        <v>46315</v>
      </c>
      <c r="F1522" t="inlineStr">
        <is>
          <t>HALLANDS LÄN</t>
        </is>
      </c>
      <c r="G1522" t="inlineStr">
        <is>
          <t>KUNGSBACKA</t>
        </is>
      </c>
      <c r="I1522" t="n">
        <v>0.5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inlineStr"/>
    </row>
    <row r="1523" ht="15" customHeight="1">
      <c r="A1523" t="inlineStr">
        <is>
          <t>A 25346-2026</t>
        </is>
      </c>
      <c r="B1523" t="inlineStr">
        <is>
          <t>avverkningsanmälan</t>
        </is>
      </c>
      <c r="C1523" t="inlineStr">
        <is>
          <t>Föryngringsavverkning</t>
        </is>
      </c>
      <c r="D1523" s="1" t="n">
        <v>46176</v>
      </c>
      <c r="E1523" s="1" t="n">
        <v>46315</v>
      </c>
      <c r="F1523" t="inlineStr">
        <is>
          <t>HALLANDS LÄN</t>
        </is>
      </c>
      <c r="G1523" t="inlineStr">
        <is>
          <t>KUNGSBACKA</t>
        </is>
      </c>
      <c r="I1523" t="n">
        <v>0.7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inlineStr"/>
    </row>
    <row r="1524" ht="15" customHeight="1">
      <c r="A1524" t="inlineStr">
        <is>
          <t>A 25347-2026</t>
        </is>
      </c>
      <c r="B1524" t="inlineStr">
        <is>
          <t>avverkningsanmälan</t>
        </is>
      </c>
      <c r="C1524" t="inlineStr">
        <is>
          <t>Föryngringsavverkning</t>
        </is>
      </c>
      <c r="D1524" s="1" t="n">
        <v>46176</v>
      </c>
      <c r="E1524" s="1" t="n">
        <v>46315</v>
      </c>
      <c r="F1524" t="inlineStr">
        <is>
          <t>HALLANDS LÄN</t>
        </is>
      </c>
      <c r="G1524" t="inlineStr">
        <is>
          <t>KUNGSBACKA</t>
        </is>
      </c>
      <c r="I1524" t="n">
        <v>0.7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inlineStr"/>
    </row>
    <row r="1525" ht="15" customHeight="1">
      <c r="A1525" t="inlineStr">
        <is>
          <t>A 3167-2024</t>
        </is>
      </c>
      <c r="B1525" t="inlineStr">
        <is>
          <t>avverkningsanmälan</t>
        </is>
      </c>
      <c r="C1525" t="inlineStr">
        <is>
          <t>Föryngringsavverkning</t>
        </is>
      </c>
      <c r="D1525" s="1" t="n">
        <v>45316</v>
      </c>
      <c r="E1525" s="1" t="n">
        <v>46315</v>
      </c>
      <c r="F1525" t="inlineStr">
        <is>
          <t>HALLANDS LÄN</t>
        </is>
      </c>
      <c r="G1525" t="inlineStr">
        <is>
          <t>HALMSTAD</t>
        </is>
      </c>
      <c r="I1525" t="n">
        <v>2.2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inlineStr"/>
    </row>
    <row r="1526" ht="15" customHeight="1">
      <c r="A1526" t="inlineStr">
        <is>
          <t>A 54659-2024</t>
        </is>
      </c>
      <c r="B1526" t="inlineStr">
        <is>
          <t>avverkningsanmälan</t>
        </is>
      </c>
      <c r="C1526" t="inlineStr">
        <is>
          <t>Föryngringsavverkning</t>
        </is>
      </c>
      <c r="D1526" s="1" t="n">
        <v>45618</v>
      </c>
      <c r="E1526" s="1" t="n">
        <v>46315</v>
      </c>
      <c r="F1526" t="inlineStr">
        <is>
          <t>HALLANDS LÄN</t>
        </is>
      </c>
      <c r="G1526" t="inlineStr">
        <is>
          <t>FALKENBERG</t>
        </is>
      </c>
      <c r="I1526" t="n">
        <v>3.9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inlineStr"/>
    </row>
    <row r="1527" ht="15" customHeight="1">
      <c r="A1527" t="inlineStr">
        <is>
          <t>A 25886-2026</t>
        </is>
      </c>
      <c r="B1527" t="inlineStr">
        <is>
          <t>avverkningsanmälan</t>
        </is>
      </c>
      <c r="C1527" t="inlineStr">
        <is>
          <t>Föryngringsavverkning</t>
        </is>
      </c>
      <c r="D1527" s="1" t="n">
        <v>46178</v>
      </c>
      <c r="E1527" s="1" t="n">
        <v>46315</v>
      </c>
      <c r="F1527" t="inlineStr">
        <is>
          <t>HALLANDS LÄN</t>
        </is>
      </c>
      <c r="G1527" t="inlineStr">
        <is>
          <t>HALMSTAD</t>
        </is>
      </c>
      <c r="I1527" t="n">
        <v>12.6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inlineStr"/>
    </row>
    <row r="1528" ht="15" customHeight="1">
      <c r="A1528" t="inlineStr">
        <is>
          <t>A 25896-2026</t>
        </is>
      </c>
      <c r="B1528" t="inlineStr">
        <is>
          <t>avverkningsanmälan</t>
        </is>
      </c>
      <c r="C1528" t="inlineStr">
        <is>
          <t>Föryngringsavverkning</t>
        </is>
      </c>
      <c r="D1528" s="1" t="n">
        <v>46178</v>
      </c>
      <c r="E1528" s="1" t="n">
        <v>46315</v>
      </c>
      <c r="F1528" t="inlineStr">
        <is>
          <t>HALLANDS LÄN</t>
        </is>
      </c>
      <c r="G1528" t="inlineStr">
        <is>
          <t>HALMSTAD</t>
        </is>
      </c>
      <c r="I1528" t="n">
        <v>1.4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inlineStr"/>
    </row>
    <row r="1529" ht="15" customHeight="1">
      <c r="A1529" t="inlineStr">
        <is>
          <t>A 3388-2026</t>
        </is>
      </c>
      <c r="B1529" t="inlineStr">
        <is>
          <t>avverkningsanmälan</t>
        </is>
      </c>
      <c r="C1529" t="inlineStr">
        <is>
          <t>Föryngringsavverkning</t>
        </is>
      </c>
      <c r="D1529" s="1" t="n">
        <v>46042</v>
      </c>
      <c r="E1529" s="1" t="n">
        <v>46315</v>
      </c>
      <c r="F1529" t="inlineStr">
        <is>
          <t>HALLANDS LÄN</t>
        </is>
      </c>
      <c r="G1529" t="inlineStr">
        <is>
          <t>HYLTE</t>
        </is>
      </c>
      <c r="I1529" t="n">
        <v>1.4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inlineStr"/>
    </row>
    <row r="1530" ht="15" customHeight="1">
      <c r="A1530" t="inlineStr">
        <is>
          <t>A 26071-2026</t>
        </is>
      </c>
      <c r="B1530" t="inlineStr">
        <is>
          <t>avverkningsanmälan</t>
        </is>
      </c>
      <c r="C1530" t="inlineStr">
        <is>
          <t>Föryngringsavverkning</t>
        </is>
      </c>
      <c r="D1530" s="1" t="n">
        <v>46178</v>
      </c>
      <c r="E1530" s="1" t="n">
        <v>46315</v>
      </c>
      <c r="F1530" t="inlineStr">
        <is>
          <t>HALLANDS LÄN</t>
        </is>
      </c>
      <c r="G1530" t="inlineStr">
        <is>
          <t>HYLTE</t>
        </is>
      </c>
      <c r="I1530" t="n">
        <v>17.9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inlineStr"/>
    </row>
    <row r="1531" ht="15" customHeight="1">
      <c r="A1531" t="inlineStr">
        <is>
          <t>A 24035-2024</t>
        </is>
      </c>
      <c r="B1531" t="inlineStr">
        <is>
          <t>avverkningsanmälan</t>
        </is>
      </c>
      <c r="C1531" t="inlineStr">
        <is>
          <t>Föryngringsavverkning</t>
        </is>
      </c>
      <c r="D1531" s="1" t="n">
        <v>45456</v>
      </c>
      <c r="E1531" s="1" t="n">
        <v>46315</v>
      </c>
      <c r="F1531" t="inlineStr">
        <is>
          <t>HALLANDS LÄN</t>
        </is>
      </c>
      <c r="G1531" t="inlineStr">
        <is>
          <t>HYLTE</t>
        </is>
      </c>
      <c r="I1531" t="n">
        <v>1.7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inlineStr"/>
    </row>
    <row r="1532" ht="15" customHeight="1">
      <c r="A1532" t="inlineStr">
        <is>
          <t>A 26102-2026</t>
        </is>
      </c>
      <c r="B1532" t="inlineStr">
        <is>
          <t>avverkningsanmälan</t>
        </is>
      </c>
      <c r="C1532" t="inlineStr">
        <is>
          <t>Föryngringsavverkning</t>
        </is>
      </c>
      <c r="D1532" s="1" t="n">
        <v>46178</v>
      </c>
      <c r="E1532" s="1" t="n">
        <v>46315</v>
      </c>
      <c r="F1532" t="inlineStr">
        <is>
          <t>HALLANDS LÄN</t>
        </is>
      </c>
      <c r="G1532" t="inlineStr">
        <is>
          <t>HYLTE</t>
        </is>
      </c>
      <c r="I1532" t="n">
        <v>5.7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inlineStr"/>
    </row>
    <row r="1533" ht="15" customHeight="1">
      <c r="A1533" t="inlineStr">
        <is>
          <t>A 35891-2022</t>
        </is>
      </c>
      <c r="B1533" t="inlineStr">
        <is>
          <t>avverkningsanmälan</t>
        </is>
      </c>
      <c r="C1533" t="inlineStr">
        <is>
          <t>Föryngringsavverkning</t>
        </is>
      </c>
      <c r="D1533" s="1" t="n">
        <v>44802</v>
      </c>
      <c r="E1533" s="1" t="n">
        <v>46315</v>
      </c>
      <c r="F1533" t="inlineStr">
        <is>
          <t>HALLANDS LÄN</t>
        </is>
      </c>
      <c r="G1533" t="inlineStr">
        <is>
          <t>LAHOLM</t>
        </is>
      </c>
      <c r="I1533" t="n">
        <v>1.7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inlineStr"/>
    </row>
    <row r="1534" ht="15" customHeight="1">
      <c r="A1534" t="inlineStr">
        <is>
          <t>A 62141-2024</t>
        </is>
      </c>
      <c r="B1534" t="inlineStr">
        <is>
          <t>avverkningsanmälan</t>
        </is>
      </c>
      <c r="C1534" t="inlineStr">
        <is>
          <t>Föryngringsavverkning</t>
        </is>
      </c>
      <c r="D1534" s="1" t="n">
        <v>45656</v>
      </c>
      <c r="E1534" s="1" t="n">
        <v>46315</v>
      </c>
      <c r="F1534" t="inlineStr">
        <is>
          <t>HALLANDS LÄN</t>
        </is>
      </c>
      <c r="G1534" t="inlineStr">
        <is>
          <t>KUNGSBACKA</t>
        </is>
      </c>
      <c r="I1534" t="n">
        <v>0.4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inlineStr"/>
    </row>
    <row r="1535" ht="15" customHeight="1">
      <c r="A1535" t="inlineStr">
        <is>
          <t>A 4135-2026</t>
        </is>
      </c>
      <c r="B1535" t="inlineStr">
        <is>
          <t>avverkningsanmälan</t>
        </is>
      </c>
      <c r="C1535" t="inlineStr">
        <is>
          <t>Föryngringsavverkning</t>
        </is>
      </c>
      <c r="D1535" s="1" t="n">
        <v>46044</v>
      </c>
      <c r="E1535" s="1" t="n">
        <v>46315</v>
      </c>
      <c r="F1535" t="inlineStr">
        <is>
          <t>HALLANDS LÄN</t>
        </is>
      </c>
      <c r="G1535" t="inlineStr">
        <is>
          <t>HYLTE</t>
        </is>
      </c>
      <c r="I1535" t="n">
        <v>2.1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inlineStr"/>
    </row>
    <row r="1536" ht="15" customHeight="1">
      <c r="A1536" t="inlineStr">
        <is>
          <t>A 4141-2026</t>
        </is>
      </c>
      <c r="B1536" t="inlineStr">
        <is>
          <t>avverkningsanmälan</t>
        </is>
      </c>
      <c r="C1536" t="inlineStr">
        <is>
          <t>Föryngringsavverkning</t>
        </is>
      </c>
      <c r="D1536" s="1" t="n">
        <v>46044</v>
      </c>
      <c r="E1536" s="1" t="n">
        <v>46315</v>
      </c>
      <c r="F1536" t="inlineStr">
        <is>
          <t>HALLANDS LÄN</t>
        </is>
      </c>
      <c r="G1536" t="inlineStr">
        <is>
          <t>HYLTE</t>
        </is>
      </c>
      <c r="I1536" t="n">
        <v>1.4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inlineStr"/>
    </row>
    <row r="1537" ht="15" customHeight="1">
      <c r="A1537" t="inlineStr">
        <is>
          <t>A 25351-2026</t>
        </is>
      </c>
      <c r="B1537" t="inlineStr">
        <is>
          <t>avverkningsanmälan</t>
        </is>
      </c>
      <c r="C1537" t="inlineStr">
        <is>
          <t>Avverkning för att bevara och utveckla /försöksver</t>
        </is>
      </c>
      <c r="D1537" s="1" t="n">
        <v>46176</v>
      </c>
      <c r="E1537" s="1" t="n">
        <v>46315</v>
      </c>
      <c r="F1537" t="inlineStr">
        <is>
          <t>HALLANDS LÄN</t>
        </is>
      </c>
      <c r="G1537" t="inlineStr">
        <is>
          <t>KUNGSBACKA</t>
        </is>
      </c>
      <c r="I1537" t="n">
        <v>1.1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inlineStr"/>
    </row>
    <row r="1538" ht="15" customHeight="1">
      <c r="A1538" t="inlineStr">
        <is>
          <t>A 13782-2022</t>
        </is>
      </c>
      <c r="B1538" t="inlineStr">
        <is>
          <t>avverkningsanmälan</t>
        </is>
      </c>
      <c r="C1538" t="inlineStr">
        <is>
          <t>Föryngringsavverkning</t>
        </is>
      </c>
      <c r="D1538" s="1" t="n">
        <v>44649</v>
      </c>
      <c r="E1538" s="1" t="n">
        <v>46315</v>
      </c>
      <c r="F1538" t="inlineStr">
        <is>
          <t>HALLANDS LÄN</t>
        </is>
      </c>
      <c r="G1538" t="inlineStr">
        <is>
          <t>VARBERG</t>
        </is>
      </c>
      <c r="I1538" t="n">
        <v>1.5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inlineStr"/>
    </row>
    <row r="1539" ht="15" customHeight="1">
      <c r="A1539" t="inlineStr">
        <is>
          <t>A 10572-2024</t>
        </is>
      </c>
      <c r="B1539" t="inlineStr">
        <is>
          <t>avverkningsanmälan</t>
        </is>
      </c>
      <c r="C1539" t="inlineStr">
        <is>
          <t>Föryngringsavverkning</t>
        </is>
      </c>
      <c r="D1539" s="1" t="n">
        <v>45366</v>
      </c>
      <c r="E1539" s="1" t="n">
        <v>46315</v>
      </c>
      <c r="F1539" t="inlineStr">
        <is>
          <t>HALLANDS LÄN</t>
        </is>
      </c>
      <c r="G1539" t="inlineStr">
        <is>
          <t>KUNGSBACKA</t>
        </is>
      </c>
      <c r="I1539" t="n">
        <v>0.5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inlineStr"/>
    </row>
    <row r="1540" ht="15" customHeight="1">
      <c r="A1540" t="inlineStr">
        <is>
          <t>A 10575-2024</t>
        </is>
      </c>
      <c r="B1540" t="inlineStr">
        <is>
          <t>avverkningsanmälan</t>
        </is>
      </c>
      <c r="C1540" t="inlineStr">
        <is>
          <t>Föryngringsavverkning</t>
        </is>
      </c>
      <c r="D1540" s="1" t="n">
        <v>45366</v>
      </c>
      <c r="E1540" s="1" t="n">
        <v>46315</v>
      </c>
      <c r="F1540" t="inlineStr">
        <is>
          <t>HALLANDS LÄN</t>
        </is>
      </c>
      <c r="G1540" t="inlineStr">
        <is>
          <t>VARBERG</t>
        </is>
      </c>
      <c r="I1540" t="n">
        <v>0.9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inlineStr"/>
    </row>
    <row r="1541" ht="15" customHeight="1">
      <c r="A1541" t="inlineStr">
        <is>
          <t>A 25337-2026</t>
        </is>
      </c>
      <c r="B1541" t="inlineStr">
        <is>
          <t>avverkningsanmälan</t>
        </is>
      </c>
      <c r="C1541" t="inlineStr">
        <is>
          <t>Avverkning för att bevara och utveckla /försöksver</t>
        </is>
      </c>
      <c r="D1541" s="1" t="n">
        <v>46176</v>
      </c>
      <c r="E1541" s="1" t="n">
        <v>46315</v>
      </c>
      <c r="F1541" t="inlineStr">
        <is>
          <t>HALLANDS LÄN</t>
        </is>
      </c>
      <c r="G1541" t="inlineStr">
        <is>
          <t>KUNGSBACKA</t>
        </is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inlineStr"/>
    </row>
    <row r="1542" ht="15" customHeight="1">
      <c r="A1542" t="inlineStr">
        <is>
          <t>A 10600-2024</t>
        </is>
      </c>
      <c r="B1542" t="inlineStr">
        <is>
          <t>avverkningsanmälan</t>
        </is>
      </c>
      <c r="C1542" t="inlineStr">
        <is>
          <t>Föryngringsavverkning</t>
        </is>
      </c>
      <c r="D1542" s="1" t="n">
        <v>45366</v>
      </c>
      <c r="E1542" s="1" t="n">
        <v>46315</v>
      </c>
      <c r="F1542" t="inlineStr">
        <is>
          <t>HALLANDS LÄN</t>
        </is>
      </c>
      <c r="G1542" t="inlineStr">
        <is>
          <t>HYLTE</t>
        </is>
      </c>
      <c r="H1542" t="inlineStr">
        <is>
          <t>Kyrkan</t>
        </is>
      </c>
      <c r="I1542" t="n">
        <v>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inlineStr"/>
    </row>
    <row r="1543" ht="15" customHeight="1">
      <c r="A1543" t="inlineStr">
        <is>
          <t>A 4140-2026</t>
        </is>
      </c>
      <c r="B1543" t="inlineStr">
        <is>
          <t>avverkningsanmälan</t>
        </is>
      </c>
      <c r="C1543" t="inlineStr">
        <is>
          <t>Föryngringsavverkning</t>
        </is>
      </c>
      <c r="D1543" s="1" t="n">
        <v>46044</v>
      </c>
      <c r="E1543" s="1" t="n">
        <v>46315</v>
      </c>
      <c r="F1543" t="inlineStr">
        <is>
          <t>HALLANDS LÄN</t>
        </is>
      </c>
      <c r="G1543" t="inlineStr">
        <is>
          <t>HYLTE</t>
        </is>
      </c>
      <c r="I1543" t="n">
        <v>2.9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inlineStr"/>
    </row>
    <row r="1544" ht="15" customHeight="1">
      <c r="A1544" t="inlineStr">
        <is>
          <t>A 19956-2022</t>
        </is>
      </c>
      <c r="B1544" t="inlineStr">
        <is>
          <t>avverkningsanmälan</t>
        </is>
      </c>
      <c r="C1544" t="inlineStr">
        <is>
          <t>Föryngringsavverkning</t>
        </is>
      </c>
      <c r="D1544" s="1" t="n">
        <v>44697</v>
      </c>
      <c r="E1544" s="1" t="n">
        <v>46315</v>
      </c>
      <c r="F1544" t="inlineStr">
        <is>
          <t>HALLANDS LÄN</t>
        </is>
      </c>
      <c r="G1544" t="inlineStr">
        <is>
          <t>HYLTE</t>
        </is>
      </c>
      <c r="I1544" t="n">
        <v>1.8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inlineStr"/>
    </row>
    <row r="1545" ht="15" customHeight="1">
      <c r="A1545" t="inlineStr">
        <is>
          <t>A 25349-2026</t>
        </is>
      </c>
      <c r="B1545" t="inlineStr">
        <is>
          <t>avverkningsanmälan</t>
        </is>
      </c>
      <c r="C1545" t="inlineStr">
        <is>
          <t>Föryngringsavverkning</t>
        </is>
      </c>
      <c r="D1545" s="1" t="n">
        <v>46176</v>
      </c>
      <c r="E1545" s="1" t="n">
        <v>46315</v>
      </c>
      <c r="F1545" t="inlineStr">
        <is>
          <t>HALLANDS LÄN</t>
        </is>
      </c>
      <c r="G1545" t="inlineStr">
        <is>
          <t>KUNGSBACKA</t>
        </is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inlineStr"/>
    </row>
    <row r="1546" ht="15" customHeight="1">
      <c r="A1546" t="inlineStr">
        <is>
          <t>A 4138-2026</t>
        </is>
      </c>
      <c r="B1546" t="inlineStr">
        <is>
          <t>avverkningsanmälan</t>
        </is>
      </c>
      <c r="C1546" t="inlineStr">
        <is>
          <t>Föryngringsavverkning</t>
        </is>
      </c>
      <c r="D1546" s="1" t="n">
        <v>46044</v>
      </c>
      <c r="E1546" s="1" t="n">
        <v>46315</v>
      </c>
      <c r="F1546" t="inlineStr">
        <is>
          <t>HALLANDS LÄN</t>
        </is>
      </c>
      <c r="G1546" t="inlineStr">
        <is>
          <t>HYLTE</t>
        </is>
      </c>
      <c r="I1546" t="n">
        <v>2.5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inlineStr"/>
    </row>
    <row r="1547" ht="15" customHeight="1">
      <c r="A1547" t="inlineStr">
        <is>
          <t>A 6268-2022</t>
        </is>
      </c>
      <c r="B1547" t="inlineStr">
        <is>
          <t>avverkningsanmälan</t>
        </is>
      </c>
      <c r="C1547" t="inlineStr">
        <is>
          <t>Föryngringsavverkning</t>
        </is>
      </c>
      <c r="D1547" s="1" t="n">
        <v>44600</v>
      </c>
      <c r="E1547" s="1" t="n">
        <v>46315</v>
      </c>
      <c r="F1547" t="inlineStr">
        <is>
          <t>HALLANDS LÄN</t>
        </is>
      </c>
      <c r="G1547" t="inlineStr">
        <is>
          <t>LAHOLM</t>
        </is>
      </c>
      <c r="I1547" t="n">
        <v>1.7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inlineStr"/>
    </row>
    <row r="1548" ht="15" customHeight="1">
      <c r="A1548" t="inlineStr">
        <is>
          <t>A 5050-2026</t>
        </is>
      </c>
      <c r="B1548" t="inlineStr">
        <is>
          <t>avverkningsanmälan</t>
        </is>
      </c>
      <c r="C1548" t="inlineStr">
        <is>
          <t>Föryngringsavverkning</t>
        </is>
      </c>
      <c r="D1548" s="1" t="n">
        <v>46048</v>
      </c>
      <c r="E1548" s="1" t="n">
        <v>46315</v>
      </c>
      <c r="F1548" t="inlineStr">
        <is>
          <t>HALLANDS LÄN</t>
        </is>
      </c>
      <c r="G1548" t="inlineStr">
        <is>
          <t>HYLTE</t>
        </is>
      </c>
      <c r="I1548" t="n">
        <v>5.6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inlineStr"/>
    </row>
    <row r="1549" ht="15" customHeight="1">
      <c r="A1549" t="inlineStr">
        <is>
          <t>A 3595-2025</t>
        </is>
      </c>
      <c r="B1549" t="inlineStr">
        <is>
          <t>avverkningsanmälan</t>
        </is>
      </c>
      <c r="C1549" t="inlineStr">
        <is>
          <t>Föryngringsavverkning</t>
        </is>
      </c>
      <c r="D1549" s="1" t="n">
        <v>45681</v>
      </c>
      <c r="E1549" s="1" t="n">
        <v>46315</v>
      </c>
      <c r="F1549" t="inlineStr">
        <is>
          <t>HALLANDS LÄN</t>
        </is>
      </c>
      <c r="G1549" t="inlineStr">
        <is>
          <t>HALMSTAD</t>
        </is>
      </c>
      <c r="H1549" t="inlineStr">
        <is>
          <t>Kommuner</t>
        </is>
      </c>
      <c r="I1549" t="n">
        <v>2.5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inlineStr"/>
    </row>
    <row r="1550" ht="15" customHeight="1">
      <c r="A1550" t="inlineStr">
        <is>
          <t>A 3596-2025</t>
        </is>
      </c>
      <c r="B1550" t="inlineStr">
        <is>
          <t>avverkningsanmälan</t>
        </is>
      </c>
      <c r="C1550" t="inlineStr">
        <is>
          <t>Föryngringsavverkning</t>
        </is>
      </c>
      <c r="D1550" s="1" t="n">
        <v>45681</v>
      </c>
      <c r="E1550" s="1" t="n">
        <v>46315</v>
      </c>
      <c r="F1550" t="inlineStr">
        <is>
          <t>HALLANDS LÄN</t>
        </is>
      </c>
      <c r="G1550" t="inlineStr">
        <is>
          <t>HALMSTAD</t>
        </is>
      </c>
      <c r="H1550" t="inlineStr">
        <is>
          <t>Kommuner</t>
        </is>
      </c>
      <c r="I1550" t="n">
        <v>0.5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inlineStr"/>
    </row>
    <row r="1551" ht="15" customHeight="1">
      <c r="A1551" t="inlineStr">
        <is>
          <t>A 4993-2026</t>
        </is>
      </c>
      <c r="B1551" t="inlineStr">
        <is>
          <t>avverkningsanmälan</t>
        </is>
      </c>
      <c r="C1551" t="inlineStr">
        <is>
          <t>Föryngringsavverkning</t>
        </is>
      </c>
      <c r="D1551" s="1" t="n">
        <v>46048</v>
      </c>
      <c r="E1551" s="1" t="n">
        <v>46315</v>
      </c>
      <c r="F1551" t="inlineStr">
        <is>
          <t>HALLANDS LÄN</t>
        </is>
      </c>
      <c r="G1551" t="inlineStr">
        <is>
          <t>HYLTE</t>
        </is>
      </c>
      <c r="I1551" t="n">
        <v>1.3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inlineStr"/>
    </row>
    <row r="1552" ht="15" customHeight="1">
      <c r="A1552" t="inlineStr">
        <is>
          <t>A 59432-2024</t>
        </is>
      </c>
      <c r="B1552" t="inlineStr">
        <is>
          <t>avverkningsanmälan</t>
        </is>
      </c>
      <c r="C1552" t="inlineStr">
        <is>
          <t>Föryngringsavverkning</t>
        </is>
      </c>
      <c r="D1552" s="1" t="n">
        <v>45638</v>
      </c>
      <c r="E1552" s="1" t="n">
        <v>46315</v>
      </c>
      <c r="F1552" t="inlineStr">
        <is>
          <t>HALLANDS LÄN</t>
        </is>
      </c>
      <c r="G1552" t="inlineStr">
        <is>
          <t>VARBERG</t>
        </is>
      </c>
      <c r="I1552" t="n">
        <v>5.3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inlineStr"/>
    </row>
    <row r="1553" ht="15" customHeight="1">
      <c r="A1553" t="inlineStr">
        <is>
          <t>A 25286-2026</t>
        </is>
      </c>
      <c r="B1553" t="inlineStr">
        <is>
          <t>avverkningsanmälan</t>
        </is>
      </c>
      <c r="C1553" t="inlineStr">
        <is>
          <t>Föryngringsavverkning</t>
        </is>
      </c>
      <c r="D1553" s="1" t="n">
        <v>46176</v>
      </c>
      <c r="E1553" s="1" t="n">
        <v>46315</v>
      </c>
      <c r="F1553" t="inlineStr">
        <is>
          <t>HALLANDS LÄN</t>
        </is>
      </c>
      <c r="G1553" t="inlineStr">
        <is>
          <t>HALMSTAD</t>
        </is>
      </c>
      <c r="I1553" t="n">
        <v>1.4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inlineStr"/>
    </row>
    <row r="1554" ht="15" customHeight="1">
      <c r="A1554" t="inlineStr">
        <is>
          <t>A 26024-2023</t>
        </is>
      </c>
      <c r="B1554" t="inlineStr">
        <is>
          <t>avverkningsanmälan</t>
        </is>
      </c>
      <c r="C1554" t="inlineStr">
        <is>
          <t>Föryngringsavverkning</t>
        </is>
      </c>
      <c r="D1554" s="1" t="n">
        <v>45091</v>
      </c>
      <c r="E1554" s="1" t="n">
        <v>46315</v>
      </c>
      <c r="F1554" t="inlineStr">
        <is>
          <t>HALLANDS LÄN</t>
        </is>
      </c>
      <c r="G1554" t="inlineStr">
        <is>
          <t>HALMSTAD</t>
        </is>
      </c>
      <c r="I1554" t="n">
        <v>0.5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inlineStr"/>
    </row>
    <row r="1555" ht="15" customHeight="1">
      <c r="A1555" t="inlineStr">
        <is>
          <t>A 5018-2026</t>
        </is>
      </c>
      <c r="B1555" t="inlineStr">
        <is>
          <t>avverkningsanmälan</t>
        </is>
      </c>
      <c r="C1555" t="inlineStr">
        <is>
          <t>Föryngringsavverkning</t>
        </is>
      </c>
      <c r="D1555" s="1" t="n">
        <v>46048</v>
      </c>
      <c r="E1555" s="1" t="n">
        <v>46315</v>
      </c>
      <c r="F1555" t="inlineStr">
        <is>
          <t>HALLANDS LÄN</t>
        </is>
      </c>
      <c r="G1555" t="inlineStr">
        <is>
          <t>HYLTE</t>
        </is>
      </c>
      <c r="I1555" t="n">
        <v>3.7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inlineStr"/>
    </row>
    <row r="1556" ht="15" customHeight="1">
      <c r="A1556" t="inlineStr">
        <is>
          <t>A 5034-2026</t>
        </is>
      </c>
      <c r="B1556" t="inlineStr">
        <is>
          <t>avverkningsanmälan</t>
        </is>
      </c>
      <c r="C1556" t="inlineStr">
        <is>
          <t>Föryngringsavverkning</t>
        </is>
      </c>
      <c r="D1556" s="1" t="n">
        <v>46048</v>
      </c>
      <c r="E1556" s="1" t="n">
        <v>46315</v>
      </c>
      <c r="F1556" t="inlineStr">
        <is>
          <t>HALLANDS LÄN</t>
        </is>
      </c>
      <c r="G1556" t="inlineStr">
        <is>
          <t>HYLTE</t>
        </is>
      </c>
      <c r="I1556" t="n">
        <v>2.3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inlineStr"/>
    </row>
    <row r="1557" ht="15" customHeight="1">
      <c r="A1557" t="inlineStr">
        <is>
          <t>A 5039-2026</t>
        </is>
      </c>
      <c r="B1557" t="inlineStr">
        <is>
          <t>avverkningsanmälan</t>
        </is>
      </c>
      <c r="C1557" t="inlineStr">
        <is>
          <t>Föryngringsavverkning</t>
        </is>
      </c>
      <c r="D1557" s="1" t="n">
        <v>46048</v>
      </c>
      <c r="E1557" s="1" t="n">
        <v>46315</v>
      </c>
      <c r="F1557" t="inlineStr">
        <is>
          <t>HALLANDS LÄN</t>
        </is>
      </c>
      <c r="G1557" t="inlineStr">
        <is>
          <t>HYLTE</t>
        </is>
      </c>
      <c r="I1557" t="n">
        <v>3.6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inlineStr"/>
    </row>
    <row r="1558" ht="15" customHeight="1">
      <c r="A1558" t="inlineStr">
        <is>
          <t>A 5043-2026</t>
        </is>
      </c>
      <c r="B1558" t="inlineStr">
        <is>
          <t>avverkningsanmälan</t>
        </is>
      </c>
      <c r="C1558" t="inlineStr">
        <is>
          <t>Föryngringsavverkning</t>
        </is>
      </c>
      <c r="D1558" s="1" t="n">
        <v>46048</v>
      </c>
      <c r="E1558" s="1" t="n">
        <v>46315</v>
      </c>
      <c r="F1558" t="inlineStr">
        <is>
          <t>HALLANDS LÄN</t>
        </is>
      </c>
      <c r="G1558" t="inlineStr">
        <is>
          <t>HYLTE</t>
        </is>
      </c>
      <c r="I1558" t="n">
        <v>5.2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inlineStr"/>
    </row>
    <row r="1559" ht="15" customHeight="1">
      <c r="A1559" t="inlineStr">
        <is>
          <t>A 45513-2023</t>
        </is>
      </c>
      <c r="B1559" t="inlineStr">
        <is>
          <t>avverkningsanmälan</t>
        </is>
      </c>
      <c r="C1559" t="inlineStr">
        <is>
          <t>Föryngringsavverkning</t>
        </is>
      </c>
      <c r="D1559" s="1" t="n">
        <v>45194</v>
      </c>
      <c r="E1559" s="1" t="n">
        <v>46315</v>
      </c>
      <c r="F1559" t="inlineStr">
        <is>
          <t>HALLANDS LÄN</t>
        </is>
      </c>
      <c r="G1559" t="inlineStr">
        <is>
          <t>HYLTE</t>
        </is>
      </c>
      <c r="I1559" t="n">
        <v>1.6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inlineStr"/>
    </row>
    <row r="1560" ht="15" customHeight="1">
      <c r="A1560" t="inlineStr">
        <is>
          <t>A 5167-2022</t>
        </is>
      </c>
      <c r="B1560" t="inlineStr">
        <is>
          <t>avverkningsanmälan</t>
        </is>
      </c>
      <c r="C1560" t="inlineStr">
        <is>
          <t>Föryngringsavverkning</t>
        </is>
      </c>
      <c r="D1560" s="1" t="n">
        <v>44594</v>
      </c>
      <c r="E1560" s="1" t="n">
        <v>46315</v>
      </c>
      <c r="F1560" t="inlineStr">
        <is>
          <t>HALLANDS LÄN</t>
        </is>
      </c>
      <c r="G1560" t="inlineStr">
        <is>
          <t>LAHOLM</t>
        </is>
      </c>
      <c r="H1560" t="inlineStr">
        <is>
          <t>Kommuner</t>
        </is>
      </c>
      <c r="I1560" t="n">
        <v>3.1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inlineStr"/>
    </row>
    <row r="1561" ht="15" customHeight="1">
      <c r="A1561" t="inlineStr">
        <is>
          <t>A 4544-2026</t>
        </is>
      </c>
      <c r="B1561" t="inlineStr">
        <is>
          <t>avverkningsanmälan</t>
        </is>
      </c>
      <c r="C1561" t="inlineStr">
        <is>
          <t>Föryngringsavverkning</t>
        </is>
      </c>
      <c r="D1561" s="1" t="n">
        <v>46047</v>
      </c>
      <c r="E1561" s="1" t="n">
        <v>46315</v>
      </c>
      <c r="F1561" t="inlineStr">
        <is>
          <t>HALLANDS LÄN</t>
        </is>
      </c>
      <c r="G1561" t="inlineStr">
        <is>
          <t>VARBERG</t>
        </is>
      </c>
      <c r="I1561" t="n">
        <v>0.8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inlineStr"/>
    </row>
    <row r="1562" ht="15" customHeight="1">
      <c r="A1562" t="inlineStr">
        <is>
          <t>A 5024-2026</t>
        </is>
      </c>
      <c r="B1562" t="inlineStr">
        <is>
          <t>avverkningsanmälan</t>
        </is>
      </c>
      <c r="C1562" t="inlineStr">
        <is>
          <t>Föryngringsavverkning</t>
        </is>
      </c>
      <c r="D1562" s="1" t="n">
        <v>46048</v>
      </c>
      <c r="E1562" s="1" t="n">
        <v>46315</v>
      </c>
      <c r="F1562" t="inlineStr">
        <is>
          <t>HALLANDS LÄN</t>
        </is>
      </c>
      <c r="G1562" t="inlineStr">
        <is>
          <t>HYLTE</t>
        </is>
      </c>
      <c r="I1562" t="n">
        <v>1.3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inlineStr"/>
    </row>
    <row r="1563" ht="15" customHeight="1">
      <c r="A1563" t="inlineStr">
        <is>
          <t>A 5053-2026</t>
        </is>
      </c>
      <c r="B1563" t="inlineStr">
        <is>
          <t>avverkningsanmälan</t>
        </is>
      </c>
      <c r="C1563" t="inlineStr">
        <is>
          <t>Föryngringsavverkning</t>
        </is>
      </c>
      <c r="D1563" s="1" t="n">
        <v>46048</v>
      </c>
      <c r="E1563" s="1" t="n">
        <v>46315</v>
      </c>
      <c r="F1563" t="inlineStr">
        <is>
          <t>HALLANDS LÄN</t>
        </is>
      </c>
      <c r="G1563" t="inlineStr">
        <is>
          <t>HYLTE</t>
        </is>
      </c>
      <c r="I1563" t="n">
        <v>1.3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inlineStr"/>
    </row>
    <row r="1564" ht="15" customHeight="1">
      <c r="A1564" t="inlineStr">
        <is>
          <t>A 4360-2026</t>
        </is>
      </c>
      <c r="B1564" t="inlineStr">
        <is>
          <t>avverkningsanmälan</t>
        </is>
      </c>
      <c r="C1564" t="inlineStr">
        <is>
          <t>Föryngringsavverkning</t>
        </is>
      </c>
      <c r="D1564" s="1" t="n">
        <v>46045</v>
      </c>
      <c r="E1564" s="1" t="n">
        <v>46315</v>
      </c>
      <c r="F1564" t="inlineStr">
        <is>
          <t>HALLANDS LÄN</t>
        </is>
      </c>
      <c r="G1564" t="inlineStr">
        <is>
          <t>FALKENBERG</t>
        </is>
      </c>
      <c r="I1564" t="n">
        <v>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inlineStr"/>
    </row>
    <row r="1565" ht="15" customHeight="1">
      <c r="A1565" t="inlineStr">
        <is>
          <t>A 25018-2026</t>
        </is>
      </c>
      <c r="B1565" t="inlineStr">
        <is>
          <t>avverkningsanmälan</t>
        </is>
      </c>
      <c r="C1565" t="inlineStr">
        <is>
          <t>Föryngringsavverkning</t>
        </is>
      </c>
      <c r="D1565" s="1" t="n">
        <v>46174</v>
      </c>
      <c r="E1565" s="1" t="n">
        <v>46315</v>
      </c>
      <c r="F1565" t="inlineStr">
        <is>
          <t>HALLANDS LÄN</t>
        </is>
      </c>
      <c r="G1565" t="inlineStr">
        <is>
          <t>HYLTE</t>
        </is>
      </c>
      <c r="I1565" t="n">
        <v>1.3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inlineStr"/>
    </row>
    <row r="1566" ht="15" customHeight="1">
      <c r="A1566" t="inlineStr">
        <is>
          <t>A 4545-2026</t>
        </is>
      </c>
      <c r="B1566" t="inlineStr">
        <is>
          <t>avverkningsanmälan</t>
        </is>
      </c>
      <c r="C1566" t="inlineStr">
        <is>
          <t>Föryngringsavverkning</t>
        </is>
      </c>
      <c r="D1566" s="1" t="n">
        <v>46047</v>
      </c>
      <c r="E1566" s="1" t="n">
        <v>46315</v>
      </c>
      <c r="F1566" t="inlineStr">
        <is>
          <t>HALLANDS LÄN</t>
        </is>
      </c>
      <c r="G1566" t="inlineStr">
        <is>
          <t>VARBERG</t>
        </is>
      </c>
      <c r="I1566" t="n">
        <v>2.1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inlineStr"/>
    </row>
    <row r="1567" ht="15" customHeight="1">
      <c r="A1567" t="inlineStr">
        <is>
          <t>A 5200-2026</t>
        </is>
      </c>
      <c r="B1567" t="inlineStr">
        <is>
          <t>avverkningsanmälan</t>
        </is>
      </c>
      <c r="C1567" t="inlineStr">
        <is>
          <t>Föryngringsavverkning</t>
        </is>
      </c>
      <c r="D1567" s="1" t="n">
        <v>46048</v>
      </c>
      <c r="E1567" s="1" t="n">
        <v>46315</v>
      </c>
      <c r="F1567" t="inlineStr">
        <is>
          <t>HALLANDS LÄN</t>
        </is>
      </c>
      <c r="G1567" t="inlineStr">
        <is>
          <t>LAHOLM</t>
        </is>
      </c>
      <c r="I1567" t="n">
        <v>4.7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inlineStr"/>
    </row>
    <row r="1568" ht="15" customHeight="1">
      <c r="A1568" t="inlineStr">
        <is>
          <t>A 60472-2024</t>
        </is>
      </c>
      <c r="B1568" t="inlineStr">
        <is>
          <t>avverkningsanmälan</t>
        </is>
      </c>
      <c r="C1568" t="inlineStr">
        <is>
          <t>Föryngringsavverkning</t>
        </is>
      </c>
      <c r="D1568" s="1" t="n">
        <v>45643</v>
      </c>
      <c r="E1568" s="1" t="n">
        <v>46315</v>
      </c>
      <c r="F1568" t="inlineStr">
        <is>
          <t>HALLANDS LÄN</t>
        </is>
      </c>
      <c r="G1568" t="inlineStr">
        <is>
          <t>FALKENBERG</t>
        </is>
      </c>
      <c r="H1568" t="inlineStr">
        <is>
          <t>Kyrkan</t>
        </is>
      </c>
      <c r="I1568" t="n">
        <v>2.4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inlineStr"/>
    </row>
    <row r="1569" ht="15" customHeight="1">
      <c r="A1569" t="inlineStr">
        <is>
          <t>A 4999-2026</t>
        </is>
      </c>
      <c r="B1569" t="inlineStr">
        <is>
          <t>avverkningsanmälan</t>
        </is>
      </c>
      <c r="C1569" t="inlineStr">
        <is>
          <t>Föryngringsavverkning</t>
        </is>
      </c>
      <c r="D1569" s="1" t="n">
        <v>46048</v>
      </c>
      <c r="E1569" s="1" t="n">
        <v>46315</v>
      </c>
      <c r="F1569" t="inlineStr">
        <is>
          <t>HALLANDS LÄN</t>
        </is>
      </c>
      <c r="G1569" t="inlineStr">
        <is>
          <t>HYLTE</t>
        </is>
      </c>
      <c r="I1569" t="n">
        <v>0.7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inlineStr"/>
    </row>
    <row r="1570" ht="15" customHeight="1">
      <c r="A1570" t="inlineStr">
        <is>
          <t>A 5029-2026</t>
        </is>
      </c>
      <c r="B1570" t="inlineStr">
        <is>
          <t>avverkningsanmälan</t>
        </is>
      </c>
      <c r="C1570" t="inlineStr">
        <is>
          <t>Föryngringsavverkning</t>
        </is>
      </c>
      <c r="D1570" s="1" t="n">
        <v>46048</v>
      </c>
      <c r="E1570" s="1" t="n">
        <v>46315</v>
      </c>
      <c r="F1570" t="inlineStr">
        <is>
          <t>HALLANDS LÄN</t>
        </is>
      </c>
      <c r="G1570" t="inlineStr">
        <is>
          <t>HYLTE</t>
        </is>
      </c>
      <c r="I1570" t="n">
        <v>1.3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inlineStr"/>
    </row>
    <row r="1571" ht="15" customHeight="1">
      <c r="A1571" t="inlineStr">
        <is>
          <t>A 5033-2026</t>
        </is>
      </c>
      <c r="B1571" t="inlineStr">
        <is>
          <t>avverkningsanmälan</t>
        </is>
      </c>
      <c r="C1571" t="inlineStr">
        <is>
          <t>Föryngringsavverkning</t>
        </is>
      </c>
      <c r="D1571" s="1" t="n">
        <v>46048</v>
      </c>
      <c r="E1571" s="1" t="n">
        <v>46315</v>
      </c>
      <c r="F1571" t="inlineStr">
        <is>
          <t>HALLANDS LÄN</t>
        </is>
      </c>
      <c r="G1571" t="inlineStr">
        <is>
          <t>HYLTE</t>
        </is>
      </c>
      <c r="I1571" t="n">
        <v>3.9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inlineStr"/>
    </row>
    <row r="1572" ht="15" customHeight="1">
      <c r="A1572" t="inlineStr">
        <is>
          <t>A 5037-2026</t>
        </is>
      </c>
      <c r="B1572" t="inlineStr">
        <is>
          <t>avverkningsanmälan</t>
        </is>
      </c>
      <c r="C1572" t="inlineStr">
        <is>
          <t>Föryngringsavverkning</t>
        </is>
      </c>
      <c r="D1572" s="1" t="n">
        <v>46048</v>
      </c>
      <c r="E1572" s="1" t="n">
        <v>46315</v>
      </c>
      <c r="F1572" t="inlineStr">
        <is>
          <t>HALLANDS LÄN</t>
        </is>
      </c>
      <c r="G1572" t="inlineStr">
        <is>
          <t>HYLTE</t>
        </is>
      </c>
      <c r="I1572" t="n">
        <v>0.8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inlineStr"/>
    </row>
    <row r="1573" ht="15" customHeight="1">
      <c r="A1573" t="inlineStr">
        <is>
          <t>A 61506-2024</t>
        </is>
      </c>
      <c r="B1573" t="inlineStr">
        <is>
          <t>avverkningsanmälan</t>
        </is>
      </c>
      <c r="C1573" t="inlineStr">
        <is>
          <t>Föryngringsavverkning</t>
        </is>
      </c>
      <c r="D1573" s="1" t="n">
        <v>45646</v>
      </c>
      <c r="E1573" s="1" t="n">
        <v>46315</v>
      </c>
      <c r="F1573" t="inlineStr">
        <is>
          <t>HALLANDS LÄN</t>
        </is>
      </c>
      <c r="G1573" t="inlineStr">
        <is>
          <t>LAHOLM</t>
        </is>
      </c>
      <c r="I1573" t="n">
        <v>1.1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s="2" t="inlineStr"/>
    </row>
    <row r="1574" ht="15" customHeight="1">
      <c r="A1574" t="inlineStr">
        <is>
          <t>A 5201-2026</t>
        </is>
      </c>
      <c r="B1574" t="inlineStr">
        <is>
          <t>avverkningsanmälan</t>
        </is>
      </c>
      <c r="C1574" t="inlineStr">
        <is>
          <t>Föryngringsavverkning</t>
        </is>
      </c>
      <c r="D1574" s="1" t="n">
        <v>46049</v>
      </c>
      <c r="E1574" s="1" t="n">
        <v>46315</v>
      </c>
      <c r="F1574" t="inlineStr">
        <is>
          <t>HALLANDS LÄN</t>
        </is>
      </c>
      <c r="G1574" t="inlineStr">
        <is>
          <t>HYLTE</t>
        </is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s="2" t="inlineStr"/>
    </row>
    <row r="1575" ht="15" customHeight="1">
      <c r="A1575" t="inlineStr">
        <is>
          <t>A 45639-2025</t>
        </is>
      </c>
      <c r="B1575" t="inlineStr">
        <is>
          <t>avverkningsanmälan</t>
        </is>
      </c>
      <c r="C1575" t="inlineStr">
        <is>
          <t>Föryngringsavverkning</t>
        </is>
      </c>
      <c r="D1575" s="1" t="n">
        <v>45922</v>
      </c>
      <c r="E1575" s="1" t="n">
        <v>46315</v>
      </c>
      <c r="F1575" t="inlineStr">
        <is>
          <t>HALLANDS LÄN</t>
        </is>
      </c>
      <c r="G1575" t="inlineStr">
        <is>
          <t>KUNGSBACKA</t>
        </is>
      </c>
      <c r="I1575" t="n">
        <v>2.3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s="2" t="inlineStr"/>
    </row>
    <row r="1576" ht="15" customHeight="1">
      <c r="A1576" t="inlineStr">
        <is>
          <t>A 31937-2023</t>
        </is>
      </c>
      <c r="B1576" t="inlineStr">
        <is>
          <t>avverkningsanmälan</t>
        </is>
      </c>
      <c r="C1576" t="inlineStr">
        <is>
          <t>Föryngringsavverkning</t>
        </is>
      </c>
      <c r="D1576" s="1" t="n">
        <v>45119</v>
      </c>
      <c r="E1576" s="1" t="n">
        <v>46315</v>
      </c>
      <c r="F1576" t="inlineStr">
        <is>
          <t>HALLANDS LÄN</t>
        </is>
      </c>
      <c r="G1576" t="inlineStr">
        <is>
          <t>LAHOLM</t>
        </is>
      </c>
      <c r="I1576" t="n">
        <v>12.9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s="2" t="inlineStr"/>
    </row>
    <row r="1577" ht="15" customHeight="1">
      <c r="A1577" t="inlineStr">
        <is>
          <t>A 5433-2026</t>
        </is>
      </c>
      <c r="B1577" t="inlineStr">
        <is>
          <t>avverkningsanmälan</t>
        </is>
      </c>
      <c r="C1577" t="inlineStr">
        <is>
          <t>Föryngringsavverkning</t>
        </is>
      </c>
      <c r="D1577" s="1" t="n">
        <v>46050</v>
      </c>
      <c r="E1577" s="1" t="n">
        <v>46315</v>
      </c>
      <c r="F1577" t="inlineStr">
        <is>
          <t>HALLANDS LÄN</t>
        </is>
      </c>
      <c r="G1577" t="inlineStr">
        <is>
          <t>HALMSTAD</t>
        </is>
      </c>
      <c r="I1577" t="n">
        <v>1.6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s="2" t="inlineStr"/>
    </row>
    <row r="1578" ht="15" customHeight="1">
      <c r="A1578" t="inlineStr">
        <is>
          <t>A 69589-2021</t>
        </is>
      </c>
      <c r="B1578" t="inlineStr">
        <is>
          <t>avverkningsanmälan</t>
        </is>
      </c>
      <c r="C1578" t="inlineStr">
        <is>
          <t>Föryngringsavverkning</t>
        </is>
      </c>
      <c r="D1578" s="1" t="n">
        <v>44532</v>
      </c>
      <c r="E1578" s="1" t="n">
        <v>46315</v>
      </c>
      <c r="F1578" t="inlineStr">
        <is>
          <t>HALLANDS LÄN</t>
        </is>
      </c>
      <c r="G1578" t="inlineStr">
        <is>
          <t>LAHOLM</t>
        </is>
      </c>
      <c r="I1578" t="n">
        <v>2.2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s="2" t="inlineStr"/>
    </row>
    <row r="1579" ht="15" customHeight="1">
      <c r="A1579" t="inlineStr">
        <is>
          <t>A 11306-2024</t>
        </is>
      </c>
      <c r="B1579" t="inlineStr">
        <is>
          <t>avverkningsanmälan</t>
        </is>
      </c>
      <c r="C1579" t="inlineStr">
        <is>
          <t>Föryngringsavverkning</t>
        </is>
      </c>
      <c r="D1579" s="1" t="n">
        <v>45371</v>
      </c>
      <c r="E1579" s="1" t="n">
        <v>46315</v>
      </c>
      <c r="F1579" t="inlineStr">
        <is>
          <t>HALLANDS LÄN</t>
        </is>
      </c>
      <c r="G1579" t="inlineStr">
        <is>
          <t>KUNGSBACKA</t>
        </is>
      </c>
      <c r="I1579" t="n">
        <v>1.7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s="2" t="inlineStr"/>
    </row>
    <row r="1580" ht="15" customHeight="1">
      <c r="A1580" t="inlineStr">
        <is>
          <t>A 6504-2022</t>
        </is>
      </c>
      <c r="B1580" t="inlineStr">
        <is>
          <t>avverkningsanmälan</t>
        </is>
      </c>
      <c r="C1580" t="inlineStr">
        <is>
          <t>Föryngringsavverkning</t>
        </is>
      </c>
      <c r="D1580" s="1" t="n">
        <v>44601</v>
      </c>
      <c r="E1580" s="1" t="n">
        <v>46315</v>
      </c>
      <c r="F1580" t="inlineStr">
        <is>
          <t>HALLANDS LÄN</t>
        </is>
      </c>
      <c r="G1580" t="inlineStr">
        <is>
          <t>KUNGSBACKA</t>
        </is>
      </c>
      <c r="I1580" t="n">
        <v>1.6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s="2" t="inlineStr"/>
    </row>
    <row r="1581" ht="15" customHeight="1">
      <c r="A1581" t="inlineStr">
        <is>
          <t>A 5046-2026</t>
        </is>
      </c>
      <c r="B1581" t="inlineStr">
        <is>
          <t>avverkningsanmälan</t>
        </is>
      </c>
      <c r="C1581" t="inlineStr">
        <is>
          <t>Föryngringsavverkning</t>
        </is>
      </c>
      <c r="D1581" s="1" t="n">
        <v>46049</v>
      </c>
      <c r="E1581" s="1" t="n">
        <v>46315</v>
      </c>
      <c r="F1581" t="inlineStr">
        <is>
          <t>HALLANDS LÄN</t>
        </is>
      </c>
      <c r="G1581" t="inlineStr">
        <is>
          <t>FALKENBERG</t>
        </is>
      </c>
      <c r="I1581" t="n">
        <v>2.9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s="2" t="inlineStr"/>
    </row>
    <row r="1582" ht="15" customHeight="1">
      <c r="A1582" t="inlineStr">
        <is>
          <t>A 33329-2025</t>
        </is>
      </c>
      <c r="B1582" t="inlineStr">
        <is>
          <t>avverkningsanmälan</t>
        </is>
      </c>
      <c r="C1582" t="inlineStr">
        <is>
          <t>Föryngringsavverkning</t>
        </is>
      </c>
      <c r="D1582" s="1" t="n">
        <v>45841</v>
      </c>
      <c r="E1582" s="1" t="n">
        <v>46315</v>
      </c>
      <c r="F1582" t="inlineStr">
        <is>
          <t>HALLANDS LÄN</t>
        </is>
      </c>
      <c r="G1582" t="inlineStr">
        <is>
          <t>LAHOLM</t>
        </is>
      </c>
      <c r="I1582" t="n">
        <v>9.199999999999999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s="2" t="inlineStr"/>
    </row>
    <row r="1583" ht="15" customHeight="1">
      <c r="A1583" t="inlineStr">
        <is>
          <t>A 6097-2026</t>
        </is>
      </c>
      <c r="B1583" t="inlineStr">
        <is>
          <t>avverkningsanmälan</t>
        </is>
      </c>
      <c r="C1583" t="inlineStr">
        <is>
          <t>Föryngringsavverkning</t>
        </is>
      </c>
      <c r="D1583" s="1" t="n">
        <v>46052</v>
      </c>
      <c r="E1583" s="1" t="n">
        <v>46315</v>
      </c>
      <c r="F1583" t="inlineStr">
        <is>
          <t>HALLANDS LÄN</t>
        </is>
      </c>
      <c r="G1583" t="inlineStr">
        <is>
          <t>HYLTE</t>
        </is>
      </c>
      <c r="I1583" t="n">
        <v>0.7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s="2" t="inlineStr"/>
    </row>
    <row r="1584" ht="15" customHeight="1">
      <c r="A1584" t="inlineStr">
        <is>
          <t>A 50593-2023</t>
        </is>
      </c>
      <c r="B1584" t="inlineStr">
        <is>
          <t>avverkningsanmälan</t>
        </is>
      </c>
      <c r="C1584" t="inlineStr">
        <is>
          <t>Föryngringsavverkning</t>
        </is>
      </c>
      <c r="D1584" s="1" t="n">
        <v>45217</v>
      </c>
      <c r="E1584" s="1" t="n">
        <v>46315</v>
      </c>
      <c r="F1584" t="inlineStr">
        <is>
          <t>HALLANDS LÄN</t>
        </is>
      </c>
      <c r="G1584" t="inlineStr">
        <is>
          <t>HALMSTAD</t>
        </is>
      </c>
      <c r="I1584" t="n">
        <v>0.3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s="2" t="inlineStr"/>
    </row>
    <row r="1585" ht="15" customHeight="1">
      <c r="A1585" t="inlineStr">
        <is>
          <t>A 50603-2023</t>
        </is>
      </c>
      <c r="B1585" t="inlineStr">
        <is>
          <t>avverkningsanmälan</t>
        </is>
      </c>
      <c r="C1585" t="inlineStr">
        <is>
          <t>Föryngringsavverkning</t>
        </is>
      </c>
      <c r="D1585" s="1" t="n">
        <v>45217</v>
      </c>
      <c r="E1585" s="1" t="n">
        <v>46315</v>
      </c>
      <c r="F1585" t="inlineStr">
        <is>
          <t>HALLANDS LÄN</t>
        </is>
      </c>
      <c r="G1585" t="inlineStr">
        <is>
          <t>HALMSTAD</t>
        </is>
      </c>
      <c r="I1585" t="n">
        <v>1.4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s="2" t="inlineStr"/>
    </row>
    <row r="1586" ht="15" customHeight="1">
      <c r="A1586" t="inlineStr">
        <is>
          <t>A 43037-2023</t>
        </is>
      </c>
      <c r="B1586" t="inlineStr">
        <is>
          <t>avverkningsanmälan</t>
        </is>
      </c>
      <c r="C1586" t="inlineStr">
        <is>
          <t>Föryngringsavverkning</t>
        </is>
      </c>
      <c r="D1586" s="1" t="n">
        <v>45182</v>
      </c>
      <c r="E1586" s="1" t="n">
        <v>46315</v>
      </c>
      <c r="F1586" t="inlineStr">
        <is>
          <t>HALLANDS LÄN</t>
        </is>
      </c>
      <c r="G1586" t="inlineStr">
        <is>
          <t>VARBERG</t>
        </is>
      </c>
      <c r="I1586" t="n">
        <v>3.2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s="2" t="inlineStr"/>
    </row>
    <row r="1587" ht="15" customHeight="1">
      <c r="A1587" t="inlineStr">
        <is>
          <t>A 43045-2023</t>
        </is>
      </c>
      <c r="B1587" t="inlineStr">
        <is>
          <t>avverkningsanmälan</t>
        </is>
      </c>
      <c r="C1587" t="inlineStr">
        <is>
          <t>Föryngringsavverkning</t>
        </is>
      </c>
      <c r="D1587" s="1" t="n">
        <v>45182</v>
      </c>
      <c r="E1587" s="1" t="n">
        <v>46315</v>
      </c>
      <c r="F1587" t="inlineStr">
        <is>
          <t>HALLANDS LÄN</t>
        </is>
      </c>
      <c r="G1587" t="inlineStr">
        <is>
          <t>FALKENBERG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s="2" t="inlineStr"/>
    </row>
    <row r="1588" ht="15" customHeight="1">
      <c r="A1588" t="inlineStr">
        <is>
          <t>A 6094-2026</t>
        </is>
      </c>
      <c r="B1588" t="inlineStr">
        <is>
          <t>avverkningsanmälan</t>
        </is>
      </c>
      <c r="C1588" t="inlineStr">
        <is>
          <t>Föryngringsavverkning</t>
        </is>
      </c>
      <c r="D1588" s="1" t="n">
        <v>46052</v>
      </c>
      <c r="E1588" s="1" t="n">
        <v>46315</v>
      </c>
      <c r="F1588" t="inlineStr">
        <is>
          <t>HALLANDS LÄN</t>
        </is>
      </c>
      <c r="G1588" t="inlineStr">
        <is>
          <t>HYLTE</t>
        </is>
      </c>
      <c r="I1588" t="n">
        <v>1.1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s="2" t="inlineStr"/>
    </row>
    <row r="1589" ht="15" customHeight="1">
      <c r="A1589" t="inlineStr">
        <is>
          <t>A 5829-2026</t>
        </is>
      </c>
      <c r="B1589" t="inlineStr">
        <is>
          <t>avverkningsanmälan</t>
        </is>
      </c>
      <c r="C1589" t="inlineStr">
        <is>
          <t>Föryngringsavverkning</t>
        </is>
      </c>
      <c r="D1589" s="1" t="n">
        <v>46052</v>
      </c>
      <c r="E1589" s="1" t="n">
        <v>46315</v>
      </c>
      <c r="F1589" t="inlineStr">
        <is>
          <t>HALLANDS LÄN</t>
        </is>
      </c>
      <c r="G1589" t="inlineStr">
        <is>
          <t>KUNGSBACKA</t>
        </is>
      </c>
      <c r="I1589" t="n">
        <v>4.7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s="2" t="inlineStr"/>
    </row>
    <row r="1590" ht="15" customHeight="1">
      <c r="A1590" t="inlineStr">
        <is>
          <t>A 23483-2022</t>
        </is>
      </c>
      <c r="B1590" t="inlineStr">
        <is>
          <t>avverkningsanmälan</t>
        </is>
      </c>
      <c r="C1590" t="inlineStr">
        <is>
          <t>Föryngringsavverkning</t>
        </is>
      </c>
      <c r="D1590" s="1" t="n">
        <v>44721</v>
      </c>
      <c r="E1590" s="1" t="n">
        <v>46315</v>
      </c>
      <c r="F1590" t="inlineStr">
        <is>
          <t>HALLANDS LÄN</t>
        </is>
      </c>
      <c r="G1590" t="inlineStr">
        <is>
          <t>HALMSTAD</t>
        </is>
      </c>
      <c r="I1590" t="n">
        <v>7.9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s="2" t="inlineStr"/>
    </row>
    <row r="1591" ht="15" customHeight="1">
      <c r="A1591" t="inlineStr">
        <is>
          <t>A 11523-2024</t>
        </is>
      </c>
      <c r="B1591" t="inlineStr">
        <is>
          <t>avverkningsanmälan</t>
        </is>
      </c>
      <c r="C1591" t="inlineStr">
        <is>
          <t>Föryngringsavverkning</t>
        </is>
      </c>
      <c r="D1591" s="1" t="n">
        <v>45372</v>
      </c>
      <c r="E1591" s="1" t="n">
        <v>46315</v>
      </c>
      <c r="F1591" t="inlineStr">
        <is>
          <t>HALLANDS LÄN</t>
        </is>
      </c>
      <c r="G1591" t="inlineStr">
        <is>
          <t>VARBERG</t>
        </is>
      </c>
      <c r="I1591" t="n">
        <v>1.6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s="2" t="inlineStr"/>
    </row>
    <row r="1592" ht="15" customHeight="1">
      <c r="A1592" t="inlineStr">
        <is>
          <t>A 58980-2024</t>
        </is>
      </c>
      <c r="B1592" t="inlineStr">
        <is>
          <t>avverkningsanmälan</t>
        </is>
      </c>
      <c r="C1592" t="inlineStr">
        <is>
          <t>Föryngringsavverkning</t>
        </is>
      </c>
      <c r="D1592" s="1" t="n">
        <v>45636</v>
      </c>
      <c r="E1592" s="1" t="n">
        <v>46315</v>
      </c>
      <c r="F1592" t="inlineStr">
        <is>
          <t>HALLANDS LÄN</t>
        </is>
      </c>
      <c r="G1592" t="inlineStr">
        <is>
          <t>HALMSTAD</t>
        </is>
      </c>
      <c r="H1592" t="inlineStr">
        <is>
          <t>Kommuner</t>
        </is>
      </c>
      <c r="I1592" t="n">
        <v>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s="2" t="inlineStr"/>
    </row>
    <row r="1593" ht="15" customHeight="1">
      <c r="A1593" t="inlineStr">
        <is>
          <t>A 58983-2024</t>
        </is>
      </c>
      <c r="B1593" t="inlineStr">
        <is>
          <t>avverkningsanmälan</t>
        </is>
      </c>
      <c r="C1593" t="inlineStr">
        <is>
          <t>Föryngringsavverkning</t>
        </is>
      </c>
      <c r="D1593" s="1" t="n">
        <v>45636</v>
      </c>
      <c r="E1593" s="1" t="n">
        <v>46315</v>
      </c>
      <c r="F1593" t="inlineStr">
        <is>
          <t>HALLANDS LÄN</t>
        </is>
      </c>
      <c r="G1593" t="inlineStr">
        <is>
          <t>HALMSTAD</t>
        </is>
      </c>
      <c r="H1593" t="inlineStr">
        <is>
          <t>Kommuner</t>
        </is>
      </c>
      <c r="I1593" t="n">
        <v>1.5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s="2" t="inlineStr"/>
    </row>
    <row r="1594" ht="15" customHeight="1">
      <c r="A1594" t="inlineStr">
        <is>
          <t>A 16405-2025</t>
        </is>
      </c>
      <c r="B1594" t="inlineStr">
        <is>
          <t>avverkningsanmälan</t>
        </is>
      </c>
      <c r="C1594" t="inlineStr">
        <is>
          <t>Föryngringsavverkning</t>
        </is>
      </c>
      <c r="D1594" s="1" t="n">
        <v>45751</v>
      </c>
      <c r="E1594" s="1" t="n">
        <v>46315</v>
      </c>
      <c r="F1594" t="inlineStr">
        <is>
          <t>HALLANDS LÄN</t>
        </is>
      </c>
      <c r="G1594" t="inlineStr">
        <is>
          <t>FALKENBERG</t>
        </is>
      </c>
      <c r="I1594" t="n">
        <v>0.5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s="2" t="inlineStr"/>
    </row>
    <row r="1595" ht="15" customHeight="1">
      <c r="A1595" t="inlineStr">
        <is>
          <t>A 43883-2023</t>
        </is>
      </c>
      <c r="B1595" t="inlineStr">
        <is>
          <t>avverkningsanmälan</t>
        </is>
      </c>
      <c r="C1595" t="inlineStr">
        <is>
          <t>Föryngringsavverkning</t>
        </is>
      </c>
      <c r="D1595" s="1" t="n">
        <v>45187</v>
      </c>
      <c r="E1595" s="1" t="n">
        <v>46315</v>
      </c>
      <c r="F1595" t="inlineStr">
        <is>
          <t>HALLANDS LÄN</t>
        </is>
      </c>
      <c r="G1595" t="inlineStr">
        <is>
          <t>FALKENBERG</t>
        </is>
      </c>
      <c r="I1595" t="n">
        <v>3.7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s="2" t="inlineStr"/>
    </row>
    <row r="1596" ht="15" customHeight="1">
      <c r="A1596" t="inlineStr">
        <is>
          <t>A 47622-2023</t>
        </is>
      </c>
      <c r="B1596" t="inlineStr">
        <is>
          <t>avverkningsanmälan</t>
        </is>
      </c>
      <c r="C1596" t="inlineStr">
        <is>
          <t>Föryngringsavverkning</t>
        </is>
      </c>
      <c r="D1596" s="1" t="n">
        <v>45203</v>
      </c>
      <c r="E1596" s="1" t="n">
        <v>46315</v>
      </c>
      <c r="F1596" t="inlineStr">
        <is>
          <t>HALLANDS LÄN</t>
        </is>
      </c>
      <c r="G1596" t="inlineStr">
        <is>
          <t>HYLTE</t>
        </is>
      </c>
      <c r="I1596" t="n">
        <v>1.3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s="2" t="inlineStr"/>
    </row>
    <row r="1597" ht="15" customHeight="1">
      <c r="A1597" t="inlineStr">
        <is>
          <t>A 50341-2024</t>
        </is>
      </c>
      <c r="B1597" t="inlineStr">
        <is>
          <t>avverkningsanmälan</t>
        </is>
      </c>
      <c r="C1597" t="inlineStr">
        <is>
          <t>Föryngringsavverkning</t>
        </is>
      </c>
      <c r="D1597" s="1" t="n">
        <v>45600</v>
      </c>
      <c r="E1597" s="1" t="n">
        <v>46315</v>
      </c>
      <c r="F1597" t="inlineStr">
        <is>
          <t>HALLANDS LÄN</t>
        </is>
      </c>
      <c r="G1597" t="inlineStr">
        <is>
          <t>VARBERG</t>
        </is>
      </c>
      <c r="I1597" t="n">
        <v>0.5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s="2" t="inlineStr"/>
    </row>
    <row r="1598" ht="15" customHeight="1">
      <c r="A1598" t="inlineStr">
        <is>
          <t>A 50342-2024</t>
        </is>
      </c>
      <c r="B1598" t="inlineStr">
        <is>
          <t>avverkningsanmälan</t>
        </is>
      </c>
      <c r="C1598" t="inlineStr">
        <is>
          <t>Föryngringsavverkning</t>
        </is>
      </c>
      <c r="D1598" s="1" t="n">
        <v>45600</v>
      </c>
      <c r="E1598" s="1" t="n">
        <v>46315</v>
      </c>
      <c r="F1598" t="inlineStr">
        <is>
          <t>HALLANDS LÄN</t>
        </is>
      </c>
      <c r="G1598" t="inlineStr">
        <is>
          <t>VARBERG</t>
        </is>
      </c>
      <c r="I1598" t="n">
        <v>1.5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s="2" t="inlineStr"/>
    </row>
    <row r="1599" ht="15" customHeight="1">
      <c r="A1599" t="inlineStr">
        <is>
          <t>A 5987-2026</t>
        </is>
      </c>
      <c r="B1599" t="inlineStr">
        <is>
          <t>avverkningsanmälan</t>
        </is>
      </c>
      <c r="C1599" t="inlineStr">
        <is>
          <t>Föryngringsavverkning</t>
        </is>
      </c>
      <c r="D1599" s="1" t="n">
        <v>46052</v>
      </c>
      <c r="E1599" s="1" t="n">
        <v>46315</v>
      </c>
      <c r="F1599" t="inlineStr">
        <is>
          <t>HALLANDS LÄN</t>
        </is>
      </c>
      <c r="G1599" t="inlineStr">
        <is>
          <t>FALKENBERG</t>
        </is>
      </c>
      <c r="I1599" t="n">
        <v>2.6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s="2" t="inlineStr"/>
    </row>
    <row r="1600" ht="15" customHeight="1">
      <c r="A1600" t="inlineStr">
        <is>
          <t>A 25859-2026</t>
        </is>
      </c>
      <c r="B1600" t="inlineStr">
        <is>
          <t>avverkningsanmälan</t>
        </is>
      </c>
      <c r="C1600" t="inlineStr">
        <is>
          <t>Föryngringsavverkning</t>
        </is>
      </c>
      <c r="D1600" s="1" t="n">
        <v>46178</v>
      </c>
      <c r="E1600" s="1" t="n">
        <v>46315</v>
      </c>
      <c r="F1600" t="inlineStr">
        <is>
          <t>HALLANDS LÄN</t>
        </is>
      </c>
      <c r="G1600" t="inlineStr">
        <is>
          <t>FALKENBERG</t>
        </is>
      </c>
      <c r="I1600" t="n">
        <v>1.1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s="2" t="inlineStr"/>
    </row>
    <row r="1601" ht="15" customHeight="1">
      <c r="A1601" t="inlineStr">
        <is>
          <t>A 5917-2026</t>
        </is>
      </c>
      <c r="B1601" t="inlineStr">
        <is>
          <t>avverkningsanmälan</t>
        </is>
      </c>
      <c r="C1601" t="inlineStr">
        <is>
          <t>Föryngringsavverkning</t>
        </is>
      </c>
      <c r="D1601" s="1" t="n">
        <v>46052</v>
      </c>
      <c r="E1601" s="1" t="n">
        <v>46315</v>
      </c>
      <c r="F1601" t="inlineStr">
        <is>
          <t>HALLANDS LÄN</t>
        </is>
      </c>
      <c r="G1601" t="inlineStr">
        <is>
          <t>LAHOLM</t>
        </is>
      </c>
      <c r="I1601" t="n">
        <v>0.6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s="2" t="inlineStr"/>
    </row>
    <row r="1602" ht="15" customHeight="1">
      <c r="A1602" t="inlineStr">
        <is>
          <t>A 6308-2026</t>
        </is>
      </c>
      <c r="B1602" t="inlineStr">
        <is>
          <t>avverkningsanmälan</t>
        </is>
      </c>
      <c r="C1602" t="inlineStr">
        <is>
          <t>Föryngringsavverkning</t>
        </is>
      </c>
      <c r="D1602" s="1" t="n">
        <v>46055</v>
      </c>
      <c r="E1602" s="1" t="n">
        <v>46315</v>
      </c>
      <c r="F1602" t="inlineStr">
        <is>
          <t>HALLANDS LÄN</t>
        </is>
      </c>
      <c r="G1602" t="inlineStr">
        <is>
          <t>VARBERG</t>
        </is>
      </c>
      <c r="I1602" t="n">
        <v>1.2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s="2" t="inlineStr"/>
    </row>
    <row r="1603" ht="15" customHeight="1">
      <c r="A1603" t="inlineStr">
        <is>
          <t>A 18820-2024</t>
        </is>
      </c>
      <c r="B1603" t="inlineStr">
        <is>
          <t>avverkningsanmälan</t>
        </is>
      </c>
      <c r="C1603" t="inlineStr">
        <is>
          <t>Föryngringsavverkning</t>
        </is>
      </c>
      <c r="D1603" s="1" t="n">
        <v>45426</v>
      </c>
      <c r="E1603" s="1" t="n">
        <v>46315</v>
      </c>
      <c r="F1603" t="inlineStr">
        <is>
          <t>HALLANDS LÄN</t>
        </is>
      </c>
      <c r="G1603" t="inlineStr">
        <is>
          <t>LAHOLM</t>
        </is>
      </c>
      <c r="I1603" t="n">
        <v>0.6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s="2" t="inlineStr"/>
    </row>
    <row r="1604" ht="15" customHeight="1">
      <c r="A1604" t="inlineStr">
        <is>
          <t>A 18334-2025</t>
        </is>
      </c>
      <c r="B1604" t="inlineStr">
        <is>
          <t>avverkningsanmälan</t>
        </is>
      </c>
      <c r="C1604" t="inlineStr">
        <is>
          <t>Föryngringsavverkning</t>
        </is>
      </c>
      <c r="D1604" s="1" t="n">
        <v>45762</v>
      </c>
      <c r="E1604" s="1" t="n">
        <v>46315</v>
      </c>
      <c r="F1604" t="inlineStr">
        <is>
          <t>HALLANDS LÄN</t>
        </is>
      </c>
      <c r="G1604" t="inlineStr">
        <is>
          <t>LAHOLM</t>
        </is>
      </c>
      <c r="I1604" t="n">
        <v>0.5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s="2" t="inlineStr"/>
    </row>
    <row r="1605" ht="15" customHeight="1">
      <c r="A1605" t="inlineStr">
        <is>
          <t>A 6306-2026</t>
        </is>
      </c>
      <c r="B1605" t="inlineStr">
        <is>
          <t>avverkningsanmälan</t>
        </is>
      </c>
      <c r="C1605" t="inlineStr">
        <is>
          <t>Föryngringsavverkning</t>
        </is>
      </c>
      <c r="D1605" s="1" t="n">
        <v>46055</v>
      </c>
      <c r="E1605" s="1" t="n">
        <v>46315</v>
      </c>
      <c r="F1605" t="inlineStr">
        <is>
          <t>HALLANDS LÄN</t>
        </is>
      </c>
      <c r="G1605" t="inlineStr">
        <is>
          <t>VARBERG</t>
        </is>
      </c>
      <c r="I1605" t="n">
        <v>2.4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s="2" t="inlineStr"/>
    </row>
    <row r="1606" ht="15" customHeight="1">
      <c r="A1606" t="inlineStr">
        <is>
          <t>A 6265-2022</t>
        </is>
      </c>
      <c r="B1606" t="inlineStr">
        <is>
          <t>avverkningsanmälan</t>
        </is>
      </c>
      <c r="C1606" t="inlineStr">
        <is>
          <t>Föryngringsavverkning</t>
        </is>
      </c>
      <c r="D1606" s="1" t="n">
        <v>44600</v>
      </c>
      <c r="E1606" s="1" t="n">
        <v>46315</v>
      </c>
      <c r="F1606" t="inlineStr">
        <is>
          <t>HALLANDS LÄN</t>
        </is>
      </c>
      <c r="G1606" t="inlineStr">
        <is>
          <t>LAHOLM</t>
        </is>
      </c>
      <c r="I1606" t="n">
        <v>3.3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s="2" t="inlineStr"/>
    </row>
    <row r="1607" ht="15" customHeight="1">
      <c r="A1607" t="inlineStr">
        <is>
          <t>A 6135-2026</t>
        </is>
      </c>
      <c r="B1607" t="inlineStr">
        <is>
          <t>avverkningsanmälan</t>
        </is>
      </c>
      <c r="C1607" t="inlineStr">
        <is>
          <t>Föryngringsavverkning</t>
        </is>
      </c>
      <c r="D1607" s="1" t="n">
        <v>46054</v>
      </c>
      <c r="E1607" s="1" t="n">
        <v>46315</v>
      </c>
      <c r="F1607" t="inlineStr">
        <is>
          <t>HALLANDS LÄN</t>
        </is>
      </c>
      <c r="G1607" t="inlineStr">
        <is>
          <t>KUNGSBACKA</t>
        </is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s="2" t="inlineStr"/>
    </row>
    <row r="1608" ht="15" customHeight="1">
      <c r="A1608" t="inlineStr">
        <is>
          <t>A 26335-2026</t>
        </is>
      </c>
      <c r="B1608" t="inlineStr">
        <is>
          <t>avverkningsanmälan</t>
        </is>
      </c>
      <c r="C1608" t="inlineStr">
        <is>
          <t>Föryngringsavverkning</t>
        </is>
      </c>
      <c r="D1608" s="1" t="n">
        <v>46182</v>
      </c>
      <c r="E1608" s="1" t="n">
        <v>46315</v>
      </c>
      <c r="F1608" t="inlineStr">
        <is>
          <t>HALLANDS LÄN</t>
        </is>
      </c>
      <c r="G1608" t="inlineStr">
        <is>
          <t>HALMSTAD</t>
        </is>
      </c>
      <c r="I1608" t="n">
        <v>5.7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s="2" t="inlineStr"/>
    </row>
    <row r="1609" ht="15" customHeight="1">
      <c r="A1609" t="inlineStr">
        <is>
          <t>A 6166-2026</t>
        </is>
      </c>
      <c r="B1609" t="inlineStr">
        <is>
          <t>avverkningsanmälan</t>
        </is>
      </c>
      <c r="C1609" t="inlineStr">
        <is>
          <t>Föryngringsavverkning</t>
        </is>
      </c>
      <c r="D1609" s="1" t="n">
        <v>46055</v>
      </c>
      <c r="E1609" s="1" t="n">
        <v>46315</v>
      </c>
      <c r="F1609" t="inlineStr">
        <is>
          <t>HALLANDS LÄN</t>
        </is>
      </c>
      <c r="G1609" t="inlineStr">
        <is>
          <t>HYLTE</t>
        </is>
      </c>
      <c r="I1609" t="n">
        <v>1.9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s="2" t="inlineStr"/>
    </row>
    <row r="1610" ht="15" customHeight="1">
      <c r="A1610" t="inlineStr">
        <is>
          <t>A 33646-2022</t>
        </is>
      </c>
      <c r="B1610" t="inlineStr">
        <is>
          <t>avverkningsanmälan</t>
        </is>
      </c>
      <c r="C1610" t="inlineStr">
        <is>
          <t>Föryngringsavverkning</t>
        </is>
      </c>
      <c r="D1610" s="1" t="n">
        <v>44789</v>
      </c>
      <c r="E1610" s="1" t="n">
        <v>46315</v>
      </c>
      <c r="F1610" t="inlineStr">
        <is>
          <t>HALLANDS LÄN</t>
        </is>
      </c>
      <c r="G1610" t="inlineStr">
        <is>
          <t>KUNGSBACKA</t>
        </is>
      </c>
      <c r="I1610" t="n">
        <v>0.7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s="2" t="inlineStr"/>
    </row>
    <row r="1611" ht="15" customHeight="1">
      <c r="A1611" t="inlineStr">
        <is>
          <t>A 2877-2025</t>
        </is>
      </c>
      <c r="B1611" t="inlineStr">
        <is>
          <t>avverkningsanmälan</t>
        </is>
      </c>
      <c r="C1611" t="inlineStr">
        <is>
          <t>Föryngringsavverkning</t>
        </is>
      </c>
      <c r="D1611" s="1" t="n">
        <v>45677</v>
      </c>
      <c r="E1611" s="1" t="n">
        <v>46315</v>
      </c>
      <c r="F1611" t="inlineStr">
        <is>
          <t>HALLANDS LÄN</t>
        </is>
      </c>
      <c r="G1611" t="inlineStr">
        <is>
          <t>HYLTE</t>
        </is>
      </c>
      <c r="I1611" t="n">
        <v>0.5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s="2" t="inlineStr"/>
    </row>
    <row r="1612" ht="15" customHeight="1">
      <c r="A1612" t="inlineStr">
        <is>
          <t>A 25986-2026</t>
        </is>
      </c>
      <c r="B1612" t="inlineStr">
        <is>
          <t>avverkningsanmälan</t>
        </is>
      </c>
      <c r="C1612" t="inlineStr">
        <is>
          <t>Föryngringsavverkning</t>
        </is>
      </c>
      <c r="D1612" s="1" t="n">
        <v>46181</v>
      </c>
      <c r="E1612" s="1" t="n">
        <v>46315</v>
      </c>
      <c r="F1612" t="inlineStr">
        <is>
          <t>HALLANDS LÄN</t>
        </is>
      </c>
      <c r="G1612" t="inlineStr">
        <is>
          <t>HALMSTAD</t>
        </is>
      </c>
      <c r="I1612" t="n">
        <v>1.9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s="2" t="inlineStr"/>
    </row>
    <row r="1613" ht="15" customHeight="1">
      <c r="A1613" t="inlineStr">
        <is>
          <t>A 6233-2026</t>
        </is>
      </c>
      <c r="B1613" t="inlineStr">
        <is>
          <t>avverkningsanmälan</t>
        </is>
      </c>
      <c r="C1613" t="inlineStr">
        <is>
          <t>Föryngringsavverkning</t>
        </is>
      </c>
      <c r="D1613" s="1" t="n">
        <v>46055</v>
      </c>
      <c r="E1613" s="1" t="n">
        <v>46315</v>
      </c>
      <c r="F1613" t="inlineStr">
        <is>
          <t>HALLANDS LÄN</t>
        </is>
      </c>
      <c r="G1613" t="inlineStr">
        <is>
          <t>FALKENBERG</t>
        </is>
      </c>
      <c r="I1613" t="n">
        <v>0.6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s="2" t="inlineStr"/>
    </row>
    <row r="1614" ht="15" customHeight="1">
      <c r="A1614" t="inlineStr">
        <is>
          <t>A 6136-2026</t>
        </is>
      </c>
      <c r="B1614" t="inlineStr">
        <is>
          <t>avverkningsanmälan</t>
        </is>
      </c>
      <c r="C1614" t="inlineStr">
        <is>
          <t>Föryngringsavverkning</t>
        </is>
      </c>
      <c r="D1614" s="1" t="n">
        <v>46054</v>
      </c>
      <c r="E1614" s="1" t="n">
        <v>46315</v>
      </c>
      <c r="F1614" t="inlineStr">
        <is>
          <t>HALLANDS LÄN</t>
        </is>
      </c>
      <c r="G1614" t="inlineStr">
        <is>
          <t>KUNGSBACKA</t>
        </is>
      </c>
      <c r="I1614" t="n">
        <v>0.9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s="2" t="inlineStr"/>
    </row>
    <row r="1615" ht="15" customHeight="1">
      <c r="A1615" t="inlineStr">
        <is>
          <t>A 6137-2026</t>
        </is>
      </c>
      <c r="B1615" t="inlineStr">
        <is>
          <t>avverkningsanmälan</t>
        </is>
      </c>
      <c r="C1615" t="inlineStr">
        <is>
          <t>Föryngringsavverkning</t>
        </is>
      </c>
      <c r="D1615" s="1" t="n">
        <v>46054</v>
      </c>
      <c r="E1615" s="1" t="n">
        <v>46315</v>
      </c>
      <c r="F1615" t="inlineStr">
        <is>
          <t>HALLANDS LÄN</t>
        </is>
      </c>
      <c r="G1615" t="inlineStr">
        <is>
          <t>KUNGSBACKA</t>
        </is>
      </c>
      <c r="I1615" t="n">
        <v>2.1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s="2" t="inlineStr"/>
    </row>
    <row r="1616" ht="15" customHeight="1">
      <c r="A1616" t="inlineStr">
        <is>
          <t>A 26262-2026</t>
        </is>
      </c>
      <c r="B1616" t="inlineStr">
        <is>
          <t>avverkningsanmälan</t>
        </is>
      </c>
      <c r="C1616" t="inlineStr">
        <is>
          <t>Föryngringsavverkning</t>
        </is>
      </c>
      <c r="D1616" s="1" t="n">
        <v>46182</v>
      </c>
      <c r="E1616" s="1" t="n">
        <v>46315</v>
      </c>
      <c r="F1616" t="inlineStr">
        <is>
          <t>HALLANDS LÄN</t>
        </is>
      </c>
      <c r="G1616" t="inlineStr">
        <is>
          <t>FALKENBERG</t>
        </is>
      </c>
      <c r="I1616" t="n">
        <v>1.2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s="2" t="inlineStr"/>
    </row>
    <row r="1617" ht="15" customHeight="1">
      <c r="A1617" t="inlineStr">
        <is>
          <t>A 6467-2026</t>
        </is>
      </c>
      <c r="B1617" t="inlineStr">
        <is>
          <t>avverkningsanmälan</t>
        </is>
      </c>
      <c r="C1617" t="inlineStr">
        <is>
          <t>Föryngringsavverkning</t>
        </is>
      </c>
      <c r="D1617" s="1" t="n">
        <v>46056</v>
      </c>
      <c r="E1617" s="1" t="n">
        <v>46315</v>
      </c>
      <c r="F1617" t="inlineStr">
        <is>
          <t>HALLANDS LÄN</t>
        </is>
      </c>
      <c r="G1617" t="inlineStr">
        <is>
          <t>LAHOLM</t>
        </is>
      </c>
      <c r="H1617" t="inlineStr">
        <is>
          <t>Kyrkan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s="2" t="inlineStr"/>
    </row>
    <row r="1618" ht="15" customHeight="1">
      <c r="A1618" t="inlineStr">
        <is>
          <t>A 6474-2026</t>
        </is>
      </c>
      <c r="B1618" t="inlineStr">
        <is>
          <t>avverkningsanmälan</t>
        </is>
      </c>
      <c r="C1618" t="inlineStr">
        <is>
          <t>Föryngringsavverkning</t>
        </is>
      </c>
      <c r="D1618" s="1" t="n">
        <v>46056</v>
      </c>
      <c r="E1618" s="1" t="n">
        <v>46315</v>
      </c>
      <c r="F1618" t="inlineStr">
        <is>
          <t>HALLANDS LÄN</t>
        </is>
      </c>
      <c r="G1618" t="inlineStr">
        <is>
          <t>LAHOLM</t>
        </is>
      </c>
      <c r="H1618" t="inlineStr">
        <is>
          <t>Kyrkan</t>
        </is>
      </c>
      <c r="I1618" t="n">
        <v>4.2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s="2" t="inlineStr"/>
    </row>
    <row r="1619" ht="15" customHeight="1">
      <c r="A1619" t="inlineStr">
        <is>
          <t>A 15545-2022</t>
        </is>
      </c>
      <c r="B1619" t="inlineStr">
        <is>
          <t>avverkningsanmälan</t>
        </is>
      </c>
      <c r="C1619" t="inlineStr">
        <is>
          <t>Föryngringsavverkning</t>
        </is>
      </c>
      <c r="D1619" s="1" t="n">
        <v>44662</v>
      </c>
      <c r="E1619" s="1" t="n">
        <v>46315</v>
      </c>
      <c r="F1619" t="inlineStr">
        <is>
          <t>HALLANDS LÄN</t>
        </is>
      </c>
      <c r="G1619" t="inlineStr">
        <is>
          <t>HALMSTAD</t>
        </is>
      </c>
      <c r="I1619" t="n">
        <v>1.1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s="2" t="inlineStr"/>
    </row>
    <row r="1620" ht="15" customHeight="1">
      <c r="A1620" t="inlineStr">
        <is>
          <t>A 8189-2025</t>
        </is>
      </c>
      <c r="B1620" t="inlineStr">
        <is>
          <t>avverkningsanmälan</t>
        </is>
      </c>
      <c r="C1620" t="inlineStr">
        <is>
          <t>Föryngringsavverkning</t>
        </is>
      </c>
      <c r="D1620" s="1" t="n">
        <v>45708</v>
      </c>
      <c r="E1620" s="1" t="n">
        <v>46315</v>
      </c>
      <c r="F1620" t="inlineStr">
        <is>
          <t>HALLANDS LÄN</t>
        </is>
      </c>
      <c r="G1620" t="inlineStr">
        <is>
          <t>VARBERG</t>
        </is>
      </c>
      <c r="I1620" t="n">
        <v>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s="2" t="inlineStr"/>
    </row>
    <row r="1621" ht="15" customHeight="1">
      <c r="A1621" t="inlineStr">
        <is>
          <t>A 36484-2023</t>
        </is>
      </c>
      <c r="B1621" t="inlineStr">
        <is>
          <t>avverkningsanmälan</t>
        </is>
      </c>
      <c r="C1621" t="inlineStr">
        <is>
          <t>Föryngringsavverkning</t>
        </is>
      </c>
      <c r="D1621" s="1" t="n">
        <v>45152</v>
      </c>
      <c r="E1621" s="1" t="n">
        <v>46315</v>
      </c>
      <c r="F1621" t="inlineStr">
        <is>
          <t>HALLANDS LÄN</t>
        </is>
      </c>
      <c r="G1621" t="inlineStr">
        <is>
          <t>LAHOLM</t>
        </is>
      </c>
      <c r="I1621" t="n">
        <v>4.2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s="2" t="inlineStr"/>
    </row>
    <row r="1622" ht="15" customHeight="1">
      <c r="A1622" t="inlineStr">
        <is>
          <t>A 33600-2023</t>
        </is>
      </c>
      <c r="B1622" t="inlineStr">
        <is>
          <t>avverkningsanmälan</t>
        </is>
      </c>
      <c r="C1622" t="inlineStr">
        <is>
          <t>Föryngringsavverkning</t>
        </is>
      </c>
      <c r="D1622" s="1" t="n">
        <v>45132</v>
      </c>
      <c r="E1622" s="1" t="n">
        <v>46315</v>
      </c>
      <c r="F1622" t="inlineStr">
        <is>
          <t>HALLANDS LÄN</t>
        </is>
      </c>
      <c r="G1622" t="inlineStr">
        <is>
          <t>LAHOLM</t>
        </is>
      </c>
      <c r="I1622" t="n">
        <v>1.3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s="2" t="inlineStr"/>
    </row>
    <row r="1623" ht="15" customHeight="1">
      <c r="A1623" t="inlineStr">
        <is>
          <t>A 33610-2023</t>
        </is>
      </c>
      <c r="B1623" t="inlineStr">
        <is>
          <t>avverkningsanmälan</t>
        </is>
      </c>
      <c r="C1623" t="inlineStr">
        <is>
          <t>Föryngringsavverkning</t>
        </is>
      </c>
      <c r="D1623" s="1" t="n">
        <v>45132</v>
      </c>
      <c r="E1623" s="1" t="n">
        <v>46315</v>
      </c>
      <c r="F1623" t="inlineStr">
        <is>
          <t>HALLANDS LÄN</t>
        </is>
      </c>
      <c r="G1623" t="inlineStr">
        <is>
          <t>HYLTE</t>
        </is>
      </c>
      <c r="I1623" t="n">
        <v>3.1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s="2" t="inlineStr"/>
    </row>
    <row r="1624" ht="15" customHeight="1">
      <c r="A1624" t="inlineStr">
        <is>
          <t>A 54606-2025</t>
        </is>
      </c>
      <c r="B1624" t="inlineStr">
        <is>
          <t>avverkningsanmälan</t>
        </is>
      </c>
      <c r="C1624" t="inlineStr">
        <is>
          <t>Avverkning för annat ändamål</t>
        </is>
      </c>
      <c r="D1624" s="1" t="n">
        <v>45966</v>
      </c>
      <c r="E1624" s="1" t="n">
        <v>46315</v>
      </c>
      <c r="F1624" t="inlineStr">
        <is>
          <t>HALLANDS LÄN</t>
        </is>
      </c>
      <c r="G1624" t="inlineStr">
        <is>
          <t>FALKENBERG</t>
        </is>
      </c>
      <c r="I1624" t="n">
        <v>5.2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s="2" t="inlineStr"/>
    </row>
    <row r="1625" ht="15" customHeight="1">
      <c r="A1625" t="inlineStr">
        <is>
          <t>A 15492-2024</t>
        </is>
      </c>
      <c r="B1625" t="inlineStr">
        <is>
          <t>avverkningsanmälan</t>
        </is>
      </c>
      <c r="C1625" t="inlineStr">
        <is>
          <t>Föryngringsavverkning</t>
        </is>
      </c>
      <c r="D1625" s="1" t="n">
        <v>45401</v>
      </c>
      <c r="E1625" s="1" t="n">
        <v>46315</v>
      </c>
      <c r="F1625" t="inlineStr">
        <is>
          <t>HALLANDS LÄN</t>
        </is>
      </c>
      <c r="G1625" t="inlineStr">
        <is>
          <t>FALKENBERG</t>
        </is>
      </c>
      <c r="H1625" t="inlineStr">
        <is>
          <t>Kyrkan</t>
        </is>
      </c>
      <c r="I1625" t="n">
        <v>3.1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s="2" t="inlineStr"/>
    </row>
    <row r="1626" ht="15" customHeight="1">
      <c r="A1626" t="inlineStr">
        <is>
          <t>A 15550-2024</t>
        </is>
      </c>
      <c r="B1626" t="inlineStr">
        <is>
          <t>avverkningsanmälan</t>
        </is>
      </c>
      <c r="C1626" t="inlineStr">
        <is>
          <t>Föryngringsavverkning</t>
        </is>
      </c>
      <c r="D1626" s="1" t="n">
        <v>45401</v>
      </c>
      <c r="E1626" s="1" t="n">
        <v>46315</v>
      </c>
      <c r="F1626" t="inlineStr">
        <is>
          <t>HALLANDS LÄN</t>
        </is>
      </c>
      <c r="G1626" t="inlineStr">
        <is>
          <t>HALMSTAD</t>
        </is>
      </c>
      <c r="I1626" t="n">
        <v>6.2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s="2" t="inlineStr"/>
    </row>
    <row r="1627" ht="15" customHeight="1">
      <c r="A1627" t="inlineStr">
        <is>
          <t>A 6766-2026</t>
        </is>
      </c>
      <c r="B1627" t="inlineStr">
        <is>
          <t>avverkningsanmälan</t>
        </is>
      </c>
      <c r="C1627" t="inlineStr">
        <is>
          <t>Föryngringsavverkning</t>
        </is>
      </c>
      <c r="D1627" s="1" t="n">
        <v>46057</v>
      </c>
      <c r="E1627" s="1" t="n">
        <v>46315</v>
      </c>
      <c r="F1627" t="inlineStr">
        <is>
          <t>HALLANDS LÄN</t>
        </is>
      </c>
      <c r="G1627" t="inlineStr">
        <is>
          <t>HALMSTAD</t>
        </is>
      </c>
      <c r="I1627" t="n">
        <v>1.4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s="2" t="inlineStr"/>
    </row>
    <row r="1628" ht="15" customHeight="1">
      <c r="A1628" t="inlineStr">
        <is>
          <t>A 7015-2026</t>
        </is>
      </c>
      <c r="B1628" t="inlineStr">
        <is>
          <t>avverkningsanmälan</t>
        </is>
      </c>
      <c r="C1628" t="inlineStr">
        <is>
          <t>Föryngringsavverkning</t>
        </is>
      </c>
      <c r="D1628" s="1" t="n">
        <v>46057</v>
      </c>
      <c r="E1628" s="1" t="n">
        <v>46315</v>
      </c>
      <c r="F1628" t="inlineStr">
        <is>
          <t>HALLANDS LÄN</t>
        </is>
      </c>
      <c r="G1628" t="inlineStr">
        <is>
          <t>HYLTE</t>
        </is>
      </c>
      <c r="I1628" t="n">
        <v>2.4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s="2" t="inlineStr"/>
    </row>
    <row r="1629" ht="15" customHeight="1">
      <c r="A1629" t="inlineStr">
        <is>
          <t>A 6765-2026</t>
        </is>
      </c>
      <c r="B1629" t="inlineStr">
        <is>
          <t>avverkningsanmälan</t>
        </is>
      </c>
      <c r="C1629" t="inlineStr">
        <is>
          <t>Föryngringsavverkning</t>
        </is>
      </c>
      <c r="D1629" s="1" t="n">
        <v>46057</v>
      </c>
      <c r="E1629" s="1" t="n">
        <v>46315</v>
      </c>
      <c r="F1629" t="inlineStr">
        <is>
          <t>HALLANDS LÄN</t>
        </is>
      </c>
      <c r="G1629" t="inlineStr">
        <is>
          <t>LAHOLM</t>
        </is>
      </c>
      <c r="I1629" t="n">
        <v>4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s="2" t="inlineStr"/>
    </row>
    <row r="1630" ht="15" customHeight="1">
      <c r="A1630" t="inlineStr">
        <is>
          <t>A 28098-2023</t>
        </is>
      </c>
      <c r="B1630" t="inlineStr">
        <is>
          <t>avverkningsanmälan</t>
        </is>
      </c>
      <c r="C1630" t="inlineStr">
        <is>
          <t>Föryngringsavverkning</t>
        </is>
      </c>
      <c r="D1630" s="1" t="n">
        <v>45099</v>
      </c>
      <c r="E1630" s="1" t="n">
        <v>46315</v>
      </c>
      <c r="F1630" t="inlineStr">
        <is>
          <t>HALLANDS LÄN</t>
        </is>
      </c>
      <c r="G1630" t="inlineStr">
        <is>
          <t>HALMSTAD</t>
        </is>
      </c>
      <c r="I1630" t="n">
        <v>2.3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s="2" t="inlineStr"/>
    </row>
    <row r="1631" ht="15" customHeight="1">
      <c r="A1631" t="inlineStr">
        <is>
          <t>A 7761-2026</t>
        </is>
      </c>
      <c r="B1631" t="inlineStr">
        <is>
          <t>avverkningsanmälan</t>
        </is>
      </c>
      <c r="C1631" t="inlineStr">
        <is>
          <t>Föryngringsavverkning</t>
        </is>
      </c>
      <c r="D1631" s="1" t="n">
        <v>46062</v>
      </c>
      <c r="E1631" s="1" t="n">
        <v>46315</v>
      </c>
      <c r="F1631" t="inlineStr">
        <is>
          <t>HALLANDS LÄN</t>
        </is>
      </c>
      <c r="G1631" t="inlineStr">
        <is>
          <t>HYLTE</t>
        </is>
      </c>
      <c r="I1631" t="n">
        <v>1.3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s="2" t="inlineStr"/>
    </row>
    <row r="1632" ht="15" customHeight="1">
      <c r="A1632" t="inlineStr">
        <is>
          <t>A 23772-2022</t>
        </is>
      </c>
      <c r="B1632" t="inlineStr">
        <is>
          <t>avverkningsanmälan</t>
        </is>
      </c>
      <c r="C1632" t="inlineStr">
        <is>
          <t>Föryngringsavverkning</t>
        </is>
      </c>
      <c r="D1632" s="1" t="n">
        <v>44722</v>
      </c>
      <c r="E1632" s="1" t="n">
        <v>46315</v>
      </c>
      <c r="F1632" t="inlineStr">
        <is>
          <t>HALLANDS LÄN</t>
        </is>
      </c>
      <c r="G1632" t="inlineStr">
        <is>
          <t>HALMSTAD</t>
        </is>
      </c>
      <c r="I1632" t="n">
        <v>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s="2" t="inlineStr"/>
    </row>
    <row r="1633" ht="15" customHeight="1">
      <c r="A1633" t="inlineStr">
        <is>
          <t>A 45858-2023</t>
        </is>
      </c>
      <c r="B1633" t="inlineStr">
        <is>
          <t>avverkningsanmälan</t>
        </is>
      </c>
      <c r="C1633" t="inlineStr">
        <is>
          <t>Föryngringsavverkning</t>
        </is>
      </c>
      <c r="D1633" s="1" t="n">
        <v>45195</v>
      </c>
      <c r="E1633" s="1" t="n">
        <v>46315</v>
      </c>
      <c r="F1633" t="inlineStr">
        <is>
          <t>HALLANDS LÄN</t>
        </is>
      </c>
      <c r="G1633" t="inlineStr">
        <is>
          <t>LAHOLM</t>
        </is>
      </c>
      <c r="I1633" t="n">
        <v>0.9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s="2" t="inlineStr"/>
    </row>
    <row r="1634" ht="15" customHeight="1">
      <c r="A1634" t="inlineStr">
        <is>
          <t>A 54309-2023</t>
        </is>
      </c>
      <c r="B1634" t="inlineStr">
        <is>
          <t>avverkningsanmälan</t>
        </is>
      </c>
      <c r="C1634" t="inlineStr">
        <is>
          <t>Föryngringsavverkning</t>
        </is>
      </c>
      <c r="D1634" s="1" t="n">
        <v>45232</v>
      </c>
      <c r="E1634" s="1" t="n">
        <v>46315</v>
      </c>
      <c r="F1634" t="inlineStr">
        <is>
          <t>HALLANDS LÄN</t>
        </is>
      </c>
      <c r="G1634" t="inlineStr">
        <is>
          <t>LAHOLM</t>
        </is>
      </c>
      <c r="I1634" t="n">
        <v>3.7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s="2" t="inlineStr"/>
    </row>
    <row r="1635" ht="15" customHeight="1">
      <c r="A1635" t="inlineStr">
        <is>
          <t>A 26368-2026</t>
        </is>
      </c>
      <c r="B1635" t="inlineStr">
        <is>
          <t>avverkningsanmälan</t>
        </is>
      </c>
      <c r="C1635" t="inlineStr">
        <is>
          <t>Föryngringsavverkning</t>
        </is>
      </c>
      <c r="D1635" s="1" t="n">
        <v>46182</v>
      </c>
      <c r="E1635" s="1" t="n">
        <v>46315</v>
      </c>
      <c r="F1635" t="inlineStr">
        <is>
          <t>HALLANDS LÄN</t>
        </is>
      </c>
      <c r="G1635" t="inlineStr">
        <is>
          <t>FALKENBERG</t>
        </is>
      </c>
      <c r="I1635" t="n">
        <v>0.5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s="2" t="inlineStr"/>
    </row>
    <row r="1636" ht="15" customHeight="1">
      <c r="A1636" t="inlineStr">
        <is>
          <t>A 7753-2026</t>
        </is>
      </c>
      <c r="B1636" t="inlineStr">
        <is>
          <t>avverkningsanmälan</t>
        </is>
      </c>
      <c r="C1636" t="inlineStr">
        <is>
          <t>Föryngringsavverkning</t>
        </is>
      </c>
      <c r="D1636" s="1" t="n">
        <v>46062</v>
      </c>
      <c r="E1636" s="1" t="n">
        <v>46315</v>
      </c>
      <c r="F1636" t="inlineStr">
        <is>
          <t>HALLANDS LÄN</t>
        </is>
      </c>
      <c r="G1636" t="inlineStr">
        <is>
          <t>HYLTE</t>
        </is>
      </c>
      <c r="I1636" t="n">
        <v>1.6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s="2" t="inlineStr"/>
    </row>
    <row r="1637" ht="15" customHeight="1">
      <c r="A1637" t="inlineStr">
        <is>
          <t>A 7538-2026</t>
        </is>
      </c>
      <c r="B1637" t="inlineStr">
        <is>
          <t>avverkningsanmälan</t>
        </is>
      </c>
      <c r="C1637" t="inlineStr">
        <is>
          <t>Föryngringsavverkning</t>
        </is>
      </c>
      <c r="D1637" s="1" t="n">
        <v>46059</v>
      </c>
      <c r="E1637" s="1" t="n">
        <v>46315</v>
      </c>
      <c r="F1637" t="inlineStr">
        <is>
          <t>HALLANDS LÄN</t>
        </is>
      </c>
      <c r="G1637" t="inlineStr">
        <is>
          <t>HALMSTAD</t>
        </is>
      </c>
      <c r="I1637" t="n">
        <v>0.6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s="2" t="inlineStr"/>
    </row>
    <row r="1638" ht="15" customHeight="1">
      <c r="A1638" t="inlineStr">
        <is>
          <t>A 34570-2023</t>
        </is>
      </c>
      <c r="B1638" t="inlineStr">
        <is>
          <t>avverkningsanmälan</t>
        </is>
      </c>
      <c r="C1638" t="inlineStr">
        <is>
          <t>Föryngringsavverkning</t>
        </is>
      </c>
      <c r="D1638" s="1" t="n">
        <v>45140</v>
      </c>
      <c r="E1638" s="1" t="n">
        <v>46315</v>
      </c>
      <c r="F1638" t="inlineStr">
        <is>
          <t>HALLANDS LÄN</t>
        </is>
      </c>
      <c r="G1638" t="inlineStr">
        <is>
          <t>VARBERG</t>
        </is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s="2" t="inlineStr"/>
    </row>
    <row r="1639" ht="15" customHeight="1">
      <c r="A1639" t="inlineStr">
        <is>
          <t>A 34571-2023</t>
        </is>
      </c>
      <c r="B1639" t="inlineStr">
        <is>
          <t>avverkningsanmälan</t>
        </is>
      </c>
      <c r="C1639" t="inlineStr">
        <is>
          <t>Föryngringsavverkning</t>
        </is>
      </c>
      <c r="D1639" s="1" t="n">
        <v>45140</v>
      </c>
      <c r="E1639" s="1" t="n">
        <v>46315</v>
      </c>
      <c r="F1639" t="inlineStr">
        <is>
          <t>HALLANDS LÄN</t>
        </is>
      </c>
      <c r="G1639" t="inlineStr">
        <is>
          <t>VARBERG</t>
        </is>
      </c>
      <c r="I1639" t="n">
        <v>0.7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s="2" t="inlineStr"/>
    </row>
    <row r="1640" ht="15" customHeight="1">
      <c r="A1640" t="inlineStr">
        <is>
          <t>A 42189-2023</t>
        </is>
      </c>
      <c r="B1640" t="inlineStr">
        <is>
          <t>avverkningsanmälan</t>
        </is>
      </c>
      <c r="C1640" t="inlineStr">
        <is>
          <t>Föryngringsavverkning</t>
        </is>
      </c>
      <c r="D1640" s="1" t="n">
        <v>45179</v>
      </c>
      <c r="E1640" s="1" t="n">
        <v>46315</v>
      </c>
      <c r="F1640" t="inlineStr">
        <is>
          <t>HALLANDS LÄN</t>
        </is>
      </c>
      <c r="G1640" t="inlineStr">
        <is>
          <t>LAHOLM</t>
        </is>
      </c>
      <c r="I1640" t="n">
        <v>3.2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s="2" t="inlineStr"/>
    </row>
    <row r="1641" ht="15" customHeight="1">
      <c r="A1641" t="inlineStr">
        <is>
          <t>A 7428-2026</t>
        </is>
      </c>
      <c r="B1641" t="inlineStr">
        <is>
          <t>avverkningsanmälan</t>
        </is>
      </c>
      <c r="C1641" t="inlineStr">
        <is>
          <t>Föryngringsavverkning</t>
        </is>
      </c>
      <c r="D1641" s="1" t="n">
        <v>46059</v>
      </c>
      <c r="E1641" s="1" t="n">
        <v>46315</v>
      </c>
      <c r="F1641" t="inlineStr">
        <is>
          <t>HALLANDS LÄN</t>
        </is>
      </c>
      <c r="G1641" t="inlineStr">
        <is>
          <t>HALMSTAD</t>
        </is>
      </c>
      <c r="I1641" t="n">
        <v>1.2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s="2" t="inlineStr"/>
    </row>
    <row r="1642" ht="15" customHeight="1">
      <c r="A1642" t="inlineStr">
        <is>
          <t>A 41012-2023</t>
        </is>
      </c>
      <c r="B1642" t="inlineStr">
        <is>
          <t>avverkningsanmälan</t>
        </is>
      </c>
      <c r="C1642" t="inlineStr">
        <is>
          <t>Föryngringsavverkning</t>
        </is>
      </c>
      <c r="D1642" s="1" t="n">
        <v>45173</v>
      </c>
      <c r="E1642" s="1" t="n">
        <v>46315</v>
      </c>
      <c r="F1642" t="inlineStr">
        <is>
          <t>HALLANDS LÄN</t>
        </is>
      </c>
      <c r="G1642" t="inlineStr">
        <is>
          <t>HYLTE</t>
        </is>
      </c>
      <c r="I1642" t="n">
        <v>3.3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s="2" t="inlineStr"/>
    </row>
    <row r="1643" ht="15" customHeight="1">
      <c r="A1643" t="inlineStr">
        <is>
          <t>A 8159-2026</t>
        </is>
      </c>
      <c r="B1643" t="inlineStr">
        <is>
          <t>avverkningsanmälan</t>
        </is>
      </c>
      <c r="C1643" t="inlineStr">
        <is>
          <t>Föryngringsavverkning</t>
        </is>
      </c>
      <c r="D1643" s="1" t="n">
        <v>46064</v>
      </c>
      <c r="E1643" s="1" t="n">
        <v>46315</v>
      </c>
      <c r="F1643" t="inlineStr">
        <is>
          <t>HALLANDS LÄN</t>
        </is>
      </c>
      <c r="G1643" t="inlineStr">
        <is>
          <t>HYLTE</t>
        </is>
      </c>
      <c r="I1643" t="n">
        <v>3.7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s="2" t="inlineStr"/>
    </row>
    <row r="1644" ht="15" customHeight="1">
      <c r="A1644" t="inlineStr">
        <is>
          <t>A 4729-2025</t>
        </is>
      </c>
      <c r="B1644" t="inlineStr">
        <is>
          <t>avverkningsanmälan</t>
        </is>
      </c>
      <c r="C1644" t="inlineStr">
        <is>
          <t>Föryngringsavverkning</t>
        </is>
      </c>
      <c r="D1644" s="1" t="n">
        <v>45688</v>
      </c>
      <c r="E1644" s="1" t="n">
        <v>46315</v>
      </c>
      <c r="F1644" t="inlineStr">
        <is>
          <t>HALLANDS LÄN</t>
        </is>
      </c>
      <c r="G1644" t="inlineStr">
        <is>
          <t>LAHOLM</t>
        </is>
      </c>
      <c r="I1644" t="n">
        <v>3.4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s="2" t="inlineStr"/>
    </row>
    <row r="1645" ht="15" customHeight="1">
      <c r="A1645" t="inlineStr">
        <is>
          <t>A 36705-2023</t>
        </is>
      </c>
      <c r="B1645" t="inlineStr">
        <is>
          <t>avverkningsanmälan</t>
        </is>
      </c>
      <c r="C1645" t="inlineStr">
        <is>
          <t>Föryngringsavverkning</t>
        </is>
      </c>
      <c r="D1645" s="1" t="n">
        <v>45153</v>
      </c>
      <c r="E1645" s="1" t="n">
        <v>46315</v>
      </c>
      <c r="F1645" t="inlineStr">
        <is>
          <t>HALLANDS LÄN</t>
        </is>
      </c>
      <c r="G1645" t="inlineStr">
        <is>
          <t>HYLTE</t>
        </is>
      </c>
      <c r="I1645" t="n">
        <v>3.1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s="2" t="inlineStr"/>
    </row>
    <row r="1646" ht="15" customHeight="1">
      <c r="A1646" t="inlineStr">
        <is>
          <t>A 20352-2024</t>
        </is>
      </c>
      <c r="B1646" t="inlineStr">
        <is>
          <t>avverkningsanmälan</t>
        </is>
      </c>
      <c r="C1646" t="inlineStr">
        <is>
          <t>Föryngringsavverkning</t>
        </is>
      </c>
      <c r="D1646" s="1" t="n">
        <v>45435</v>
      </c>
      <c r="E1646" s="1" t="n">
        <v>46315</v>
      </c>
      <c r="F1646" t="inlineStr">
        <is>
          <t>HALLANDS LÄN</t>
        </is>
      </c>
      <c r="G1646" t="inlineStr">
        <is>
          <t>FALKENBERG</t>
        </is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s="2" t="inlineStr"/>
    </row>
    <row r="1647" ht="15" customHeight="1">
      <c r="A1647" t="inlineStr">
        <is>
          <t>A 26798-2023</t>
        </is>
      </c>
      <c r="B1647" t="inlineStr">
        <is>
          <t>avverkningsanmälan</t>
        </is>
      </c>
      <c r="C1647" t="inlineStr">
        <is>
          <t>Föryngringsavverkning</t>
        </is>
      </c>
      <c r="D1647" s="1" t="n">
        <v>45093</v>
      </c>
      <c r="E1647" s="1" t="n">
        <v>46315</v>
      </c>
      <c r="F1647" t="inlineStr">
        <is>
          <t>HALLANDS LÄN</t>
        </is>
      </c>
      <c r="G1647" t="inlineStr">
        <is>
          <t>LAHOLM</t>
        </is>
      </c>
      <c r="I1647" t="n">
        <v>1.7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s="2" t="inlineStr"/>
    </row>
    <row r="1648" ht="15" customHeight="1">
      <c r="A1648" t="inlineStr">
        <is>
          <t>A 41289-2023</t>
        </is>
      </c>
      <c r="B1648" t="inlineStr">
        <is>
          <t>avverkningsanmälan</t>
        </is>
      </c>
      <c r="C1648" t="inlineStr">
        <is>
          <t>Föryngringsavverkning</t>
        </is>
      </c>
      <c r="D1648" s="1" t="n">
        <v>45174</v>
      </c>
      <c r="E1648" s="1" t="n">
        <v>46315</v>
      </c>
      <c r="F1648" t="inlineStr">
        <is>
          <t>HALLANDS LÄN</t>
        </is>
      </c>
      <c r="G1648" t="inlineStr">
        <is>
          <t>LAHOLM</t>
        </is>
      </c>
      <c r="I1648" t="n">
        <v>0.4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s="2" t="inlineStr"/>
    </row>
    <row r="1649" ht="15" customHeight="1">
      <c r="A1649" t="inlineStr">
        <is>
          <t>A 24659-2023</t>
        </is>
      </c>
      <c r="B1649" t="inlineStr">
        <is>
          <t>avverkningsanmälan</t>
        </is>
      </c>
      <c r="C1649" t="inlineStr">
        <is>
          <t>Föryngringsavverkning</t>
        </is>
      </c>
      <c r="D1649" s="1" t="n">
        <v>45084</v>
      </c>
      <c r="E1649" s="1" t="n">
        <v>46315</v>
      </c>
      <c r="F1649" t="inlineStr">
        <is>
          <t>HALLANDS LÄN</t>
        </is>
      </c>
      <c r="G1649" t="inlineStr">
        <is>
          <t>HYLTE</t>
        </is>
      </c>
      <c r="I1649" t="n">
        <v>2.3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s="2" t="inlineStr"/>
    </row>
    <row r="1650" ht="15" customHeight="1">
      <c r="A1650" t="inlineStr">
        <is>
          <t>A 59422-2023</t>
        </is>
      </c>
      <c r="B1650" t="inlineStr">
        <is>
          <t>avverkningsanmälan</t>
        </is>
      </c>
      <c r="C1650" t="inlineStr">
        <is>
          <t>Föryngringsavverkning</t>
        </is>
      </c>
      <c r="D1650" s="1" t="n">
        <v>45254</v>
      </c>
      <c r="E1650" s="1" t="n">
        <v>46315</v>
      </c>
      <c r="F1650" t="inlineStr">
        <is>
          <t>HALLANDS LÄN</t>
        </is>
      </c>
      <c r="G1650" t="inlineStr">
        <is>
          <t>HYLTE</t>
        </is>
      </c>
      <c r="I1650" t="n">
        <v>1.7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s="2" t="inlineStr"/>
    </row>
    <row r="1651" ht="15" customHeight="1">
      <c r="A1651" t="inlineStr">
        <is>
          <t>A 8743-2026</t>
        </is>
      </c>
      <c r="B1651" t="inlineStr">
        <is>
          <t>avverkningsanmälan</t>
        </is>
      </c>
      <c r="C1651" t="inlineStr">
        <is>
          <t>Föryngringsavverkning</t>
        </is>
      </c>
      <c r="D1651" s="1" t="n">
        <v>46066</v>
      </c>
      <c r="E1651" s="1" t="n">
        <v>46315</v>
      </c>
      <c r="F1651" t="inlineStr">
        <is>
          <t>HALLANDS LÄN</t>
        </is>
      </c>
      <c r="G1651" t="inlineStr">
        <is>
          <t>KUNGSBACKA</t>
        </is>
      </c>
      <c r="H1651" t="inlineStr">
        <is>
          <t>Kommuner</t>
        </is>
      </c>
      <c r="I1651" t="n">
        <v>5.3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s="2" t="inlineStr"/>
    </row>
    <row r="1652" ht="15" customHeight="1">
      <c r="A1652" t="inlineStr">
        <is>
          <t>A 21992-2022</t>
        </is>
      </c>
      <c r="B1652" t="inlineStr">
        <is>
          <t>avverkningsanmälan</t>
        </is>
      </c>
      <c r="C1652" t="inlineStr">
        <is>
          <t>Föryngringsavverkning</t>
        </is>
      </c>
      <c r="D1652" s="1" t="n">
        <v>44711</v>
      </c>
      <c r="E1652" s="1" t="n">
        <v>46315</v>
      </c>
      <c r="F1652" t="inlineStr">
        <is>
          <t>HALLANDS LÄN</t>
        </is>
      </c>
      <c r="G1652" t="inlineStr">
        <is>
          <t>VARBERG</t>
        </is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s="2" t="inlineStr"/>
    </row>
    <row r="1653" ht="15" customHeight="1">
      <c r="A1653" t="inlineStr">
        <is>
          <t>A 48859-2023</t>
        </is>
      </c>
      <c r="B1653" t="inlineStr">
        <is>
          <t>avverkningsanmälan</t>
        </is>
      </c>
      <c r="C1653" t="inlineStr">
        <is>
          <t>Föryngringsavverkning</t>
        </is>
      </c>
      <c r="D1653" s="1" t="n">
        <v>45209</v>
      </c>
      <c r="E1653" s="1" t="n">
        <v>46315</v>
      </c>
      <c r="F1653" t="inlineStr">
        <is>
          <t>HALLANDS LÄN</t>
        </is>
      </c>
      <c r="G1653" t="inlineStr">
        <is>
          <t>HALMSTAD</t>
        </is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s="2" t="inlineStr"/>
    </row>
    <row r="1654" ht="15" customHeight="1">
      <c r="A1654" t="inlineStr">
        <is>
          <t>A 49393-2023</t>
        </is>
      </c>
      <c r="B1654" t="inlineStr">
        <is>
          <t>avverkningsanmälan</t>
        </is>
      </c>
      <c r="C1654" t="inlineStr">
        <is>
          <t>Föryngringsavverkning</t>
        </is>
      </c>
      <c r="D1654" s="1" t="n">
        <v>45211</v>
      </c>
      <c r="E1654" s="1" t="n">
        <v>46315</v>
      </c>
      <c r="F1654" t="inlineStr">
        <is>
          <t>HALLANDS LÄN</t>
        </is>
      </c>
      <c r="G1654" t="inlineStr">
        <is>
          <t>HYLTE</t>
        </is>
      </c>
      <c r="I1654" t="n">
        <v>0.7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s="2" t="inlineStr"/>
    </row>
    <row r="1655" ht="15" customHeight="1">
      <c r="A1655" t="inlineStr">
        <is>
          <t>A 61075-2023</t>
        </is>
      </c>
      <c r="B1655" t="inlineStr">
        <is>
          <t>avverkningsanmälan</t>
        </is>
      </c>
      <c r="C1655" t="inlineStr">
        <is>
          <t>Avverkning för annat ändamål</t>
        </is>
      </c>
      <c r="D1655" s="1" t="n">
        <v>45261</v>
      </c>
      <c r="E1655" s="1" t="n">
        <v>46315</v>
      </c>
      <c r="F1655" t="inlineStr">
        <is>
          <t>HALLANDS LÄN</t>
        </is>
      </c>
      <c r="G1655" t="inlineStr">
        <is>
          <t>VARBERG</t>
        </is>
      </c>
      <c r="I1655" t="n">
        <v>0.6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s="2" t="inlineStr"/>
    </row>
    <row r="1656" ht="15" customHeight="1">
      <c r="A1656" t="inlineStr">
        <is>
          <t>A 8380-2026</t>
        </is>
      </c>
      <c r="B1656" t="inlineStr">
        <is>
          <t>avverkningsanmälan</t>
        </is>
      </c>
      <c r="C1656" t="inlineStr">
        <is>
          <t>Föryngringsavverkning</t>
        </is>
      </c>
      <c r="D1656" s="1" t="n">
        <v>46064</v>
      </c>
      <c r="E1656" s="1" t="n">
        <v>46315</v>
      </c>
      <c r="F1656" t="inlineStr">
        <is>
          <t>HALLANDS LÄN</t>
        </is>
      </c>
      <c r="G1656" t="inlineStr">
        <is>
          <t>VARBERG</t>
        </is>
      </c>
      <c r="I1656" t="n">
        <v>3.8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s="2" t="inlineStr"/>
    </row>
    <row r="1657" ht="15" customHeight="1">
      <c r="A1657" t="inlineStr">
        <is>
          <t>A 8617-2026</t>
        </is>
      </c>
      <c r="B1657" t="inlineStr">
        <is>
          <t>avverkningsanmälan</t>
        </is>
      </c>
      <c r="C1657" t="inlineStr">
        <is>
          <t>Föryngringsavverkning</t>
        </is>
      </c>
      <c r="D1657" s="1" t="n">
        <v>46066</v>
      </c>
      <c r="E1657" s="1" t="n">
        <v>46315</v>
      </c>
      <c r="F1657" t="inlineStr">
        <is>
          <t>HALLANDS LÄN</t>
        </is>
      </c>
      <c r="G1657" t="inlineStr">
        <is>
          <t>HALMSTAD</t>
        </is>
      </c>
      <c r="I1657" t="n">
        <v>2.5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s="2" t="inlineStr"/>
    </row>
    <row r="1658" ht="15" customHeight="1">
      <c r="A1658" t="inlineStr">
        <is>
          <t>A 43399-2024</t>
        </is>
      </c>
      <c r="B1658" t="inlineStr">
        <is>
          <t>avverkningsanmälan</t>
        </is>
      </c>
      <c r="C1658" t="inlineStr">
        <is>
          <t>Föryngringsavverkning</t>
        </is>
      </c>
      <c r="D1658" s="1" t="n">
        <v>45568</v>
      </c>
      <c r="E1658" s="1" t="n">
        <v>46315</v>
      </c>
      <c r="F1658" t="inlineStr">
        <is>
          <t>HALLANDS LÄN</t>
        </is>
      </c>
      <c r="G1658" t="inlineStr">
        <is>
          <t>HYLTE</t>
        </is>
      </c>
      <c r="I1658" t="n">
        <v>0.9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s="2" t="inlineStr"/>
    </row>
    <row r="1659" ht="15" customHeight="1">
      <c r="A1659" t="inlineStr">
        <is>
          <t>A 12634-2025</t>
        </is>
      </c>
      <c r="B1659" t="inlineStr">
        <is>
          <t>avverkningsanmälan</t>
        </is>
      </c>
      <c r="C1659" t="inlineStr">
        <is>
          <t>Föryngringsavverkning</t>
        </is>
      </c>
      <c r="D1659" s="1" t="n">
        <v>45733</v>
      </c>
      <c r="E1659" s="1" t="n">
        <v>46315</v>
      </c>
      <c r="F1659" t="inlineStr">
        <is>
          <t>HALLANDS LÄN</t>
        </is>
      </c>
      <c r="G1659" t="inlineStr">
        <is>
          <t>HALMSTAD</t>
        </is>
      </c>
      <c r="I1659" t="n">
        <v>1.2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s="2" t="inlineStr"/>
    </row>
    <row r="1660" ht="15" customHeight="1">
      <c r="A1660" t="inlineStr">
        <is>
          <t>A 8616-2026</t>
        </is>
      </c>
      <c r="B1660" t="inlineStr">
        <is>
          <t>avverkningsanmälan</t>
        </is>
      </c>
      <c r="C1660" t="inlineStr">
        <is>
          <t>Föryngringsavverkning</t>
        </is>
      </c>
      <c r="D1660" s="1" t="n">
        <v>46066</v>
      </c>
      <c r="E1660" s="1" t="n">
        <v>46315</v>
      </c>
      <c r="F1660" t="inlineStr">
        <is>
          <t>HALLANDS LÄN</t>
        </is>
      </c>
      <c r="G1660" t="inlineStr">
        <is>
          <t>HALMSTAD</t>
        </is>
      </c>
      <c r="I1660" t="n">
        <v>1.6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s="2" t="inlineStr"/>
    </row>
    <row r="1661" ht="15" customHeight="1">
      <c r="A1661" t="inlineStr">
        <is>
          <t>A 8520-2026</t>
        </is>
      </c>
      <c r="B1661" t="inlineStr">
        <is>
          <t>avverkningsanmälan</t>
        </is>
      </c>
      <c r="C1661" t="inlineStr">
        <is>
          <t>Föryngringsavverkning</t>
        </is>
      </c>
      <c r="D1661" s="1" t="n">
        <v>46065</v>
      </c>
      <c r="E1661" s="1" t="n">
        <v>46315</v>
      </c>
      <c r="F1661" t="inlineStr">
        <is>
          <t>HALLANDS LÄN</t>
        </is>
      </c>
      <c r="G1661" t="inlineStr">
        <is>
          <t>FALKENBERG</t>
        </is>
      </c>
      <c r="I1661" t="n">
        <v>1.9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s="2" t="inlineStr"/>
    </row>
    <row r="1662" ht="15" customHeight="1">
      <c r="A1662" t="inlineStr">
        <is>
          <t>A 8593-2026</t>
        </is>
      </c>
      <c r="B1662" t="inlineStr">
        <is>
          <t>avverkningsanmälan</t>
        </is>
      </c>
      <c r="C1662" t="inlineStr">
        <is>
          <t>Föryngringsavverkning</t>
        </is>
      </c>
      <c r="D1662" s="1" t="n">
        <v>46065</v>
      </c>
      <c r="E1662" s="1" t="n">
        <v>46315</v>
      </c>
      <c r="F1662" t="inlineStr">
        <is>
          <t>HALLANDS LÄN</t>
        </is>
      </c>
      <c r="G1662" t="inlineStr">
        <is>
          <t>HYLTE</t>
        </is>
      </c>
      <c r="I1662" t="n">
        <v>3.5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s="2" t="inlineStr"/>
    </row>
    <row r="1663" ht="15" customHeight="1">
      <c r="A1663" t="inlineStr">
        <is>
          <t>A 1651-2025</t>
        </is>
      </c>
      <c r="B1663" t="inlineStr">
        <is>
          <t>avverkningsanmälan</t>
        </is>
      </c>
      <c r="C1663" t="inlineStr">
        <is>
          <t>Föryngringsavverkning</t>
        </is>
      </c>
      <c r="D1663" s="1" t="n">
        <v>45670</v>
      </c>
      <c r="E1663" s="1" t="n">
        <v>46315</v>
      </c>
      <c r="F1663" t="inlineStr">
        <is>
          <t>HALLANDS LÄN</t>
        </is>
      </c>
      <c r="G1663" t="inlineStr">
        <is>
          <t>LAHOLM</t>
        </is>
      </c>
      <c r="I1663" t="n">
        <v>7.5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s="2" t="inlineStr"/>
    </row>
    <row r="1664" ht="15" customHeight="1">
      <c r="A1664" t="inlineStr">
        <is>
          <t>A 26202-2026</t>
        </is>
      </c>
      <c r="B1664" t="inlineStr">
        <is>
          <t>avverkningsanmälan</t>
        </is>
      </c>
      <c r="C1664" t="inlineStr">
        <is>
          <t>Föryngringsavverkning</t>
        </is>
      </c>
      <c r="D1664" s="1" t="n">
        <v>46182</v>
      </c>
      <c r="E1664" s="1" t="n">
        <v>46315</v>
      </c>
      <c r="F1664" t="inlineStr">
        <is>
          <t>HALLANDS LÄN</t>
        </is>
      </c>
      <c r="G1664" t="inlineStr">
        <is>
          <t>VARBERG</t>
        </is>
      </c>
      <c r="I1664" t="n">
        <v>0.9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s="2" t="inlineStr"/>
    </row>
    <row r="1665" ht="15" customHeight="1">
      <c r="A1665" t="inlineStr">
        <is>
          <t>A 43264-2023</t>
        </is>
      </c>
      <c r="B1665" t="inlineStr">
        <is>
          <t>avverkningsanmälan</t>
        </is>
      </c>
      <c r="C1665" t="inlineStr">
        <is>
          <t>Föryngringsavverkning</t>
        </is>
      </c>
      <c r="D1665" s="1" t="n">
        <v>45183</v>
      </c>
      <c r="E1665" s="1" t="n">
        <v>46315</v>
      </c>
      <c r="F1665" t="inlineStr">
        <is>
          <t>HALLANDS LÄN</t>
        </is>
      </c>
      <c r="G1665" t="inlineStr">
        <is>
          <t>HALMSTAD</t>
        </is>
      </c>
      <c r="I1665" t="n">
        <v>2.3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s="2" t="inlineStr"/>
    </row>
    <row r="1666" ht="15" customHeight="1">
      <c r="A1666" t="inlineStr">
        <is>
          <t>A 17373-2024</t>
        </is>
      </c>
      <c r="B1666" t="inlineStr">
        <is>
          <t>avverkningsanmälan</t>
        </is>
      </c>
      <c r="C1666" t="inlineStr">
        <is>
          <t>Föryngringsavverkning</t>
        </is>
      </c>
      <c r="D1666" s="1" t="n">
        <v>45414</v>
      </c>
      <c r="E1666" s="1" t="n">
        <v>46315</v>
      </c>
      <c r="F1666" t="inlineStr">
        <is>
          <t>HALLANDS LÄN</t>
        </is>
      </c>
      <c r="G1666" t="inlineStr">
        <is>
          <t>FALKENBERG</t>
        </is>
      </c>
      <c r="H1666" t="inlineStr">
        <is>
          <t>Kyrkan</t>
        </is>
      </c>
      <c r="I1666" t="n">
        <v>0.9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s="2" t="inlineStr"/>
    </row>
    <row r="1667" ht="15" customHeight="1">
      <c r="A1667" t="inlineStr">
        <is>
          <t>A 13828-2022</t>
        </is>
      </c>
      <c r="B1667" t="inlineStr">
        <is>
          <t>avverkningsanmälan</t>
        </is>
      </c>
      <c r="C1667" t="inlineStr">
        <is>
          <t>Föryngringsavverkning</t>
        </is>
      </c>
      <c r="D1667" s="1" t="n">
        <v>44649</v>
      </c>
      <c r="E1667" s="1" t="n">
        <v>46315</v>
      </c>
      <c r="F1667" t="inlineStr">
        <is>
          <t>HALLANDS LÄN</t>
        </is>
      </c>
      <c r="G1667" t="inlineStr">
        <is>
          <t>VARBERG</t>
        </is>
      </c>
      <c r="I1667" t="n">
        <v>2.8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s="2" t="inlineStr"/>
    </row>
    <row r="1668" ht="15" customHeight="1">
      <c r="A1668" t="inlineStr">
        <is>
          <t>A 38010-2022</t>
        </is>
      </c>
      <c r="B1668" t="inlineStr">
        <is>
          <t>avverkningsanmälan</t>
        </is>
      </c>
      <c r="C1668" t="inlineStr">
        <is>
          <t>Föryngringsavverkning</t>
        </is>
      </c>
      <c r="D1668" s="1" t="n">
        <v>44811</v>
      </c>
      <c r="E1668" s="1" t="n">
        <v>46315</v>
      </c>
      <c r="F1668" t="inlineStr">
        <is>
          <t>HALLANDS LÄN</t>
        </is>
      </c>
      <c r="G1668" t="inlineStr">
        <is>
          <t>FALKENBERG</t>
        </is>
      </c>
      <c r="I1668" t="n">
        <v>0.8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s="2" t="inlineStr"/>
    </row>
    <row r="1669" ht="15" customHeight="1">
      <c r="A1669" t="inlineStr">
        <is>
          <t>A 21432-2024</t>
        </is>
      </c>
      <c r="B1669" t="inlineStr">
        <is>
          <t>avverkningsanmälan</t>
        </is>
      </c>
      <c r="C1669" t="inlineStr">
        <is>
          <t>Föryngringsavverkning</t>
        </is>
      </c>
      <c r="D1669" s="1" t="n">
        <v>45441</v>
      </c>
      <c r="E1669" s="1" t="n">
        <v>46315</v>
      </c>
      <c r="F1669" t="inlineStr">
        <is>
          <t>HALLANDS LÄN</t>
        </is>
      </c>
      <c r="G1669" t="inlineStr">
        <is>
          <t>HYLTE</t>
        </is>
      </c>
      <c r="H1669" t="inlineStr">
        <is>
          <t>Kyrkan</t>
        </is>
      </c>
      <c r="I1669" t="n">
        <v>0.8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s="2" t="inlineStr"/>
    </row>
    <row r="1670" ht="15" customHeight="1">
      <c r="A1670" t="inlineStr">
        <is>
          <t>A 9249-2026</t>
        </is>
      </c>
      <c r="B1670" t="inlineStr">
        <is>
          <t>avverkningsanmälan</t>
        </is>
      </c>
      <c r="C1670" t="inlineStr">
        <is>
          <t>Föryngringsavverkning</t>
        </is>
      </c>
      <c r="D1670" s="1" t="n">
        <v>46070</v>
      </c>
      <c r="E1670" s="1" t="n">
        <v>46315</v>
      </c>
      <c r="F1670" t="inlineStr">
        <is>
          <t>HALLANDS LÄN</t>
        </is>
      </c>
      <c r="G1670" t="inlineStr">
        <is>
          <t>FALKENBERG</t>
        </is>
      </c>
      <c r="I1670" t="n">
        <v>0.5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s="2" t="inlineStr"/>
    </row>
    <row r="1671" ht="15" customHeight="1">
      <c r="A1671" t="inlineStr">
        <is>
          <t>A 9056-2026</t>
        </is>
      </c>
      <c r="B1671" t="inlineStr">
        <is>
          <t>avverkningsanmälan</t>
        </is>
      </c>
      <c r="C1671" t="inlineStr">
        <is>
          <t>Föryngringsavverkning</t>
        </is>
      </c>
      <c r="D1671" s="1" t="n">
        <v>46069</v>
      </c>
      <c r="E1671" s="1" t="n">
        <v>46315</v>
      </c>
      <c r="F1671" t="inlineStr">
        <is>
          <t>HALLANDS LÄN</t>
        </is>
      </c>
      <c r="G1671" t="inlineStr">
        <is>
          <t>FALKENBERG</t>
        </is>
      </c>
      <c r="I1671" t="n">
        <v>0.7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s="2" t="inlineStr"/>
    </row>
    <row r="1672" ht="15" customHeight="1">
      <c r="A1672" t="inlineStr">
        <is>
          <t>A 24048-2024</t>
        </is>
      </c>
      <c r="B1672" t="inlineStr">
        <is>
          <t>avverkningsanmälan</t>
        </is>
      </c>
      <c r="C1672" t="inlineStr">
        <is>
          <t>Föryngringsavverkning</t>
        </is>
      </c>
      <c r="D1672" s="1" t="n">
        <v>45456</v>
      </c>
      <c r="E1672" s="1" t="n">
        <v>46315</v>
      </c>
      <c r="F1672" t="inlineStr">
        <is>
          <t>HALLANDS LÄN</t>
        </is>
      </c>
      <c r="G1672" t="inlineStr">
        <is>
          <t>HYLTE</t>
        </is>
      </c>
      <c r="I1672" t="n">
        <v>2.2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s="2" t="inlineStr"/>
    </row>
    <row r="1673" ht="15" customHeight="1">
      <c r="A1673" t="inlineStr">
        <is>
          <t>A 27223-2026</t>
        </is>
      </c>
      <c r="B1673" t="inlineStr">
        <is>
          <t>avverkningsanmälan</t>
        </is>
      </c>
      <c r="C1673" t="inlineStr">
        <is>
          <t>Avverkning för annat ändamål</t>
        </is>
      </c>
      <c r="D1673" s="1" t="n">
        <v>46184</v>
      </c>
      <c r="E1673" s="1" t="n">
        <v>46315</v>
      </c>
      <c r="F1673" t="inlineStr">
        <is>
          <t>HALLANDS LÄN</t>
        </is>
      </c>
      <c r="G1673" t="inlineStr">
        <is>
          <t>LAHOLM</t>
        </is>
      </c>
      <c r="I1673" t="n">
        <v>0.5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s="2" t="inlineStr"/>
    </row>
    <row r="1674" ht="15" customHeight="1">
      <c r="A1674" t="inlineStr">
        <is>
          <t>A 9329-2026</t>
        </is>
      </c>
      <c r="B1674" t="inlineStr">
        <is>
          <t>avverkningsanmälan</t>
        </is>
      </c>
      <c r="C1674" t="inlineStr">
        <is>
          <t>Föryngringsavverkning</t>
        </is>
      </c>
      <c r="D1674" s="1" t="n">
        <v>46070</v>
      </c>
      <c r="E1674" s="1" t="n">
        <v>46315</v>
      </c>
      <c r="F1674" t="inlineStr">
        <is>
          <t>HALLANDS LÄN</t>
        </is>
      </c>
      <c r="G1674" t="inlineStr">
        <is>
          <t>HYLTE</t>
        </is>
      </c>
      <c r="I1674" t="n">
        <v>0.5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s="2" t="inlineStr"/>
    </row>
    <row r="1675" ht="15" customHeight="1">
      <c r="A1675" t="inlineStr">
        <is>
          <t>A 35376-2024</t>
        </is>
      </c>
      <c r="B1675" t="inlineStr">
        <is>
          <t>avverkningsanmälan</t>
        </is>
      </c>
      <c r="C1675" t="inlineStr">
        <is>
          <t>Föryngringsavverkning</t>
        </is>
      </c>
      <c r="D1675" s="1" t="n">
        <v>45531</v>
      </c>
      <c r="E1675" s="1" t="n">
        <v>46315</v>
      </c>
      <c r="F1675" t="inlineStr">
        <is>
          <t>HALLANDS LÄN</t>
        </is>
      </c>
      <c r="G1675" t="inlineStr">
        <is>
          <t>HALMSTAD</t>
        </is>
      </c>
      <c r="I1675" t="n">
        <v>2.8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s="2" t="inlineStr"/>
    </row>
    <row r="1676" ht="15" customHeight="1">
      <c r="A1676" t="inlineStr">
        <is>
          <t>A 44087-2023</t>
        </is>
      </c>
      <c r="B1676" t="inlineStr">
        <is>
          <t>avverkningsanmälan</t>
        </is>
      </c>
      <c r="C1676" t="inlineStr">
        <is>
          <t>Föryngringsavverkning</t>
        </is>
      </c>
      <c r="D1676" s="1" t="n">
        <v>45188</v>
      </c>
      <c r="E1676" s="1" t="n">
        <v>46315</v>
      </c>
      <c r="F1676" t="inlineStr">
        <is>
          <t>HALLANDS LÄN</t>
        </is>
      </c>
      <c r="G1676" t="inlineStr">
        <is>
          <t>FALKENBERG</t>
        </is>
      </c>
      <c r="I1676" t="n">
        <v>1.1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s="2" t="inlineStr"/>
    </row>
    <row r="1677" ht="15" customHeight="1">
      <c r="A1677" t="inlineStr">
        <is>
          <t>A 26373-2026</t>
        </is>
      </c>
      <c r="B1677" t="inlineStr">
        <is>
          <t>avverkningsanmälan</t>
        </is>
      </c>
      <c r="C1677" t="inlineStr">
        <is>
          <t>Föryngringsavverkning</t>
        </is>
      </c>
      <c r="D1677" s="1" t="n">
        <v>46183</v>
      </c>
      <c r="E1677" s="1" t="n">
        <v>46315</v>
      </c>
      <c r="F1677" t="inlineStr">
        <is>
          <t>HALLANDS LÄN</t>
        </is>
      </c>
      <c r="G1677" t="inlineStr">
        <is>
          <t>HYLTE</t>
        </is>
      </c>
      <c r="I1677" t="n">
        <v>2.3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s="2" t="inlineStr"/>
    </row>
    <row r="1678" ht="15" customHeight="1">
      <c r="A1678" t="inlineStr">
        <is>
          <t>A 29474-2022</t>
        </is>
      </c>
      <c r="B1678" t="inlineStr">
        <is>
          <t>avverkningsanmälan</t>
        </is>
      </c>
      <c r="C1678" t="inlineStr">
        <is>
          <t>Föryngringsavverkning</t>
        </is>
      </c>
      <c r="D1678" s="1" t="n">
        <v>44753</v>
      </c>
      <c r="E1678" s="1" t="n">
        <v>46315</v>
      </c>
      <c r="F1678" t="inlineStr">
        <is>
          <t>HALLANDS LÄN</t>
        </is>
      </c>
      <c r="G1678" t="inlineStr">
        <is>
          <t>LAHOLM</t>
        </is>
      </c>
      <c r="I1678" t="n">
        <v>1.4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s="2" t="inlineStr"/>
    </row>
    <row r="1679" ht="15" customHeight="1">
      <c r="A1679" t="inlineStr">
        <is>
          <t>A 42606-2023</t>
        </is>
      </c>
      <c r="B1679" t="inlineStr">
        <is>
          <t>avverkningsanmälan</t>
        </is>
      </c>
      <c r="C1679" t="inlineStr">
        <is>
          <t>Föryngringsavverkning</t>
        </is>
      </c>
      <c r="D1679" s="1" t="n">
        <v>45181</v>
      </c>
      <c r="E1679" s="1" t="n">
        <v>46315</v>
      </c>
      <c r="F1679" t="inlineStr">
        <is>
          <t>HALLANDS LÄN</t>
        </is>
      </c>
      <c r="G1679" t="inlineStr">
        <is>
          <t>FALKENBERG</t>
        </is>
      </c>
      <c r="I1679" t="n">
        <v>4.1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s="2" t="inlineStr"/>
    </row>
    <row r="1680" ht="15" customHeight="1">
      <c r="A1680" t="inlineStr">
        <is>
          <t>A 27505-2022</t>
        </is>
      </c>
      <c r="B1680" t="inlineStr">
        <is>
          <t>avverkningsanmälan</t>
        </is>
      </c>
      <c r="C1680" t="inlineStr">
        <is>
          <t>Föryngringsavverkning</t>
        </is>
      </c>
      <c r="D1680" s="1" t="n">
        <v>44742</v>
      </c>
      <c r="E1680" s="1" t="n">
        <v>46315</v>
      </c>
      <c r="F1680" t="inlineStr">
        <is>
          <t>HALLANDS LÄN</t>
        </is>
      </c>
      <c r="G1680" t="inlineStr">
        <is>
          <t>HALMSTAD</t>
        </is>
      </c>
      <c r="I1680" t="n">
        <v>1.7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s="2" t="inlineStr"/>
    </row>
    <row r="1681" ht="15" customHeight="1">
      <c r="A1681" t="inlineStr">
        <is>
          <t>A 26677-2026</t>
        </is>
      </c>
      <c r="B1681" t="inlineStr">
        <is>
          <t>avverkningsanmälan</t>
        </is>
      </c>
      <c r="C1681" t="inlineStr">
        <is>
          <t>Föryngringsavverkning</t>
        </is>
      </c>
      <c r="D1681" s="1" t="n">
        <v>46184</v>
      </c>
      <c r="E1681" s="1" t="n">
        <v>46315</v>
      </c>
      <c r="F1681" t="inlineStr">
        <is>
          <t>HALLANDS LÄN</t>
        </is>
      </c>
      <c r="G1681" t="inlineStr">
        <is>
          <t>KUNGSBACKA</t>
        </is>
      </c>
      <c r="I1681" t="n">
        <v>0.7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s="2" t="inlineStr"/>
    </row>
    <row r="1682" ht="15" customHeight="1">
      <c r="A1682" t="inlineStr">
        <is>
          <t>A 43269-2023</t>
        </is>
      </c>
      <c r="B1682" t="inlineStr">
        <is>
          <t>avverkningsanmälan</t>
        </is>
      </c>
      <c r="C1682" t="inlineStr">
        <is>
          <t>Föryngringsavverkning</t>
        </is>
      </c>
      <c r="D1682" s="1" t="n">
        <v>45183</v>
      </c>
      <c r="E1682" s="1" t="n">
        <v>46315</v>
      </c>
      <c r="F1682" t="inlineStr">
        <is>
          <t>HALLANDS LÄN</t>
        </is>
      </c>
      <c r="G1682" t="inlineStr">
        <is>
          <t>HALMSTAD</t>
        </is>
      </c>
      <c r="I1682" t="n">
        <v>0.6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s="2" t="inlineStr"/>
    </row>
    <row r="1683" ht="15" customHeight="1">
      <c r="A1683" t="inlineStr">
        <is>
          <t>A 55596-2023</t>
        </is>
      </c>
      <c r="B1683" t="inlineStr">
        <is>
          <t>avverkningsanmälan</t>
        </is>
      </c>
      <c r="C1683" t="inlineStr">
        <is>
          <t>Föryngringsavverkning</t>
        </is>
      </c>
      <c r="D1683" s="1" t="n">
        <v>45238</v>
      </c>
      <c r="E1683" s="1" t="n">
        <v>46315</v>
      </c>
      <c r="F1683" t="inlineStr">
        <is>
          <t>HALLANDS LÄN</t>
        </is>
      </c>
      <c r="G1683" t="inlineStr">
        <is>
          <t>HALMSTAD</t>
        </is>
      </c>
      <c r="I1683" t="n">
        <v>0.6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s="2" t="inlineStr"/>
    </row>
    <row r="1684" ht="15" customHeight="1">
      <c r="A1684" t="inlineStr">
        <is>
          <t>A 26697-2026</t>
        </is>
      </c>
      <c r="B1684" t="inlineStr">
        <is>
          <t>avverkningsanmälan</t>
        </is>
      </c>
      <c r="C1684" t="inlineStr">
        <is>
          <t>Föryngringsavverkning</t>
        </is>
      </c>
      <c r="D1684" s="1" t="n">
        <v>46184</v>
      </c>
      <c r="E1684" s="1" t="n">
        <v>46315</v>
      </c>
      <c r="F1684" t="inlineStr">
        <is>
          <t>HALLANDS LÄN</t>
        </is>
      </c>
      <c r="G1684" t="inlineStr">
        <is>
          <t>FALKENBERG</t>
        </is>
      </c>
      <c r="I1684" t="n">
        <v>1.3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s="2" t="inlineStr"/>
    </row>
    <row r="1685" ht="15" customHeight="1">
      <c r="A1685" t="inlineStr">
        <is>
          <t>A 41961-2023</t>
        </is>
      </c>
      <c r="B1685" t="inlineStr">
        <is>
          <t>avverkningsanmälan</t>
        </is>
      </c>
      <c r="C1685" t="inlineStr">
        <is>
          <t>Föryngringsavverkning</t>
        </is>
      </c>
      <c r="D1685" s="1" t="n">
        <v>45177</v>
      </c>
      <c r="E1685" s="1" t="n">
        <v>46315</v>
      </c>
      <c r="F1685" t="inlineStr">
        <is>
          <t>HALLANDS LÄN</t>
        </is>
      </c>
      <c r="G1685" t="inlineStr">
        <is>
          <t>VARBERG</t>
        </is>
      </c>
      <c r="I1685" t="n">
        <v>2.3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s="2" t="inlineStr"/>
    </row>
    <row r="1686" ht="15" customHeight="1">
      <c r="A1686" t="inlineStr">
        <is>
          <t>A 40810-2023</t>
        </is>
      </c>
      <c r="B1686" t="inlineStr">
        <is>
          <t>avverkningsanmälan</t>
        </is>
      </c>
      <c r="C1686" t="inlineStr">
        <is>
          <t>Föryngringsavverkning</t>
        </is>
      </c>
      <c r="D1686" s="1" t="n">
        <v>45171</v>
      </c>
      <c r="E1686" s="1" t="n">
        <v>46315</v>
      </c>
      <c r="F1686" t="inlineStr">
        <is>
          <t>HALLANDS LÄN</t>
        </is>
      </c>
      <c r="G1686" t="inlineStr">
        <is>
          <t>LAHOLM</t>
        </is>
      </c>
      <c r="I1686" t="n">
        <v>2.1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s="2" t="inlineStr"/>
    </row>
    <row r="1687" ht="15" customHeight="1">
      <c r="A1687" t="inlineStr">
        <is>
          <t>A 46643-2023</t>
        </is>
      </c>
      <c r="B1687" t="inlineStr">
        <is>
          <t>avverkningsanmälan</t>
        </is>
      </c>
      <c r="C1687" t="inlineStr">
        <is>
          <t>Föryngringsavverkning</t>
        </is>
      </c>
      <c r="D1687" s="1" t="n">
        <v>45195</v>
      </c>
      <c r="E1687" s="1" t="n">
        <v>46315</v>
      </c>
      <c r="F1687" t="inlineStr">
        <is>
          <t>HALLANDS LÄN</t>
        </is>
      </c>
      <c r="G1687" t="inlineStr">
        <is>
          <t>LAHOLM</t>
        </is>
      </c>
      <c r="I1687" t="n">
        <v>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s="2" t="inlineStr"/>
    </row>
    <row r="1688" ht="15" customHeight="1">
      <c r="A1688" t="inlineStr">
        <is>
          <t>A 26675-2026</t>
        </is>
      </c>
      <c r="B1688" t="inlineStr">
        <is>
          <t>avverkningsanmälan</t>
        </is>
      </c>
      <c r="C1688" t="inlineStr">
        <is>
          <t>Föryngringsavverkning</t>
        </is>
      </c>
      <c r="D1688" s="1" t="n">
        <v>46184</v>
      </c>
      <c r="E1688" s="1" t="n">
        <v>46315</v>
      </c>
      <c r="F1688" t="inlineStr">
        <is>
          <t>HALLANDS LÄN</t>
        </is>
      </c>
      <c r="G1688" t="inlineStr">
        <is>
          <t>KUNGSBACKA</t>
        </is>
      </c>
      <c r="I1688" t="n">
        <v>1.1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s="2" t="inlineStr"/>
    </row>
    <row r="1689" ht="15" customHeight="1">
      <c r="A1689" t="inlineStr">
        <is>
          <t>A 27009-2026</t>
        </is>
      </c>
      <c r="B1689" t="inlineStr">
        <is>
          <t>avverkningsanmälan</t>
        </is>
      </c>
      <c r="C1689" t="inlineStr">
        <is>
          <t>Föryngringsavverkning</t>
        </is>
      </c>
      <c r="D1689" s="1" t="n">
        <v>46185</v>
      </c>
      <c r="E1689" s="1" t="n">
        <v>46315</v>
      </c>
      <c r="F1689" t="inlineStr">
        <is>
          <t>HALLANDS LÄN</t>
        </is>
      </c>
      <c r="G1689" t="inlineStr">
        <is>
          <t>HYLTE</t>
        </is>
      </c>
      <c r="I1689" t="n">
        <v>0.7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s="2" t="inlineStr"/>
    </row>
    <row r="1690" ht="15" customHeight="1">
      <c r="A1690" t="inlineStr">
        <is>
          <t>A 8677-2022</t>
        </is>
      </c>
      <c r="B1690" t="inlineStr">
        <is>
          <t>avverkningsanmälan</t>
        </is>
      </c>
      <c r="C1690" t="inlineStr">
        <is>
          <t>Föryngringsavverkning</t>
        </is>
      </c>
      <c r="D1690" s="1" t="n">
        <v>44613</v>
      </c>
      <c r="E1690" s="1" t="n">
        <v>46315</v>
      </c>
      <c r="F1690" t="inlineStr">
        <is>
          <t>HALLANDS LÄN</t>
        </is>
      </c>
      <c r="G1690" t="inlineStr">
        <is>
          <t>KUNGSBACKA</t>
        </is>
      </c>
      <c r="I1690" t="n">
        <v>3.5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s="2" t="inlineStr"/>
    </row>
    <row r="1691" ht="15" customHeight="1">
      <c r="A1691" t="inlineStr">
        <is>
          <t>A 26703-2026</t>
        </is>
      </c>
      <c r="B1691" t="inlineStr">
        <is>
          <t>avverkningsanmälan</t>
        </is>
      </c>
      <c r="C1691" t="inlineStr">
        <is>
          <t>Föryngringsavverkning</t>
        </is>
      </c>
      <c r="D1691" s="1" t="n">
        <v>46184</v>
      </c>
      <c r="E1691" s="1" t="n">
        <v>46315</v>
      </c>
      <c r="F1691" t="inlineStr">
        <is>
          <t>HALLANDS LÄN</t>
        </is>
      </c>
      <c r="G1691" t="inlineStr">
        <is>
          <t>KUNGSBACKA</t>
        </is>
      </c>
      <c r="I1691" t="n">
        <v>2.6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s="2" t="inlineStr"/>
    </row>
    <row r="1692" ht="15" customHeight="1">
      <c r="A1692" t="inlineStr">
        <is>
          <t>A 26726-2026</t>
        </is>
      </c>
      <c r="B1692" t="inlineStr">
        <is>
          <t>avverkningsanmälan</t>
        </is>
      </c>
      <c r="C1692" t="inlineStr">
        <is>
          <t>Föryngringsavverkning</t>
        </is>
      </c>
      <c r="D1692" s="1" t="n">
        <v>46184</v>
      </c>
      <c r="E1692" s="1" t="n">
        <v>46315</v>
      </c>
      <c r="F1692" t="inlineStr">
        <is>
          <t>HALLANDS LÄN</t>
        </is>
      </c>
      <c r="G1692" t="inlineStr">
        <is>
          <t>KUNGSBACKA</t>
        </is>
      </c>
      <c r="I1692" t="n">
        <v>1.2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s="2" t="inlineStr"/>
    </row>
    <row r="1693" ht="15" customHeight="1">
      <c r="A1693" t="inlineStr">
        <is>
          <t>A 26735-2026</t>
        </is>
      </c>
      <c r="B1693" t="inlineStr">
        <is>
          <t>avverkningsanmälan</t>
        </is>
      </c>
      <c r="C1693" t="inlineStr">
        <is>
          <t>Föryngringsavverkning</t>
        </is>
      </c>
      <c r="D1693" s="1" t="n">
        <v>46184</v>
      </c>
      <c r="E1693" s="1" t="n">
        <v>46315</v>
      </c>
      <c r="F1693" t="inlineStr">
        <is>
          <t>HALLANDS LÄN</t>
        </is>
      </c>
      <c r="G1693" t="inlineStr">
        <is>
          <t>KUNGSBACKA</t>
        </is>
      </c>
      <c r="I1693" t="n">
        <v>4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s="2" t="inlineStr"/>
    </row>
    <row r="1694" ht="15" customHeight="1">
      <c r="A1694" t="inlineStr">
        <is>
          <t>A 15858-2022</t>
        </is>
      </c>
      <c r="B1694" t="inlineStr">
        <is>
          <t>avverkningsanmälan</t>
        </is>
      </c>
      <c r="C1694" t="inlineStr">
        <is>
          <t>Föryngringsavverkning</t>
        </is>
      </c>
      <c r="D1694" s="1" t="n">
        <v>44664</v>
      </c>
      <c r="E1694" s="1" t="n">
        <v>46315</v>
      </c>
      <c r="F1694" t="inlineStr">
        <is>
          <t>HALLANDS LÄN</t>
        </is>
      </c>
      <c r="G1694" t="inlineStr">
        <is>
          <t>FALKENBERG</t>
        </is>
      </c>
      <c r="I1694" t="n">
        <v>1.2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s="2" t="inlineStr"/>
    </row>
    <row r="1695" ht="15" customHeight="1">
      <c r="A1695" t="inlineStr">
        <is>
          <t>A 26733-2026</t>
        </is>
      </c>
      <c r="B1695" t="inlineStr">
        <is>
          <t>avverkningsanmälan</t>
        </is>
      </c>
      <c r="C1695" t="inlineStr">
        <is>
          <t>Avverkning för att bevara och utveckla /försöksver</t>
        </is>
      </c>
      <c r="D1695" s="1" t="n">
        <v>46184</v>
      </c>
      <c r="E1695" s="1" t="n">
        <v>46315</v>
      </c>
      <c r="F1695" t="inlineStr">
        <is>
          <t>HALLANDS LÄN</t>
        </is>
      </c>
      <c r="G1695" t="inlineStr">
        <is>
          <t>KUNGSBACKA</t>
        </is>
      </c>
      <c r="I1695" t="n">
        <v>0.8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s="2" t="inlineStr"/>
    </row>
    <row r="1696" ht="15" customHeight="1">
      <c r="A1696" t="inlineStr">
        <is>
          <t>A 52465-2023</t>
        </is>
      </c>
      <c r="B1696" t="inlineStr">
        <is>
          <t>avverkningsanmälan</t>
        </is>
      </c>
      <c r="C1696" t="inlineStr">
        <is>
          <t>Föryngringsavverkning</t>
        </is>
      </c>
      <c r="D1696" s="1" t="n">
        <v>45225</v>
      </c>
      <c r="E1696" s="1" t="n">
        <v>46315</v>
      </c>
      <c r="F1696" t="inlineStr">
        <is>
          <t>HALLANDS LÄN</t>
        </is>
      </c>
      <c r="G1696" t="inlineStr">
        <is>
          <t>HYLTE</t>
        </is>
      </c>
      <c r="I1696" t="n">
        <v>8.800000000000001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s="2" t="inlineStr"/>
    </row>
    <row r="1697" ht="15" customHeight="1">
      <c r="A1697" t="inlineStr">
        <is>
          <t>A 49569-2023</t>
        </is>
      </c>
      <c r="B1697" t="inlineStr">
        <is>
          <t>avverkningsanmälan</t>
        </is>
      </c>
      <c r="C1697" t="inlineStr">
        <is>
          <t>Föryngringsavverkning</t>
        </is>
      </c>
      <c r="D1697" s="1" t="n">
        <v>45211</v>
      </c>
      <c r="E1697" s="1" t="n">
        <v>46315</v>
      </c>
      <c r="F1697" t="inlineStr">
        <is>
          <t>HALLANDS LÄN</t>
        </is>
      </c>
      <c r="G1697" t="inlineStr">
        <is>
          <t>LAHOLM</t>
        </is>
      </c>
      <c r="I1697" t="n">
        <v>0.5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s="2" t="inlineStr"/>
    </row>
    <row r="1698" ht="15" customHeight="1">
      <c r="A1698" t="inlineStr">
        <is>
          <t>A 10572-2026</t>
        </is>
      </c>
      <c r="B1698" t="inlineStr">
        <is>
          <t>avverkningsanmälan</t>
        </is>
      </c>
      <c r="C1698" t="inlineStr">
        <is>
          <t>Föryngringsavverkning</t>
        </is>
      </c>
      <c r="D1698" s="1" t="n">
        <v>46077</v>
      </c>
      <c r="E1698" s="1" t="n">
        <v>46315</v>
      </c>
      <c r="F1698" t="inlineStr">
        <is>
          <t>HALLANDS LÄN</t>
        </is>
      </c>
      <c r="G1698" t="inlineStr">
        <is>
          <t>KUNGSBACKA</t>
        </is>
      </c>
      <c r="I1698" t="n">
        <v>1.6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s="2" t="inlineStr"/>
    </row>
    <row r="1699" ht="15" customHeight="1">
      <c r="A1699" t="inlineStr">
        <is>
          <t>A 31302-2022</t>
        </is>
      </c>
      <c r="B1699" t="inlineStr">
        <is>
          <t>avverkningsanmälan</t>
        </is>
      </c>
      <c r="C1699" t="inlineStr">
        <is>
          <t>Föryngringsavverkning</t>
        </is>
      </c>
      <c r="D1699" s="1" t="n">
        <v>44773</v>
      </c>
      <c r="E1699" s="1" t="n">
        <v>46315</v>
      </c>
      <c r="F1699" t="inlineStr">
        <is>
          <t>HALLANDS LÄN</t>
        </is>
      </c>
      <c r="G1699" t="inlineStr">
        <is>
          <t>KUNGSBACKA</t>
        </is>
      </c>
      <c r="I1699" t="n">
        <v>2.6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s="2" t="inlineStr"/>
    </row>
    <row r="1700" ht="15" customHeight="1">
      <c r="A1700" t="inlineStr">
        <is>
          <t>A 42653-2023</t>
        </is>
      </c>
      <c r="B1700" t="inlineStr">
        <is>
          <t>avverkningsanmälan</t>
        </is>
      </c>
      <c r="C1700" t="inlineStr">
        <is>
          <t>Föryngringsavverkning</t>
        </is>
      </c>
      <c r="D1700" s="1" t="n">
        <v>45181</v>
      </c>
      <c r="E1700" s="1" t="n">
        <v>46315</v>
      </c>
      <c r="F1700" t="inlineStr">
        <is>
          <t>HALLANDS LÄN</t>
        </is>
      </c>
      <c r="G1700" t="inlineStr">
        <is>
          <t>HYLTE</t>
        </is>
      </c>
      <c r="I1700" t="n">
        <v>0.5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s="2" t="inlineStr"/>
    </row>
    <row r="1701" ht="15" customHeight="1">
      <c r="A1701" t="inlineStr">
        <is>
          <t>A 3559-2025</t>
        </is>
      </c>
      <c r="B1701" t="inlineStr">
        <is>
          <t>avverkningsanmälan</t>
        </is>
      </c>
      <c r="C1701" t="inlineStr">
        <is>
          <t>Föryngringsavverkning</t>
        </is>
      </c>
      <c r="D1701" s="1" t="n">
        <v>45680</v>
      </c>
      <c r="E1701" s="1" t="n">
        <v>46315</v>
      </c>
      <c r="F1701" t="inlineStr">
        <is>
          <t>HALLANDS LÄN</t>
        </is>
      </c>
      <c r="G1701" t="inlineStr">
        <is>
          <t>FALKENBERG</t>
        </is>
      </c>
      <c r="I1701" t="n">
        <v>2.6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s="2" t="inlineStr"/>
    </row>
    <row r="1702" ht="15" customHeight="1">
      <c r="A1702" t="inlineStr">
        <is>
          <t>A 26770-2026</t>
        </is>
      </c>
      <c r="B1702" t="inlineStr">
        <is>
          <t>avverkningsanmälan</t>
        </is>
      </c>
      <c r="C1702" t="inlineStr">
        <is>
          <t>Föryngringsavverkning</t>
        </is>
      </c>
      <c r="D1702" s="1" t="n">
        <v>46184</v>
      </c>
      <c r="E1702" s="1" t="n">
        <v>46315</v>
      </c>
      <c r="F1702" t="inlineStr">
        <is>
          <t>HALLANDS LÄN</t>
        </is>
      </c>
      <c r="G1702" t="inlineStr">
        <is>
          <t>FALKENBERG</t>
        </is>
      </c>
      <c r="I1702" t="n">
        <v>2.5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s="2" t="inlineStr"/>
    </row>
    <row r="1703" ht="15" customHeight="1">
      <c r="A1703" t="inlineStr">
        <is>
          <t>A 55770-2023</t>
        </is>
      </c>
      <c r="B1703" t="inlineStr">
        <is>
          <t>avverkningsanmälan</t>
        </is>
      </c>
      <c r="C1703" t="inlineStr">
        <is>
          <t>Föryngringsavverkning</t>
        </is>
      </c>
      <c r="D1703" s="1" t="n">
        <v>45239</v>
      </c>
      <c r="E1703" s="1" t="n">
        <v>46315</v>
      </c>
      <c r="F1703" t="inlineStr">
        <is>
          <t>HALLANDS LÄN</t>
        </is>
      </c>
      <c r="G1703" t="inlineStr">
        <is>
          <t>HALMSTAD</t>
        </is>
      </c>
      <c r="I1703" t="n">
        <v>0.8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s="2" t="inlineStr"/>
    </row>
    <row r="1704" ht="15" customHeight="1">
      <c r="A1704" t="inlineStr">
        <is>
          <t>A 10751-2026</t>
        </is>
      </c>
      <c r="B1704" t="inlineStr">
        <is>
          <t>avverkningsanmälan</t>
        </is>
      </c>
      <c r="C1704" t="inlineStr">
        <is>
          <t>Föryngringsavverkning</t>
        </is>
      </c>
      <c r="D1704" s="1" t="n">
        <v>46078</v>
      </c>
      <c r="E1704" s="1" t="n">
        <v>46315</v>
      </c>
      <c r="F1704" t="inlineStr">
        <is>
          <t>HALLANDS LÄN</t>
        </is>
      </c>
      <c r="G1704" t="inlineStr">
        <is>
          <t>KUNGSBACKA</t>
        </is>
      </c>
      <c r="I1704" t="n">
        <v>1.8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s="2" t="inlineStr"/>
    </row>
    <row r="1705" ht="15" customHeight="1">
      <c r="A1705" t="inlineStr">
        <is>
          <t>A 10753-2026</t>
        </is>
      </c>
      <c r="B1705" t="inlineStr">
        <is>
          <t>avverkningsanmälan</t>
        </is>
      </c>
      <c r="C1705" t="inlineStr">
        <is>
          <t>Föryngringsavverkning</t>
        </is>
      </c>
      <c r="D1705" s="1" t="n">
        <v>46078</v>
      </c>
      <c r="E1705" s="1" t="n">
        <v>46315</v>
      </c>
      <c r="F1705" t="inlineStr">
        <is>
          <t>HALLANDS LÄN</t>
        </is>
      </c>
      <c r="G1705" t="inlineStr">
        <is>
          <t>KUNGSBACKA</t>
        </is>
      </c>
      <c r="I1705" t="n">
        <v>1.2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s="2" t="inlineStr"/>
    </row>
    <row r="1706" ht="15" customHeight="1">
      <c r="A1706" t="inlineStr">
        <is>
          <t>A 40451-2022</t>
        </is>
      </c>
      <c r="B1706" t="inlineStr">
        <is>
          <t>avverkningsanmälan</t>
        </is>
      </c>
      <c r="C1706" t="inlineStr">
        <is>
          <t>Föryngringsavverkning</t>
        </is>
      </c>
      <c r="D1706" s="1" t="n">
        <v>44823</v>
      </c>
      <c r="E1706" s="1" t="n">
        <v>46315</v>
      </c>
      <c r="F1706" t="inlineStr">
        <is>
          <t>HALLANDS LÄN</t>
        </is>
      </c>
      <c r="G1706" t="inlineStr">
        <is>
          <t>HYLTE</t>
        </is>
      </c>
      <c r="I1706" t="n">
        <v>7.4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s="2" t="inlineStr"/>
    </row>
    <row r="1707" ht="15" customHeight="1">
      <c r="A1707" t="inlineStr">
        <is>
          <t>A 10645-2026</t>
        </is>
      </c>
      <c r="B1707" t="inlineStr">
        <is>
          <t>avverkningsanmälan</t>
        </is>
      </c>
      <c r="C1707" t="inlineStr">
        <is>
          <t>Föryngringsavverkning</t>
        </is>
      </c>
      <c r="D1707" s="1" t="n">
        <v>46078</v>
      </c>
      <c r="E1707" s="1" t="n">
        <v>46315</v>
      </c>
      <c r="F1707" t="inlineStr">
        <is>
          <t>HALLANDS LÄN</t>
        </is>
      </c>
      <c r="G1707" t="inlineStr">
        <is>
          <t>LAHOLM</t>
        </is>
      </c>
      <c r="I1707" t="n">
        <v>1.4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s="2" t="inlineStr"/>
    </row>
    <row r="1708" ht="15" customHeight="1">
      <c r="A1708" t="inlineStr">
        <is>
          <t>A 12935-2024</t>
        </is>
      </c>
      <c r="B1708" t="inlineStr">
        <is>
          <t>avverkningsanmälan</t>
        </is>
      </c>
      <c r="C1708" t="inlineStr">
        <is>
          <t>Föryngringsavverkning</t>
        </is>
      </c>
      <c r="D1708" s="1" t="n">
        <v>45385</v>
      </c>
      <c r="E1708" s="1" t="n">
        <v>46315</v>
      </c>
      <c r="F1708" t="inlineStr">
        <is>
          <t>HALLANDS LÄN</t>
        </is>
      </c>
      <c r="G1708" t="inlineStr">
        <is>
          <t>LAHOLM</t>
        </is>
      </c>
      <c r="I1708" t="n">
        <v>0.4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s="2" t="inlineStr"/>
    </row>
    <row r="1709" ht="15" customHeight="1">
      <c r="A1709" t="inlineStr">
        <is>
          <t>A 10540-2026</t>
        </is>
      </c>
      <c r="B1709" t="inlineStr">
        <is>
          <t>avverkningsanmälan</t>
        </is>
      </c>
      <c r="C1709" t="inlineStr">
        <is>
          <t>Föryngringsavverkning</t>
        </is>
      </c>
      <c r="D1709" s="1" t="n">
        <v>46077</v>
      </c>
      <c r="E1709" s="1" t="n">
        <v>46315</v>
      </c>
      <c r="F1709" t="inlineStr">
        <is>
          <t>HALLANDS LÄN</t>
        </is>
      </c>
      <c r="G1709" t="inlineStr">
        <is>
          <t>FALKENBERG</t>
        </is>
      </c>
      <c r="I1709" t="n">
        <v>0.9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s="2" t="inlineStr"/>
    </row>
    <row r="1710" ht="15" customHeight="1">
      <c r="A1710" t="inlineStr">
        <is>
          <t>A 11085-2026</t>
        </is>
      </c>
      <c r="B1710" t="inlineStr">
        <is>
          <t>avverkningsanmälan</t>
        </is>
      </c>
      <c r="C1710" t="inlineStr">
        <is>
          <t>Föryngringsavverkning</t>
        </is>
      </c>
      <c r="D1710" s="1" t="n">
        <v>46079</v>
      </c>
      <c r="E1710" s="1" t="n">
        <v>46315</v>
      </c>
      <c r="F1710" t="inlineStr">
        <is>
          <t>HALLANDS LÄN</t>
        </is>
      </c>
      <c r="G1710" t="inlineStr">
        <is>
          <t>HALMSTAD</t>
        </is>
      </c>
      <c r="I1710" t="n">
        <v>0.9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s="2" t="inlineStr"/>
    </row>
    <row r="1711" ht="15" customHeight="1">
      <c r="A1711" t="inlineStr">
        <is>
          <t>A 55600-2023</t>
        </is>
      </c>
      <c r="B1711" t="inlineStr">
        <is>
          <t>avverkningsanmälan</t>
        </is>
      </c>
      <c r="C1711" t="inlineStr">
        <is>
          <t>Föryngringsavverkning</t>
        </is>
      </c>
      <c r="D1711" s="1" t="n">
        <v>45238</v>
      </c>
      <c r="E1711" s="1" t="n">
        <v>46315</v>
      </c>
      <c r="F1711" t="inlineStr">
        <is>
          <t>HALLANDS LÄN</t>
        </is>
      </c>
      <c r="G1711" t="inlineStr">
        <is>
          <t>HYLTE</t>
        </is>
      </c>
      <c r="I1711" t="n">
        <v>1.1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s="2" t="inlineStr"/>
    </row>
    <row r="1712" ht="15" customHeight="1">
      <c r="A1712" t="inlineStr">
        <is>
          <t>A 37557-2023</t>
        </is>
      </c>
      <c r="B1712" t="inlineStr">
        <is>
          <t>avverkningsanmälan</t>
        </is>
      </c>
      <c r="C1712" t="inlineStr">
        <is>
          <t>Föryngringsavverkning</t>
        </is>
      </c>
      <c r="D1712" s="1" t="n">
        <v>45159</v>
      </c>
      <c r="E1712" s="1" t="n">
        <v>46315</v>
      </c>
      <c r="F1712" t="inlineStr">
        <is>
          <t>HALLANDS LÄN</t>
        </is>
      </c>
      <c r="G1712" t="inlineStr">
        <is>
          <t>LAHOLM</t>
        </is>
      </c>
      <c r="I1712" t="n">
        <v>1.2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s="2" t="inlineStr"/>
    </row>
    <row r="1713" ht="15" customHeight="1">
      <c r="A1713" t="inlineStr">
        <is>
          <t>A 10799-2026</t>
        </is>
      </c>
      <c r="B1713" t="inlineStr">
        <is>
          <t>avverkningsanmälan</t>
        </is>
      </c>
      <c r="C1713" t="inlineStr">
        <is>
          <t>Föryngringsavverkning</t>
        </is>
      </c>
      <c r="D1713" s="1" t="n">
        <v>46078</v>
      </c>
      <c r="E1713" s="1" t="n">
        <v>46315</v>
      </c>
      <c r="F1713" t="inlineStr">
        <is>
          <t>HALLANDS LÄN</t>
        </is>
      </c>
      <c r="G1713" t="inlineStr">
        <is>
          <t>KUNGSBACKA</t>
        </is>
      </c>
      <c r="I1713" t="n">
        <v>6.7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s="2" t="inlineStr"/>
    </row>
    <row r="1714" ht="15" customHeight="1">
      <c r="A1714" t="inlineStr">
        <is>
          <t>A 27295-2023</t>
        </is>
      </c>
      <c r="B1714" t="inlineStr">
        <is>
          <t>avverkningsanmälan</t>
        </is>
      </c>
      <c r="C1714" t="inlineStr">
        <is>
          <t>Föryngringsavverkning</t>
        </is>
      </c>
      <c r="D1714" s="1" t="n">
        <v>45096</v>
      </c>
      <c r="E1714" s="1" t="n">
        <v>46315</v>
      </c>
      <c r="F1714" t="inlineStr">
        <is>
          <t>HALLANDS LÄN</t>
        </is>
      </c>
      <c r="G1714" t="inlineStr">
        <is>
          <t>KUNGSBACKA</t>
        </is>
      </c>
      <c r="I1714" t="n">
        <v>1.4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s="2" t="inlineStr"/>
    </row>
    <row r="1715" ht="15" customHeight="1">
      <c r="A1715" t="inlineStr">
        <is>
          <t>A 38905-2023</t>
        </is>
      </c>
      <c r="B1715" t="inlineStr">
        <is>
          <t>avverkningsanmälan</t>
        </is>
      </c>
      <c r="C1715" t="inlineStr">
        <is>
          <t>Föryngringsavverkning</t>
        </is>
      </c>
      <c r="D1715" s="1" t="n">
        <v>45163</v>
      </c>
      <c r="E1715" s="1" t="n">
        <v>46315</v>
      </c>
      <c r="F1715" t="inlineStr">
        <is>
          <t>HALLANDS LÄN</t>
        </is>
      </c>
      <c r="G1715" t="inlineStr">
        <is>
          <t>FALKENBERG</t>
        </is>
      </c>
      <c r="I1715" t="n">
        <v>3.5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s="2" t="inlineStr"/>
    </row>
    <row r="1716" ht="15" customHeight="1">
      <c r="A1716" t="inlineStr">
        <is>
          <t>A 42915-2023</t>
        </is>
      </c>
      <c r="B1716" t="inlineStr">
        <is>
          <t>avverkningsanmälan</t>
        </is>
      </c>
      <c r="C1716" t="inlineStr">
        <is>
          <t>Föryngringsavverkning</t>
        </is>
      </c>
      <c r="D1716" s="1" t="n">
        <v>45182</v>
      </c>
      <c r="E1716" s="1" t="n">
        <v>46315</v>
      </c>
      <c r="F1716" t="inlineStr">
        <is>
          <t>HALLANDS LÄN</t>
        </is>
      </c>
      <c r="G1716" t="inlineStr">
        <is>
          <t>FALKENBERG</t>
        </is>
      </c>
      <c r="I1716" t="n">
        <v>0.6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s="2" t="inlineStr"/>
    </row>
    <row r="1717" ht="15" customHeight="1">
      <c r="A1717" t="inlineStr">
        <is>
          <t>A 44133-2023</t>
        </is>
      </c>
      <c r="B1717" t="inlineStr">
        <is>
          <t>avverkningsanmälan</t>
        </is>
      </c>
      <c r="C1717" t="inlineStr">
        <is>
          <t>Föryngringsavverkning</t>
        </is>
      </c>
      <c r="D1717" s="1" t="n">
        <v>45188</v>
      </c>
      <c r="E1717" s="1" t="n">
        <v>46315</v>
      </c>
      <c r="F1717" t="inlineStr">
        <is>
          <t>HALLANDS LÄN</t>
        </is>
      </c>
      <c r="G1717" t="inlineStr">
        <is>
          <t>FALKENBERG</t>
        </is>
      </c>
      <c r="I1717" t="n">
        <v>5.1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s="2" t="inlineStr"/>
    </row>
    <row r="1718" ht="15" customHeight="1">
      <c r="A1718" t="inlineStr">
        <is>
          <t>A 40385-2025</t>
        </is>
      </c>
      <c r="B1718" t="inlineStr">
        <is>
          <t>avverkningsanmälan</t>
        </is>
      </c>
      <c r="C1718" t="inlineStr">
        <is>
          <t>Föryngringsavverkning</t>
        </is>
      </c>
      <c r="D1718" s="1" t="n">
        <v>45895</v>
      </c>
      <c r="E1718" s="1" t="n">
        <v>46315</v>
      </c>
      <c r="F1718" t="inlineStr">
        <is>
          <t>HALLANDS LÄN</t>
        </is>
      </c>
      <c r="G1718" t="inlineStr">
        <is>
          <t>HALMSTAD</t>
        </is>
      </c>
      <c r="I1718" t="n">
        <v>7.8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s="2" t="inlineStr"/>
    </row>
    <row r="1719" ht="15" customHeight="1">
      <c r="A1719" t="inlineStr">
        <is>
          <t>A 55078-2025</t>
        </is>
      </c>
      <c r="B1719" t="inlineStr">
        <is>
          <t>avverkningsanmälan</t>
        </is>
      </c>
      <c r="C1719" t="inlineStr">
        <is>
          <t>Föryngringsavverkning</t>
        </is>
      </c>
      <c r="D1719" s="1" t="n">
        <v>45967</v>
      </c>
      <c r="E1719" s="1" t="n">
        <v>46315</v>
      </c>
      <c r="F1719" t="inlineStr">
        <is>
          <t>HALLANDS LÄN</t>
        </is>
      </c>
      <c r="G1719" t="inlineStr">
        <is>
          <t>HALMSTAD</t>
        </is>
      </c>
      <c r="I1719" t="n">
        <v>0.7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s="2" t="inlineStr"/>
    </row>
    <row r="1720" ht="15" customHeight="1">
      <c r="A1720" t="inlineStr">
        <is>
          <t>A 11334-2026</t>
        </is>
      </c>
      <c r="B1720" t="inlineStr">
        <is>
          <t>avverkningsanmälan</t>
        </is>
      </c>
      <c r="C1720" t="inlineStr">
        <is>
          <t>Föryngringsavverkning</t>
        </is>
      </c>
      <c r="D1720" s="1" t="n">
        <v>46082</v>
      </c>
      <c r="E1720" s="1" t="n">
        <v>46315</v>
      </c>
      <c r="F1720" t="inlineStr">
        <is>
          <t>HALLANDS LÄN</t>
        </is>
      </c>
      <c r="G1720" t="inlineStr">
        <is>
          <t>FALKENBERG</t>
        </is>
      </c>
      <c r="I1720" t="n">
        <v>3.5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s="2" t="inlineStr"/>
    </row>
    <row r="1721" ht="15" customHeight="1">
      <c r="A1721" t="inlineStr">
        <is>
          <t>A 65003-2023</t>
        </is>
      </c>
      <c r="B1721" t="inlineStr">
        <is>
          <t>avverkningsanmälan</t>
        </is>
      </c>
      <c r="C1721" t="inlineStr">
        <is>
          <t>Föryngringsavverkning</t>
        </is>
      </c>
      <c r="D1721" s="1" t="n">
        <v>45287</v>
      </c>
      <c r="E1721" s="1" t="n">
        <v>46315</v>
      </c>
      <c r="F1721" t="inlineStr">
        <is>
          <t>HALLANDS LÄN</t>
        </is>
      </c>
      <c r="G1721" t="inlineStr">
        <is>
          <t>HYLTE</t>
        </is>
      </c>
      <c r="I1721" t="n">
        <v>3.6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s="2" t="inlineStr"/>
    </row>
    <row r="1722" ht="15" customHeight="1">
      <c r="A1722" t="inlineStr">
        <is>
          <t>A 58324-2024</t>
        </is>
      </c>
      <c r="B1722" t="inlineStr">
        <is>
          <t>avverkningsanmälan</t>
        </is>
      </c>
      <c r="C1722" t="inlineStr">
        <is>
          <t>Föryngringsavverkning</t>
        </is>
      </c>
      <c r="D1722" s="1" t="n">
        <v>45632</v>
      </c>
      <c r="E1722" s="1" t="n">
        <v>46315</v>
      </c>
      <c r="F1722" t="inlineStr">
        <is>
          <t>HALLANDS LÄN</t>
        </is>
      </c>
      <c r="G1722" t="inlineStr">
        <is>
          <t>KUNGSBACKA</t>
        </is>
      </c>
      <c r="I1722" t="n">
        <v>0.5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s="2" t="inlineStr"/>
    </row>
    <row r="1723" ht="15" customHeight="1">
      <c r="A1723" t="inlineStr">
        <is>
          <t>A 8514-2026</t>
        </is>
      </c>
      <c r="B1723" t="inlineStr">
        <is>
          <t>avverkningsanmälan</t>
        </is>
      </c>
      <c r="C1723" t="inlineStr">
        <is>
          <t>Föryngringsavverkning</t>
        </is>
      </c>
      <c r="D1723" s="1" t="n">
        <v>46065</v>
      </c>
      <c r="E1723" s="1" t="n">
        <v>46315</v>
      </c>
      <c r="F1723" t="inlineStr">
        <is>
          <t>HALLANDS LÄN</t>
        </is>
      </c>
      <c r="G1723" t="inlineStr">
        <is>
          <t>FALKENBERG</t>
        </is>
      </c>
      <c r="I1723" t="n">
        <v>1.1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s="2" t="inlineStr"/>
    </row>
    <row r="1724" ht="15" customHeight="1">
      <c r="A1724" t="inlineStr">
        <is>
          <t>A 40345-2023</t>
        </is>
      </c>
      <c r="B1724" t="inlineStr">
        <is>
          <t>avverkningsanmälan</t>
        </is>
      </c>
      <c r="C1724" t="inlineStr">
        <is>
          <t>Föryngringsavverkning</t>
        </is>
      </c>
      <c r="D1724" s="1" t="n">
        <v>45169</v>
      </c>
      <c r="E1724" s="1" t="n">
        <v>46315</v>
      </c>
      <c r="F1724" t="inlineStr">
        <is>
          <t>HALLANDS LÄN</t>
        </is>
      </c>
      <c r="G1724" t="inlineStr">
        <is>
          <t>HALMSTAD</t>
        </is>
      </c>
      <c r="I1724" t="n">
        <v>0.8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s="2" t="inlineStr"/>
    </row>
    <row r="1725" ht="15" customHeight="1">
      <c r="A1725" t="inlineStr">
        <is>
          <t>A 58330-2024</t>
        </is>
      </c>
      <c r="B1725" t="inlineStr">
        <is>
          <t>avverkningsanmälan</t>
        </is>
      </c>
      <c r="C1725" t="inlineStr">
        <is>
          <t>Föryngringsavverkning</t>
        </is>
      </c>
      <c r="D1725" s="1" t="n">
        <v>45632</v>
      </c>
      <c r="E1725" s="1" t="n">
        <v>46315</v>
      </c>
      <c r="F1725" t="inlineStr">
        <is>
          <t>HALLANDS LÄN</t>
        </is>
      </c>
      <c r="G1725" t="inlineStr">
        <is>
          <t>KUNGSBACKA</t>
        </is>
      </c>
      <c r="I1725" t="n">
        <v>0.8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s="2" t="inlineStr"/>
    </row>
    <row r="1726" ht="15" customHeight="1">
      <c r="A1726" t="inlineStr">
        <is>
          <t>A 26699-2026</t>
        </is>
      </c>
      <c r="B1726" t="inlineStr">
        <is>
          <t>avverkningsanmälan</t>
        </is>
      </c>
      <c r="C1726" t="inlineStr">
        <is>
          <t>Föryngringsavverkning</t>
        </is>
      </c>
      <c r="D1726" s="1" t="n">
        <v>46184</v>
      </c>
      <c r="E1726" s="1" t="n">
        <v>46315</v>
      </c>
      <c r="F1726" t="inlineStr">
        <is>
          <t>HALLANDS LÄN</t>
        </is>
      </c>
      <c r="G1726" t="inlineStr">
        <is>
          <t>KUNGSBACKA</t>
        </is>
      </c>
      <c r="I1726" t="n">
        <v>5.3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s="2" t="inlineStr"/>
    </row>
    <row r="1727" ht="15" customHeight="1">
      <c r="A1727" t="inlineStr">
        <is>
          <t>A 26701-2026</t>
        </is>
      </c>
      <c r="B1727" t="inlineStr">
        <is>
          <t>avverkningsanmälan</t>
        </is>
      </c>
      <c r="C1727" t="inlineStr">
        <is>
          <t>Föryngringsavverkning</t>
        </is>
      </c>
      <c r="D1727" s="1" t="n">
        <v>46184</v>
      </c>
      <c r="E1727" s="1" t="n">
        <v>46315</v>
      </c>
      <c r="F1727" t="inlineStr">
        <is>
          <t>HALLANDS LÄN</t>
        </is>
      </c>
      <c r="G1727" t="inlineStr">
        <is>
          <t>KUNGSBACKA</t>
        </is>
      </c>
      <c r="I1727" t="n">
        <v>0.4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s="2" t="inlineStr"/>
    </row>
    <row r="1728" ht="15" customHeight="1">
      <c r="A1728" t="inlineStr">
        <is>
          <t>A 55779-2023</t>
        </is>
      </c>
      <c r="B1728" t="inlineStr">
        <is>
          <t>avverkningsanmälan</t>
        </is>
      </c>
      <c r="C1728" t="inlineStr">
        <is>
          <t>Föryngringsavverkning</t>
        </is>
      </c>
      <c r="D1728" s="1" t="n">
        <v>45239</v>
      </c>
      <c r="E1728" s="1" t="n">
        <v>46315</v>
      </c>
      <c r="F1728" t="inlineStr">
        <is>
          <t>HALLANDS LÄN</t>
        </is>
      </c>
      <c r="G1728" t="inlineStr">
        <is>
          <t>LAHOLM</t>
        </is>
      </c>
      <c r="I1728" t="n">
        <v>4.1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s="2" t="inlineStr"/>
    </row>
    <row r="1729" ht="15" customHeight="1">
      <c r="A1729" t="inlineStr">
        <is>
          <t>A 11336-2026</t>
        </is>
      </c>
      <c r="B1729" t="inlineStr">
        <is>
          <t>avverkningsanmälan</t>
        </is>
      </c>
      <c r="C1729" t="inlineStr">
        <is>
          <t>Föryngringsavverkning</t>
        </is>
      </c>
      <c r="D1729" s="1" t="n">
        <v>46082</v>
      </c>
      <c r="E1729" s="1" t="n">
        <v>46315</v>
      </c>
      <c r="F1729" t="inlineStr">
        <is>
          <t>HALLANDS LÄN</t>
        </is>
      </c>
      <c r="G1729" t="inlineStr">
        <is>
          <t>FALKENBERG</t>
        </is>
      </c>
      <c r="I1729" t="n">
        <v>1.9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s="2" t="inlineStr"/>
    </row>
    <row r="1730" ht="15" customHeight="1">
      <c r="A1730" t="inlineStr">
        <is>
          <t>A 55966-2025</t>
        </is>
      </c>
      <c r="B1730" t="inlineStr">
        <is>
          <t>avverkningsanmälan</t>
        </is>
      </c>
      <c r="C1730" t="inlineStr">
        <is>
          <t>Föryngringsavverkning</t>
        </is>
      </c>
      <c r="D1730" s="1" t="n">
        <v>45973</v>
      </c>
      <c r="E1730" s="1" t="n">
        <v>46315</v>
      </c>
      <c r="F1730" t="inlineStr">
        <is>
          <t>HALLANDS LÄN</t>
        </is>
      </c>
      <c r="G1730" t="inlineStr">
        <is>
          <t>HALMSTAD</t>
        </is>
      </c>
      <c r="I1730" t="n">
        <v>1.4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s="2" t="inlineStr"/>
    </row>
    <row r="1731" ht="15" customHeight="1">
      <c r="A1731" t="inlineStr">
        <is>
          <t>A 46164-2024</t>
        </is>
      </c>
      <c r="B1731" t="inlineStr">
        <is>
          <t>avverkningsanmälan</t>
        </is>
      </c>
      <c r="C1731" t="inlineStr">
        <is>
          <t>Föryngringsavverkning</t>
        </is>
      </c>
      <c r="D1731" s="1" t="n">
        <v>45581</v>
      </c>
      <c r="E1731" s="1" t="n">
        <v>46315</v>
      </c>
      <c r="F1731" t="inlineStr">
        <is>
          <t>HALLANDS LÄN</t>
        </is>
      </c>
      <c r="G1731" t="inlineStr">
        <is>
          <t>LAHOLM</t>
        </is>
      </c>
      <c r="I1731" t="n">
        <v>0.4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s="2" t="inlineStr"/>
    </row>
    <row r="1732" ht="15" customHeight="1">
      <c r="A1732" t="inlineStr">
        <is>
          <t>A 20763-2022</t>
        </is>
      </c>
      <c r="B1732" t="inlineStr">
        <is>
          <t>avverkningsanmälan</t>
        </is>
      </c>
      <c r="C1732" t="inlineStr">
        <is>
          <t>Föryngringsavverkning</t>
        </is>
      </c>
      <c r="D1732" s="1" t="n">
        <v>44701</v>
      </c>
      <c r="E1732" s="1" t="n">
        <v>46315</v>
      </c>
      <c r="F1732" t="inlineStr">
        <is>
          <t>HALLANDS LÄN</t>
        </is>
      </c>
      <c r="G1732" t="inlineStr">
        <is>
          <t>HYLTE</t>
        </is>
      </c>
      <c r="H1732" t="inlineStr">
        <is>
          <t>Bergvik skog väst AB</t>
        </is>
      </c>
      <c r="I1732" t="n">
        <v>10.7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s="2" t="inlineStr"/>
    </row>
    <row r="1733" ht="15" customHeight="1">
      <c r="A1733" t="inlineStr">
        <is>
          <t>A 27100-2026</t>
        </is>
      </c>
      <c r="B1733" t="inlineStr">
        <is>
          <t>avverkningsanmälan</t>
        </is>
      </c>
      <c r="C1733" t="inlineStr">
        <is>
          <t>Föryngringsavverkning</t>
        </is>
      </c>
      <c r="D1733" s="1" t="n">
        <v>46188</v>
      </c>
      <c r="E1733" s="1" t="n">
        <v>46315</v>
      </c>
      <c r="F1733" t="inlineStr">
        <is>
          <t>HALLANDS LÄN</t>
        </is>
      </c>
      <c r="G1733" t="inlineStr">
        <is>
          <t>VARBERG</t>
        </is>
      </c>
      <c r="I1733" t="n">
        <v>4.3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s="2" t="inlineStr"/>
    </row>
    <row r="1734" ht="15" customHeight="1">
      <c r="A1734" t="inlineStr">
        <is>
          <t>A 11682-2026</t>
        </is>
      </c>
      <c r="B1734" t="inlineStr">
        <is>
          <t>avverkningsanmälan</t>
        </is>
      </c>
      <c r="C1734" t="inlineStr">
        <is>
          <t>Föryngringsavverkning</t>
        </is>
      </c>
      <c r="D1734" s="1" t="n">
        <v>46084</v>
      </c>
      <c r="E1734" s="1" t="n">
        <v>46315</v>
      </c>
      <c r="F1734" t="inlineStr">
        <is>
          <t>HALLANDS LÄN</t>
        </is>
      </c>
      <c r="G1734" t="inlineStr">
        <is>
          <t>HYLTE</t>
        </is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s="2" t="inlineStr"/>
    </row>
    <row r="1735" ht="15" customHeight="1">
      <c r="A1735" t="inlineStr">
        <is>
          <t>A 24459-2022</t>
        </is>
      </c>
      <c r="B1735" t="inlineStr">
        <is>
          <t>avverkningsanmälan</t>
        </is>
      </c>
      <c r="C1735" t="inlineStr">
        <is>
          <t>Föryngringsavverkning</t>
        </is>
      </c>
      <c r="D1735" s="1" t="n">
        <v>44726</v>
      </c>
      <c r="E1735" s="1" t="n">
        <v>46315</v>
      </c>
      <c r="F1735" t="inlineStr">
        <is>
          <t>HALLANDS LÄN</t>
        </is>
      </c>
      <c r="G1735" t="inlineStr">
        <is>
          <t>KUNGSBACKA</t>
        </is>
      </c>
      <c r="I1735" t="n">
        <v>4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s="2" t="inlineStr"/>
    </row>
    <row r="1736" ht="15" customHeight="1">
      <c r="A1736" t="inlineStr">
        <is>
          <t>A 26363-2022</t>
        </is>
      </c>
      <c r="B1736" t="inlineStr">
        <is>
          <t>avverkningsanmälan</t>
        </is>
      </c>
      <c r="C1736" t="inlineStr">
        <is>
          <t>Föryngringsavverkning</t>
        </is>
      </c>
      <c r="D1736" s="1" t="n">
        <v>44735</v>
      </c>
      <c r="E1736" s="1" t="n">
        <v>46315</v>
      </c>
      <c r="F1736" t="inlineStr">
        <is>
          <t>HALLANDS LÄN</t>
        </is>
      </c>
      <c r="G1736" t="inlineStr">
        <is>
          <t>HYLTE</t>
        </is>
      </c>
      <c r="I1736" t="n">
        <v>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s="2" t="inlineStr"/>
    </row>
    <row r="1737" ht="15" customHeight="1">
      <c r="A1737" t="inlineStr">
        <is>
          <t>A 11785-2026</t>
        </is>
      </c>
      <c r="B1737" t="inlineStr">
        <is>
          <t>avverkningsanmälan</t>
        </is>
      </c>
      <c r="C1737" t="inlineStr">
        <is>
          <t>Föryngringsavverkning</t>
        </is>
      </c>
      <c r="D1737" s="1" t="n">
        <v>46084</v>
      </c>
      <c r="E1737" s="1" t="n">
        <v>46315</v>
      </c>
      <c r="F1737" t="inlineStr">
        <is>
          <t>HALLANDS LÄN</t>
        </is>
      </c>
      <c r="G1737" t="inlineStr">
        <is>
          <t>HYLTE</t>
        </is>
      </c>
      <c r="I1737" t="n">
        <v>2.3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s="2" t="inlineStr"/>
    </row>
    <row r="1738" ht="15" customHeight="1">
      <c r="A1738" t="inlineStr">
        <is>
          <t>A 8032-2025</t>
        </is>
      </c>
      <c r="B1738" t="inlineStr">
        <is>
          <t>avverkningsanmälan</t>
        </is>
      </c>
      <c r="C1738" t="inlineStr">
        <is>
          <t>Föryngringsavverkning</t>
        </is>
      </c>
      <c r="D1738" s="1" t="n">
        <v>45707</v>
      </c>
      <c r="E1738" s="1" t="n">
        <v>46315</v>
      </c>
      <c r="F1738" t="inlineStr">
        <is>
          <t>HALLANDS LÄN</t>
        </is>
      </c>
      <c r="G1738" t="inlineStr">
        <is>
          <t>LAHOLM</t>
        </is>
      </c>
      <c r="I1738" t="n">
        <v>1.8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s="2" t="inlineStr"/>
    </row>
    <row r="1739" ht="15" customHeight="1">
      <c r="A1739" t="inlineStr">
        <is>
          <t>A 14254-2022</t>
        </is>
      </c>
      <c r="B1739" t="inlineStr">
        <is>
          <t>avverkningsanmälan</t>
        </is>
      </c>
      <c r="C1739" t="inlineStr">
        <is>
          <t>Föryngringsavverkning</t>
        </is>
      </c>
      <c r="D1739" s="1" t="n">
        <v>44651</v>
      </c>
      <c r="E1739" s="1" t="n">
        <v>46315</v>
      </c>
      <c r="F1739" t="inlineStr">
        <is>
          <t>HALLANDS LÄN</t>
        </is>
      </c>
      <c r="G1739" t="inlineStr">
        <is>
          <t>HYLTE</t>
        </is>
      </c>
      <c r="I1739" t="n">
        <v>2.2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s="2" t="inlineStr"/>
    </row>
    <row r="1740" ht="15" customHeight="1">
      <c r="A1740" t="inlineStr">
        <is>
          <t>A 40165-2023</t>
        </is>
      </c>
      <c r="B1740" t="inlineStr">
        <is>
          <t>avverkningsanmälan</t>
        </is>
      </c>
      <c r="C1740" t="inlineStr">
        <is>
          <t>Föryngringsavverkning</t>
        </is>
      </c>
      <c r="D1740" s="1" t="n">
        <v>45169</v>
      </c>
      <c r="E1740" s="1" t="n">
        <v>46315</v>
      </c>
      <c r="F1740" t="inlineStr">
        <is>
          <t>HALLANDS LÄN</t>
        </is>
      </c>
      <c r="G1740" t="inlineStr">
        <is>
          <t>HYLTE</t>
        </is>
      </c>
      <c r="I1740" t="n">
        <v>1.4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s="2" t="inlineStr"/>
    </row>
    <row r="1741" ht="15" customHeight="1">
      <c r="A1741" t="inlineStr">
        <is>
          <t>A 33484-2023</t>
        </is>
      </c>
      <c r="B1741" t="inlineStr">
        <is>
          <t>avverkningsanmälan</t>
        </is>
      </c>
      <c r="C1741" t="inlineStr">
        <is>
          <t>Föryngringsavverkning</t>
        </is>
      </c>
      <c r="D1741" s="1" t="n">
        <v>45131</v>
      </c>
      <c r="E1741" s="1" t="n">
        <v>46315</v>
      </c>
      <c r="F1741" t="inlineStr">
        <is>
          <t>HALLANDS LÄN</t>
        </is>
      </c>
      <c r="G1741" t="inlineStr">
        <is>
          <t>FALKENBERG</t>
        </is>
      </c>
      <c r="I1741" t="n">
        <v>1.2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s="2" t="inlineStr"/>
    </row>
    <row r="1742" ht="15" customHeight="1">
      <c r="A1742" t="inlineStr">
        <is>
          <t>A 27275-2026</t>
        </is>
      </c>
      <c r="B1742" t="inlineStr">
        <is>
          <t>avverkningsanmälan</t>
        </is>
      </c>
      <c r="C1742" t="inlineStr">
        <is>
          <t>Föryngringsavverkning</t>
        </is>
      </c>
      <c r="D1742" s="1" t="n">
        <v>46188</v>
      </c>
      <c r="E1742" s="1" t="n">
        <v>46315</v>
      </c>
      <c r="F1742" t="inlineStr">
        <is>
          <t>HALLANDS LÄN</t>
        </is>
      </c>
      <c r="G1742" t="inlineStr">
        <is>
          <t>VARBERG</t>
        </is>
      </c>
      <c r="I1742" t="n">
        <v>3.9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s="2" t="inlineStr"/>
    </row>
    <row r="1743" ht="15" customHeight="1">
      <c r="A1743" t="inlineStr">
        <is>
          <t>A 27289-2026</t>
        </is>
      </c>
      <c r="B1743" t="inlineStr">
        <is>
          <t>avverkningsanmälan</t>
        </is>
      </c>
      <c r="C1743" t="inlineStr">
        <is>
          <t>Föryngringsavverkning</t>
        </is>
      </c>
      <c r="D1743" s="1" t="n">
        <v>46188</v>
      </c>
      <c r="E1743" s="1" t="n">
        <v>46315</v>
      </c>
      <c r="F1743" t="inlineStr">
        <is>
          <t>HALLANDS LÄN</t>
        </is>
      </c>
      <c r="G1743" t="inlineStr">
        <is>
          <t>LAHOLM</t>
        </is>
      </c>
      <c r="I1743" t="n">
        <v>2.6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s="2" t="inlineStr"/>
    </row>
    <row r="1744" ht="15" customHeight="1">
      <c r="A1744" t="inlineStr">
        <is>
          <t>A 46421-2023</t>
        </is>
      </c>
      <c r="B1744" t="inlineStr">
        <is>
          <t>avverkningsanmälan</t>
        </is>
      </c>
      <c r="C1744" t="inlineStr">
        <is>
          <t>Föryngringsavverkning</t>
        </is>
      </c>
      <c r="D1744" s="1" t="n">
        <v>45197</v>
      </c>
      <c r="E1744" s="1" t="n">
        <v>46315</v>
      </c>
      <c r="F1744" t="inlineStr">
        <is>
          <t>HALLANDS LÄN</t>
        </is>
      </c>
      <c r="G1744" t="inlineStr">
        <is>
          <t>VARBERG</t>
        </is>
      </c>
      <c r="I1744" t="n">
        <v>2.3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s="2" t="inlineStr"/>
    </row>
    <row r="1745" ht="15" customHeight="1">
      <c r="A1745" t="inlineStr">
        <is>
          <t>A 27197-2026</t>
        </is>
      </c>
      <c r="B1745" t="inlineStr">
        <is>
          <t>avverkningsanmälan</t>
        </is>
      </c>
      <c r="C1745" t="inlineStr">
        <is>
          <t>Föryngringsavverkning</t>
        </is>
      </c>
      <c r="D1745" s="1" t="n">
        <v>46188</v>
      </c>
      <c r="E1745" s="1" t="n">
        <v>46315</v>
      </c>
      <c r="F1745" t="inlineStr">
        <is>
          <t>HALLANDS LÄN</t>
        </is>
      </c>
      <c r="G1745" t="inlineStr">
        <is>
          <t>HALMSTAD</t>
        </is>
      </c>
      <c r="I1745" t="n">
        <v>1.3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s="2" t="inlineStr"/>
    </row>
    <row r="1746" ht="15" customHeight="1">
      <c r="A1746" t="inlineStr">
        <is>
          <t>A 12298-2026</t>
        </is>
      </c>
      <c r="B1746" t="inlineStr">
        <is>
          <t>avverkningsanmälan</t>
        </is>
      </c>
      <c r="C1746" t="inlineStr">
        <is>
          <t>Föryngringsavverkning</t>
        </is>
      </c>
      <c r="D1746" s="1" t="n">
        <v>46087</v>
      </c>
      <c r="E1746" s="1" t="n">
        <v>46315</v>
      </c>
      <c r="F1746" t="inlineStr">
        <is>
          <t>HALLANDS LÄN</t>
        </is>
      </c>
      <c r="G1746" t="inlineStr">
        <is>
          <t>FALKENBERG</t>
        </is>
      </c>
      <c r="I1746" t="n">
        <v>0.9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s="2" t="inlineStr"/>
    </row>
    <row r="1747" ht="15" customHeight="1">
      <c r="A1747" t="inlineStr">
        <is>
          <t>A 12269-2026</t>
        </is>
      </c>
      <c r="B1747" t="inlineStr">
        <is>
          <t>avverkningsanmälan</t>
        </is>
      </c>
      <c r="C1747" t="inlineStr">
        <is>
          <t>Föryngringsavverkning</t>
        </is>
      </c>
      <c r="D1747" s="1" t="n">
        <v>46087</v>
      </c>
      <c r="E1747" s="1" t="n">
        <v>46315</v>
      </c>
      <c r="F1747" t="inlineStr">
        <is>
          <t>HALLANDS LÄN</t>
        </is>
      </c>
      <c r="G1747" t="inlineStr">
        <is>
          <t>HYLTE</t>
        </is>
      </c>
      <c r="I1747" t="n">
        <v>0.9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s="2" t="inlineStr"/>
    </row>
    <row r="1748" ht="15" customHeight="1">
      <c r="A1748" t="inlineStr">
        <is>
          <t>A 12048-2026</t>
        </is>
      </c>
      <c r="B1748" t="inlineStr">
        <is>
          <t>avverkningsanmälan</t>
        </is>
      </c>
      <c r="C1748" t="inlineStr">
        <is>
          <t>Föryngringsavverkning</t>
        </is>
      </c>
      <c r="D1748" s="1" t="n">
        <v>46086</v>
      </c>
      <c r="E1748" s="1" t="n">
        <v>46315</v>
      </c>
      <c r="F1748" t="inlineStr">
        <is>
          <t>HALLANDS LÄN</t>
        </is>
      </c>
      <c r="G1748" t="inlineStr">
        <is>
          <t>KUNGSBACKA</t>
        </is>
      </c>
      <c r="I1748" t="n">
        <v>8.1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s="2" t="inlineStr"/>
    </row>
    <row r="1749" ht="15" customHeight="1">
      <c r="A1749" t="inlineStr">
        <is>
          <t>A 5967-2025</t>
        </is>
      </c>
      <c r="B1749" t="inlineStr">
        <is>
          <t>avverkningsanmälan</t>
        </is>
      </c>
      <c r="C1749" t="inlineStr">
        <is>
          <t>Föryngringsavverkning</t>
        </is>
      </c>
      <c r="D1749" s="1" t="n">
        <v>45695</v>
      </c>
      <c r="E1749" s="1" t="n">
        <v>46315</v>
      </c>
      <c r="F1749" t="inlineStr">
        <is>
          <t>HALLANDS LÄN</t>
        </is>
      </c>
      <c r="G1749" t="inlineStr">
        <is>
          <t>VARBERG</t>
        </is>
      </c>
      <c r="H1749" t="inlineStr">
        <is>
          <t>Kyrkan</t>
        </is>
      </c>
      <c r="I1749" t="n">
        <v>2.4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s="2" t="inlineStr"/>
    </row>
    <row r="1750" ht="15" customHeight="1">
      <c r="A1750" t="inlineStr">
        <is>
          <t>A 53778-2023</t>
        </is>
      </c>
      <c r="B1750" t="inlineStr">
        <is>
          <t>avverkningsanmälan</t>
        </is>
      </c>
      <c r="C1750" t="inlineStr">
        <is>
          <t>Föryngringsavverkning</t>
        </is>
      </c>
      <c r="D1750" s="1" t="n">
        <v>45231</v>
      </c>
      <c r="E1750" s="1" t="n">
        <v>46315</v>
      </c>
      <c r="F1750" t="inlineStr">
        <is>
          <t>HALLANDS LÄN</t>
        </is>
      </c>
      <c r="G1750" t="inlineStr">
        <is>
          <t>LAHOLM</t>
        </is>
      </c>
      <c r="H1750" t="inlineStr">
        <is>
          <t>Sveaskog</t>
        </is>
      </c>
      <c r="I1750" t="n">
        <v>0.6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s="2" t="inlineStr"/>
    </row>
    <row r="1751" ht="15" customHeight="1">
      <c r="A1751" t="inlineStr">
        <is>
          <t>A 27499-2026</t>
        </is>
      </c>
      <c r="B1751" t="inlineStr">
        <is>
          <t>avverkningsanmälan</t>
        </is>
      </c>
      <c r="C1751" t="inlineStr">
        <is>
          <t>Föryngringsavverkning</t>
        </is>
      </c>
      <c r="D1751" s="1" t="n">
        <v>46189</v>
      </c>
      <c r="E1751" s="1" t="n">
        <v>46315</v>
      </c>
      <c r="F1751" t="inlineStr">
        <is>
          <t>HALLANDS LÄN</t>
        </is>
      </c>
      <c r="G1751" t="inlineStr">
        <is>
          <t>HALMSTAD</t>
        </is>
      </c>
      <c r="I1751" t="n">
        <v>1.4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s="2" t="inlineStr"/>
    </row>
    <row r="1752" ht="15" customHeight="1">
      <c r="A1752" t="inlineStr">
        <is>
          <t>A 27099-2026</t>
        </is>
      </c>
      <c r="B1752" t="inlineStr">
        <is>
          <t>avverkningsanmälan</t>
        </is>
      </c>
      <c r="C1752" t="inlineStr">
        <is>
          <t>Föryngringsavverkning</t>
        </is>
      </c>
      <c r="D1752" s="1" t="n">
        <v>46188</v>
      </c>
      <c r="E1752" s="1" t="n">
        <v>46315</v>
      </c>
      <c r="F1752" t="inlineStr">
        <is>
          <t>HALLANDS LÄN</t>
        </is>
      </c>
      <c r="G1752" t="inlineStr">
        <is>
          <t>VARBERG</t>
        </is>
      </c>
      <c r="I1752" t="n">
        <v>4.3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s="2" t="inlineStr"/>
    </row>
    <row r="1753" ht="15" customHeight="1">
      <c r="A1753" t="inlineStr">
        <is>
          <t>A 60110-2025</t>
        </is>
      </c>
      <c r="B1753" t="inlineStr">
        <is>
          <t>avverkningsanmälan</t>
        </is>
      </c>
      <c r="C1753" t="inlineStr">
        <is>
          <t>Föryngringsavverkning</t>
        </is>
      </c>
      <c r="D1753" s="1" t="n">
        <v>45994</v>
      </c>
      <c r="E1753" s="1" t="n">
        <v>46315</v>
      </c>
      <c r="F1753" t="inlineStr">
        <is>
          <t>HALLANDS LÄN</t>
        </is>
      </c>
      <c r="G1753" t="inlineStr">
        <is>
          <t>LAHOLM</t>
        </is>
      </c>
      <c r="H1753" t="inlineStr">
        <is>
          <t>Sveaskog</t>
        </is>
      </c>
      <c r="I1753" t="n">
        <v>2.7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s="2" t="inlineStr"/>
    </row>
    <row r="1754" ht="15" customHeight="1">
      <c r="A1754" t="inlineStr">
        <is>
          <t>A 15413-2024</t>
        </is>
      </c>
      <c r="B1754" t="inlineStr">
        <is>
          <t>avverkningsanmälan</t>
        </is>
      </c>
      <c r="C1754" t="inlineStr">
        <is>
          <t>Föryngringsavverkning</t>
        </is>
      </c>
      <c r="D1754" s="1" t="n">
        <v>45401</v>
      </c>
      <c r="E1754" s="1" t="n">
        <v>46315</v>
      </c>
      <c r="F1754" t="inlineStr">
        <is>
          <t>HALLANDS LÄN</t>
        </is>
      </c>
      <c r="G1754" t="inlineStr">
        <is>
          <t>VARBERG</t>
        </is>
      </c>
      <c r="I1754" t="n">
        <v>3.3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s="2" t="inlineStr"/>
    </row>
    <row r="1755" ht="15" customHeight="1">
      <c r="A1755" t="inlineStr">
        <is>
          <t>A 27165-2026</t>
        </is>
      </c>
      <c r="B1755" t="inlineStr">
        <is>
          <t>avverkningsanmälan</t>
        </is>
      </c>
      <c r="C1755" t="inlineStr">
        <is>
          <t>Föryngringsavverkning</t>
        </is>
      </c>
      <c r="D1755" s="1" t="n">
        <v>46188</v>
      </c>
      <c r="E1755" s="1" t="n">
        <v>46315</v>
      </c>
      <c r="F1755" t="inlineStr">
        <is>
          <t>HALLANDS LÄN</t>
        </is>
      </c>
      <c r="G1755" t="inlineStr">
        <is>
          <t>HYLTE</t>
        </is>
      </c>
      <c r="I1755" t="n">
        <v>7.4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s="2" t="inlineStr"/>
    </row>
    <row r="1756" ht="15" customHeight="1">
      <c r="A1756" t="inlineStr">
        <is>
          <t>A 27202-2026</t>
        </is>
      </c>
      <c r="B1756" t="inlineStr">
        <is>
          <t>avverkningsanmälan</t>
        </is>
      </c>
      <c r="C1756" t="inlineStr">
        <is>
          <t>Föryngringsavverkning</t>
        </is>
      </c>
      <c r="D1756" s="1" t="n">
        <v>46188</v>
      </c>
      <c r="E1756" s="1" t="n">
        <v>46315</v>
      </c>
      <c r="F1756" t="inlineStr">
        <is>
          <t>HALLANDS LÄN</t>
        </is>
      </c>
      <c r="G1756" t="inlineStr">
        <is>
          <t>HALMSTAD</t>
        </is>
      </c>
      <c r="I1756" t="n">
        <v>7.2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s="2" t="inlineStr"/>
    </row>
    <row r="1757" ht="15" customHeight="1">
      <c r="A1757" t="inlineStr">
        <is>
          <t>A 27189-2026</t>
        </is>
      </c>
      <c r="B1757" t="inlineStr">
        <is>
          <t>avverkningsanmälan</t>
        </is>
      </c>
      <c r="C1757" t="inlineStr">
        <is>
          <t>Föryngringsavverkning</t>
        </is>
      </c>
      <c r="D1757" s="1" t="n">
        <v>46188</v>
      </c>
      <c r="E1757" s="1" t="n">
        <v>46315</v>
      </c>
      <c r="F1757" t="inlineStr">
        <is>
          <t>HALLANDS LÄN</t>
        </is>
      </c>
      <c r="G1757" t="inlineStr">
        <is>
          <t>HALMSTAD</t>
        </is>
      </c>
      <c r="I1757" t="n">
        <v>1.1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s="2" t="inlineStr"/>
    </row>
    <row r="1758" ht="15" customHeight="1">
      <c r="A1758" t="inlineStr">
        <is>
          <t>A 12593-2026</t>
        </is>
      </c>
      <c r="B1758" t="inlineStr">
        <is>
          <t>avverkningsanmälan</t>
        </is>
      </c>
      <c r="C1758" t="inlineStr">
        <is>
          <t>Föryngringsavverkning</t>
        </is>
      </c>
      <c r="D1758" s="1" t="n">
        <v>46090</v>
      </c>
      <c r="E1758" s="1" t="n">
        <v>46315</v>
      </c>
      <c r="F1758" t="inlineStr">
        <is>
          <t>HALLANDS LÄN</t>
        </is>
      </c>
      <c r="G1758" t="inlineStr">
        <is>
          <t>HALMSTAD</t>
        </is>
      </c>
      <c r="I1758" t="n">
        <v>1.7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s="2" t="inlineStr"/>
    </row>
    <row r="1759" ht="15" customHeight="1">
      <c r="A1759" t="inlineStr">
        <is>
          <t>A 60323-2022</t>
        </is>
      </c>
      <c r="B1759" t="inlineStr">
        <is>
          <t>avverkningsanmälan</t>
        </is>
      </c>
      <c r="C1759" t="inlineStr">
        <is>
          <t>Föryngringsavverkning</t>
        </is>
      </c>
      <c r="D1759" s="1" t="n">
        <v>44910</v>
      </c>
      <c r="E1759" s="1" t="n">
        <v>46315</v>
      </c>
      <c r="F1759" t="inlineStr">
        <is>
          <t>HALLANDS LÄN</t>
        </is>
      </c>
      <c r="G1759" t="inlineStr">
        <is>
          <t>HALMSTAD</t>
        </is>
      </c>
      <c r="I1759" t="n">
        <v>1.3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s="2" t="inlineStr"/>
    </row>
    <row r="1760" ht="15" customHeight="1">
      <c r="A1760" t="inlineStr">
        <is>
          <t>A 10124-2025</t>
        </is>
      </c>
      <c r="B1760" t="inlineStr">
        <is>
          <t>avverkningsanmälan</t>
        </is>
      </c>
      <c r="C1760" t="inlineStr">
        <is>
          <t>Avverkning för annat ändamål</t>
        </is>
      </c>
      <c r="D1760" s="1" t="n">
        <v>45719</v>
      </c>
      <c r="E1760" s="1" t="n">
        <v>46315</v>
      </c>
      <c r="F1760" t="inlineStr">
        <is>
          <t>HALLANDS LÄN</t>
        </is>
      </c>
      <c r="G1760" t="inlineStr">
        <is>
          <t>KUNGSBACKA</t>
        </is>
      </c>
      <c r="I1760" t="n">
        <v>0.9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s="2" t="inlineStr"/>
    </row>
    <row r="1761" ht="15" customHeight="1">
      <c r="A1761" t="inlineStr">
        <is>
          <t>A 10140-2025</t>
        </is>
      </c>
      <c r="B1761" t="inlineStr">
        <is>
          <t>avverkningsanmälan</t>
        </is>
      </c>
      <c r="C1761" t="inlineStr">
        <is>
          <t>Avverkning för annat ändamål</t>
        </is>
      </c>
      <c r="D1761" s="1" t="n">
        <v>45719</v>
      </c>
      <c r="E1761" s="1" t="n">
        <v>46315</v>
      </c>
      <c r="F1761" t="inlineStr">
        <is>
          <t>HALLANDS LÄN</t>
        </is>
      </c>
      <c r="G1761" t="inlineStr">
        <is>
          <t>KUNGSBACKA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s="2" t="inlineStr"/>
    </row>
    <row r="1762" ht="15" customHeight="1">
      <c r="A1762" t="inlineStr">
        <is>
          <t>A 27175-2026</t>
        </is>
      </c>
      <c r="B1762" t="inlineStr">
        <is>
          <t>avverkningsanmälan</t>
        </is>
      </c>
      <c r="C1762" t="inlineStr">
        <is>
          <t>Föryngringsavverkning</t>
        </is>
      </c>
      <c r="D1762" s="1" t="n">
        <v>46188</v>
      </c>
      <c r="E1762" s="1" t="n">
        <v>46315</v>
      </c>
      <c r="F1762" t="inlineStr">
        <is>
          <t>HALLANDS LÄN</t>
        </is>
      </c>
      <c r="G1762" t="inlineStr">
        <is>
          <t>HALMSTAD</t>
        </is>
      </c>
      <c r="I1762" t="n">
        <v>2.4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s="2" t="inlineStr"/>
    </row>
    <row r="1763" ht="15" customHeight="1">
      <c r="A1763" t="inlineStr">
        <is>
          <t>A 27176-2026</t>
        </is>
      </c>
      <c r="B1763" t="inlineStr">
        <is>
          <t>avverkningsanmälan</t>
        </is>
      </c>
      <c r="C1763" t="inlineStr">
        <is>
          <t>Föryngringsavverkning</t>
        </is>
      </c>
      <c r="D1763" s="1" t="n">
        <v>46188</v>
      </c>
      <c r="E1763" s="1" t="n">
        <v>46315</v>
      </c>
      <c r="F1763" t="inlineStr">
        <is>
          <t>HALLANDS LÄN</t>
        </is>
      </c>
      <c r="G1763" t="inlineStr">
        <is>
          <t>HALMSTAD</t>
        </is>
      </c>
      <c r="I1763" t="n">
        <v>3.5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s="2" t="inlineStr"/>
    </row>
    <row r="1764" ht="15" customHeight="1">
      <c r="A1764" t="inlineStr">
        <is>
          <t>A 27180-2026</t>
        </is>
      </c>
      <c r="B1764" t="inlineStr">
        <is>
          <t>avverkningsanmälan</t>
        </is>
      </c>
      <c r="C1764" t="inlineStr">
        <is>
          <t>Föryngringsavverkning</t>
        </is>
      </c>
      <c r="D1764" s="1" t="n">
        <v>46188</v>
      </c>
      <c r="E1764" s="1" t="n">
        <v>46315</v>
      </c>
      <c r="F1764" t="inlineStr">
        <is>
          <t>HALLANDS LÄN</t>
        </is>
      </c>
      <c r="G1764" t="inlineStr">
        <is>
          <t>HALMSTAD</t>
        </is>
      </c>
      <c r="I1764" t="n">
        <v>1.9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s="2" t="inlineStr"/>
    </row>
    <row r="1765" ht="15" customHeight="1">
      <c r="A1765" t="inlineStr">
        <is>
          <t>A 27182-2026</t>
        </is>
      </c>
      <c r="B1765" t="inlineStr">
        <is>
          <t>avverkningsanmälan</t>
        </is>
      </c>
      <c r="C1765" t="inlineStr">
        <is>
          <t>Föryngringsavverkning</t>
        </is>
      </c>
      <c r="D1765" s="1" t="n">
        <v>46188</v>
      </c>
      <c r="E1765" s="1" t="n">
        <v>46315</v>
      </c>
      <c r="F1765" t="inlineStr">
        <is>
          <t>HALLANDS LÄN</t>
        </is>
      </c>
      <c r="G1765" t="inlineStr">
        <is>
          <t>HALMSTAD</t>
        </is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s="2" t="inlineStr"/>
    </row>
    <row r="1766" ht="15" customHeight="1">
      <c r="A1766" t="inlineStr">
        <is>
          <t>A 27191-2026</t>
        </is>
      </c>
      <c r="B1766" t="inlineStr">
        <is>
          <t>avverkningsanmälan</t>
        </is>
      </c>
      <c r="C1766" t="inlineStr">
        <is>
          <t>Föryngringsavverkning</t>
        </is>
      </c>
      <c r="D1766" s="1" t="n">
        <v>46188</v>
      </c>
      <c r="E1766" s="1" t="n">
        <v>46315</v>
      </c>
      <c r="F1766" t="inlineStr">
        <is>
          <t>HALLANDS LÄN</t>
        </is>
      </c>
      <c r="G1766" t="inlineStr">
        <is>
          <t>HALMSTAD</t>
        </is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s="2" t="inlineStr"/>
    </row>
    <row r="1767" ht="15" customHeight="1">
      <c r="A1767" t="inlineStr">
        <is>
          <t>A 27200-2026</t>
        </is>
      </c>
      <c r="B1767" t="inlineStr">
        <is>
          <t>avverkningsanmälan</t>
        </is>
      </c>
      <c r="C1767" t="inlineStr">
        <is>
          <t>Föryngringsavverkning</t>
        </is>
      </c>
      <c r="D1767" s="1" t="n">
        <v>46188</v>
      </c>
      <c r="E1767" s="1" t="n">
        <v>46315</v>
      </c>
      <c r="F1767" t="inlineStr">
        <is>
          <t>HALLANDS LÄN</t>
        </is>
      </c>
      <c r="G1767" t="inlineStr">
        <is>
          <t>HALMSTAD</t>
        </is>
      </c>
      <c r="I1767" t="n">
        <v>0.7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s="2" t="inlineStr"/>
    </row>
    <row r="1768" ht="15" customHeight="1">
      <c r="A1768" t="inlineStr">
        <is>
          <t>A 2771-2024</t>
        </is>
      </c>
      <c r="B1768" t="inlineStr">
        <is>
          <t>avverkningsanmälan</t>
        </is>
      </c>
      <c r="C1768" t="inlineStr">
        <is>
          <t>Föryngringsavverkning</t>
        </is>
      </c>
      <c r="D1768" s="1" t="n">
        <v>45314</v>
      </c>
      <c r="E1768" s="1" t="n">
        <v>46315</v>
      </c>
      <c r="F1768" t="inlineStr">
        <is>
          <t>HALLANDS LÄN</t>
        </is>
      </c>
      <c r="G1768" t="inlineStr">
        <is>
          <t>LAHOLM</t>
        </is>
      </c>
      <c r="I1768" t="n">
        <v>2.1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s="2" t="inlineStr"/>
    </row>
    <row r="1769" ht="15" customHeight="1">
      <c r="A1769" t="inlineStr">
        <is>
          <t>A 60139-2023</t>
        </is>
      </c>
      <c r="B1769" t="inlineStr">
        <is>
          <t>avverkningsanmälan</t>
        </is>
      </c>
      <c r="C1769" t="inlineStr">
        <is>
          <t>Föryngringsavverkning</t>
        </is>
      </c>
      <c r="D1769" s="1" t="n">
        <v>45258</v>
      </c>
      <c r="E1769" s="1" t="n">
        <v>46315</v>
      </c>
      <c r="F1769" t="inlineStr">
        <is>
          <t>HALLANDS LÄN</t>
        </is>
      </c>
      <c r="G1769" t="inlineStr">
        <is>
          <t>HALMSTAD</t>
        </is>
      </c>
      <c r="I1769" t="n">
        <v>1.1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s="2" t="inlineStr"/>
    </row>
    <row r="1770" ht="15" customHeight="1">
      <c r="A1770" t="inlineStr">
        <is>
          <t>A 7542-2026</t>
        </is>
      </c>
      <c r="B1770" t="inlineStr">
        <is>
          <t>avverkningsanmälan</t>
        </is>
      </c>
      <c r="C1770" t="inlineStr">
        <is>
          <t>Föryngringsavverkning</t>
        </is>
      </c>
      <c r="D1770" s="1" t="n">
        <v>46059</v>
      </c>
      <c r="E1770" s="1" t="n">
        <v>46315</v>
      </c>
      <c r="F1770" t="inlineStr">
        <is>
          <t>HALLANDS LÄN</t>
        </is>
      </c>
      <c r="G1770" t="inlineStr">
        <is>
          <t>HALMSTAD</t>
        </is>
      </c>
      <c r="I1770" t="n">
        <v>1.1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s="2" t="inlineStr"/>
    </row>
    <row r="1771" ht="15" customHeight="1">
      <c r="A1771" t="inlineStr">
        <is>
          <t>A 55876-2023</t>
        </is>
      </c>
      <c r="B1771" t="inlineStr">
        <is>
          <t>avverkningsanmälan</t>
        </is>
      </c>
      <c r="C1771" t="inlineStr">
        <is>
          <t>Avverkning för annat ändamål</t>
        </is>
      </c>
      <c r="D1771" s="1" t="n">
        <v>45239</v>
      </c>
      <c r="E1771" s="1" t="n">
        <v>46315</v>
      </c>
      <c r="F1771" t="inlineStr">
        <is>
          <t>HALLANDS LÄN</t>
        </is>
      </c>
      <c r="G1771" t="inlineStr">
        <is>
          <t>FALKENBERG</t>
        </is>
      </c>
      <c r="I1771" t="n">
        <v>1.4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s="2" t="inlineStr"/>
    </row>
    <row r="1772" ht="15" customHeight="1">
      <c r="A1772" t="inlineStr">
        <is>
          <t>A 13042-2026</t>
        </is>
      </c>
      <c r="B1772" t="inlineStr">
        <is>
          <t>avverkningsanmälan</t>
        </is>
      </c>
      <c r="C1772" t="inlineStr">
        <is>
          <t>Föryngringsavverkning</t>
        </is>
      </c>
      <c r="D1772" s="1" t="n">
        <v>46093</v>
      </c>
      <c r="E1772" s="1" t="n">
        <v>46315</v>
      </c>
      <c r="F1772" t="inlineStr">
        <is>
          <t>HALLANDS LÄN</t>
        </is>
      </c>
      <c r="G1772" t="inlineStr">
        <is>
          <t>LAHOLM</t>
        </is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s="2" t="inlineStr"/>
    </row>
    <row r="1773" ht="15" customHeight="1">
      <c r="A1773" t="inlineStr">
        <is>
          <t>A 12788-2026</t>
        </is>
      </c>
      <c r="B1773" t="inlineStr">
        <is>
          <t>avverkningsanmälan</t>
        </is>
      </c>
      <c r="C1773" t="inlineStr">
        <is>
          <t>Föryngringsavverkning</t>
        </is>
      </c>
      <c r="D1773" s="1" t="n">
        <v>46091</v>
      </c>
      <c r="E1773" s="1" t="n">
        <v>46315</v>
      </c>
      <c r="F1773" t="inlineStr">
        <is>
          <t>HALLANDS LÄN</t>
        </is>
      </c>
      <c r="G1773" t="inlineStr">
        <is>
          <t>LAHOLM</t>
        </is>
      </c>
      <c r="I1773" t="n">
        <v>4.1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s="2" t="inlineStr"/>
    </row>
    <row r="1774" ht="15" customHeight="1">
      <c r="A1774" t="inlineStr">
        <is>
          <t>A 27185-2026</t>
        </is>
      </c>
      <c r="B1774" t="inlineStr">
        <is>
          <t>avverkningsanmälan</t>
        </is>
      </c>
      <c r="C1774" t="inlineStr">
        <is>
          <t>Föryngringsavverkning</t>
        </is>
      </c>
      <c r="D1774" s="1" t="n">
        <v>46188</v>
      </c>
      <c r="E1774" s="1" t="n">
        <v>46315</v>
      </c>
      <c r="F1774" t="inlineStr">
        <is>
          <t>HALLANDS LÄN</t>
        </is>
      </c>
      <c r="G1774" t="inlineStr">
        <is>
          <t>HALMSTAD</t>
        </is>
      </c>
      <c r="I1774" t="n">
        <v>2.5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s="2" t="inlineStr"/>
    </row>
    <row r="1775" ht="15" customHeight="1">
      <c r="A1775" t="inlineStr">
        <is>
          <t>A 27194-2026</t>
        </is>
      </c>
      <c r="B1775" t="inlineStr">
        <is>
          <t>avverkningsanmälan</t>
        </is>
      </c>
      <c r="C1775" t="inlineStr">
        <is>
          <t>Föryngringsavverkning</t>
        </is>
      </c>
      <c r="D1775" s="1" t="n">
        <v>46188</v>
      </c>
      <c r="E1775" s="1" t="n">
        <v>46315</v>
      </c>
      <c r="F1775" t="inlineStr">
        <is>
          <t>HALLANDS LÄN</t>
        </is>
      </c>
      <c r="G1775" t="inlineStr">
        <is>
          <t>HYLTE</t>
        </is>
      </c>
      <c r="I1775" t="n">
        <v>7.8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s="2" t="inlineStr"/>
    </row>
    <row r="1776" ht="15" customHeight="1">
      <c r="A1776" t="inlineStr">
        <is>
          <t>A 27205-2026</t>
        </is>
      </c>
      <c r="B1776" t="inlineStr">
        <is>
          <t>avverkningsanmälan</t>
        </is>
      </c>
      <c r="C1776" t="inlineStr">
        <is>
          <t>Föryngringsavverkning</t>
        </is>
      </c>
      <c r="D1776" s="1" t="n">
        <v>46188</v>
      </c>
      <c r="E1776" s="1" t="n">
        <v>46315</v>
      </c>
      <c r="F1776" t="inlineStr">
        <is>
          <t>HALLANDS LÄN</t>
        </is>
      </c>
      <c r="G1776" t="inlineStr">
        <is>
          <t>HALMSTAD</t>
        </is>
      </c>
      <c r="I1776" t="n">
        <v>5.8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s="2" t="inlineStr"/>
    </row>
    <row r="1777" ht="15" customHeight="1">
      <c r="A1777" t="inlineStr">
        <is>
          <t>A 37594-2023</t>
        </is>
      </c>
      <c r="B1777" t="inlineStr">
        <is>
          <t>avverkningsanmälan</t>
        </is>
      </c>
      <c r="C1777" t="inlineStr">
        <is>
          <t>Föryngringsavverkning</t>
        </is>
      </c>
      <c r="D1777" s="1" t="n">
        <v>45159</v>
      </c>
      <c r="E1777" s="1" t="n">
        <v>46315</v>
      </c>
      <c r="F1777" t="inlineStr">
        <is>
          <t>HALLANDS LÄN</t>
        </is>
      </c>
      <c r="G1777" t="inlineStr">
        <is>
          <t>VARBERG</t>
        </is>
      </c>
      <c r="I1777" t="n">
        <v>1.9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s="2" t="inlineStr"/>
    </row>
    <row r="1778" ht="15" customHeight="1">
      <c r="A1778" t="inlineStr">
        <is>
          <t>A 734-2024</t>
        </is>
      </c>
      <c r="B1778" t="inlineStr">
        <is>
          <t>avverkningsanmälan</t>
        </is>
      </c>
      <c r="C1778" t="inlineStr">
        <is>
          <t>Föryngringsavverkning</t>
        </is>
      </c>
      <c r="D1778" s="1" t="n">
        <v>45300</v>
      </c>
      <c r="E1778" s="1" t="n">
        <v>46315</v>
      </c>
      <c r="F1778" t="inlineStr">
        <is>
          <t>HALLANDS LÄN</t>
        </is>
      </c>
      <c r="G1778" t="inlineStr">
        <is>
          <t>FALKENBERG</t>
        </is>
      </c>
      <c r="I1778" t="n">
        <v>1.1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s="2" t="inlineStr"/>
    </row>
    <row r="1779" ht="15" customHeight="1">
      <c r="A1779" t="inlineStr">
        <is>
          <t>A 34114-2023</t>
        </is>
      </c>
      <c r="B1779" t="inlineStr">
        <is>
          <t>avverkningsanmälan</t>
        </is>
      </c>
      <c r="C1779" t="inlineStr">
        <is>
          <t>Föryngringsavverkning</t>
        </is>
      </c>
      <c r="D1779" s="1" t="n">
        <v>45126</v>
      </c>
      <c r="E1779" s="1" t="n">
        <v>46315</v>
      </c>
      <c r="F1779" t="inlineStr">
        <is>
          <t>HALLANDS LÄN</t>
        </is>
      </c>
      <c r="G1779" t="inlineStr">
        <is>
          <t>HALMSTAD</t>
        </is>
      </c>
      <c r="I1779" t="n">
        <v>2.5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s="2" t="inlineStr"/>
    </row>
    <row r="1780" ht="15" customHeight="1">
      <c r="A1780" t="inlineStr">
        <is>
          <t>A 13060-2026</t>
        </is>
      </c>
      <c r="B1780" t="inlineStr">
        <is>
          <t>avverkningsanmälan</t>
        </is>
      </c>
      <c r="C1780" t="inlineStr">
        <is>
          <t>Föryngringsavverkning</t>
        </is>
      </c>
      <c r="D1780" s="1" t="n">
        <v>46093</v>
      </c>
      <c r="E1780" s="1" t="n">
        <v>46315</v>
      </c>
      <c r="F1780" t="inlineStr">
        <is>
          <t>HALLANDS LÄN</t>
        </is>
      </c>
      <c r="G1780" t="inlineStr">
        <is>
          <t>HYLTE</t>
        </is>
      </c>
      <c r="I1780" t="n">
        <v>1.3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s="2" t="inlineStr"/>
    </row>
    <row r="1781" ht="15" customHeight="1">
      <c r="A1781" t="inlineStr">
        <is>
          <t>A 13066-2026</t>
        </is>
      </c>
      <c r="B1781" t="inlineStr">
        <is>
          <t>avverkningsanmälan</t>
        </is>
      </c>
      <c r="C1781" t="inlineStr">
        <is>
          <t>Föryngringsavverkning</t>
        </is>
      </c>
      <c r="D1781" s="1" t="n">
        <v>46093</v>
      </c>
      <c r="E1781" s="1" t="n">
        <v>46315</v>
      </c>
      <c r="F1781" t="inlineStr">
        <is>
          <t>HALLANDS LÄN</t>
        </is>
      </c>
      <c r="G1781" t="inlineStr">
        <is>
          <t>HYLTE</t>
        </is>
      </c>
      <c r="I1781" t="n">
        <v>1.2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s="2" t="inlineStr"/>
    </row>
    <row r="1782" ht="15" customHeight="1">
      <c r="A1782" t="inlineStr">
        <is>
          <t>A 2997-2024</t>
        </is>
      </c>
      <c r="B1782" t="inlineStr">
        <is>
          <t>avverkningsanmälan</t>
        </is>
      </c>
      <c r="C1782" t="inlineStr">
        <is>
          <t>Föryngringsavverkning</t>
        </is>
      </c>
      <c r="D1782" s="1" t="n">
        <v>45315</v>
      </c>
      <c r="E1782" s="1" t="n">
        <v>46315</v>
      </c>
      <c r="F1782" t="inlineStr">
        <is>
          <t>HALLANDS LÄN</t>
        </is>
      </c>
      <c r="G1782" t="inlineStr">
        <is>
          <t>VARBERG</t>
        </is>
      </c>
      <c r="I1782" t="n">
        <v>3.4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s="2" t="inlineStr"/>
    </row>
    <row r="1783" ht="15" customHeight="1">
      <c r="A1783" t="inlineStr">
        <is>
          <t>A 3037-2024</t>
        </is>
      </c>
      <c r="B1783" t="inlineStr">
        <is>
          <t>avverkningsanmälan</t>
        </is>
      </c>
      <c r="C1783" t="inlineStr">
        <is>
          <t>Föryngringsavverkning</t>
        </is>
      </c>
      <c r="D1783" s="1" t="n">
        <v>45316</v>
      </c>
      <c r="E1783" s="1" t="n">
        <v>46315</v>
      </c>
      <c r="F1783" t="inlineStr">
        <is>
          <t>HALLANDS LÄN</t>
        </is>
      </c>
      <c r="G1783" t="inlineStr">
        <is>
          <t>HYLTE</t>
        </is>
      </c>
      <c r="H1783" t="inlineStr">
        <is>
          <t>Bergvik skog väst AB</t>
        </is>
      </c>
      <c r="I1783" t="n">
        <v>4.3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s="2" t="inlineStr"/>
    </row>
    <row r="1784" ht="15" customHeight="1">
      <c r="A1784" t="inlineStr">
        <is>
          <t>A 12845-2026</t>
        </is>
      </c>
      <c r="B1784" t="inlineStr">
        <is>
          <t>avverkningsanmälan</t>
        </is>
      </c>
      <c r="C1784" t="inlineStr">
        <is>
          <t>Föryngringsavverkning</t>
        </is>
      </c>
      <c r="D1784" s="1" t="n">
        <v>46092</v>
      </c>
      <c r="E1784" s="1" t="n">
        <v>46315</v>
      </c>
      <c r="F1784" t="inlineStr">
        <is>
          <t>HALLANDS LÄN</t>
        </is>
      </c>
      <c r="G1784" t="inlineStr">
        <is>
          <t>VARBERG</t>
        </is>
      </c>
      <c r="I1784" t="n">
        <v>6.1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s="2" t="inlineStr"/>
    </row>
    <row r="1785" ht="15" customHeight="1">
      <c r="A1785" t="inlineStr">
        <is>
          <t>A 13062-2026</t>
        </is>
      </c>
      <c r="B1785" t="inlineStr">
        <is>
          <t>avverkningsanmälan</t>
        </is>
      </c>
      <c r="C1785" t="inlineStr">
        <is>
          <t>Föryngringsavverkning</t>
        </is>
      </c>
      <c r="D1785" s="1" t="n">
        <v>46093</v>
      </c>
      <c r="E1785" s="1" t="n">
        <v>46315</v>
      </c>
      <c r="F1785" t="inlineStr">
        <is>
          <t>HALLANDS LÄN</t>
        </is>
      </c>
      <c r="G1785" t="inlineStr">
        <is>
          <t>HYLTE</t>
        </is>
      </c>
      <c r="I1785" t="n">
        <v>0.8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s="2" t="inlineStr"/>
    </row>
    <row r="1786" ht="15" customHeight="1">
      <c r="A1786" t="inlineStr">
        <is>
          <t>A 22149-2022</t>
        </is>
      </c>
      <c r="B1786" t="inlineStr">
        <is>
          <t>avverkningsanmälan</t>
        </is>
      </c>
      <c r="C1786" t="inlineStr">
        <is>
          <t>Föryngringsavverkning</t>
        </is>
      </c>
      <c r="D1786" s="1" t="n">
        <v>44712</v>
      </c>
      <c r="E1786" s="1" t="n">
        <v>46315</v>
      </c>
      <c r="F1786" t="inlineStr">
        <is>
          <t>HALLANDS LÄN</t>
        </is>
      </c>
      <c r="G1786" t="inlineStr">
        <is>
          <t>HALMSTAD</t>
        </is>
      </c>
      <c r="I1786" t="n">
        <v>9.699999999999999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s="2" t="inlineStr"/>
    </row>
    <row r="1787" ht="15" customHeight="1">
      <c r="A1787" t="inlineStr">
        <is>
          <t>A 39634-2023</t>
        </is>
      </c>
      <c r="B1787" t="inlineStr">
        <is>
          <t>avverkningsanmälan</t>
        </is>
      </c>
      <c r="C1787" t="inlineStr">
        <is>
          <t>Föryngringsavverkning</t>
        </is>
      </c>
      <c r="D1787" s="1" t="n">
        <v>45167</v>
      </c>
      <c r="E1787" s="1" t="n">
        <v>46315</v>
      </c>
      <c r="F1787" t="inlineStr">
        <is>
          <t>HALLANDS LÄN</t>
        </is>
      </c>
      <c r="G1787" t="inlineStr">
        <is>
          <t>HYLTE</t>
        </is>
      </c>
      <c r="I1787" t="n">
        <v>2.2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s="2" t="inlineStr"/>
    </row>
    <row r="1788" ht="15" customHeight="1">
      <c r="A1788" t="inlineStr">
        <is>
          <t>A 64203-2023</t>
        </is>
      </c>
      <c r="B1788" t="inlineStr">
        <is>
          <t>avverkningsanmälan</t>
        </is>
      </c>
      <c r="C1788" t="inlineStr">
        <is>
          <t>Föryngringsavverkning</t>
        </is>
      </c>
      <c r="D1788" s="1" t="n">
        <v>45279</v>
      </c>
      <c r="E1788" s="1" t="n">
        <v>46315</v>
      </c>
      <c r="F1788" t="inlineStr">
        <is>
          <t>HALLANDS LÄN</t>
        </is>
      </c>
      <c r="G1788" t="inlineStr">
        <is>
          <t>VARBERG</t>
        </is>
      </c>
      <c r="I1788" t="n">
        <v>2.1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s="2" t="inlineStr"/>
    </row>
    <row r="1789" ht="15" customHeight="1">
      <c r="A1789" t="inlineStr">
        <is>
          <t>A 12994-2026</t>
        </is>
      </c>
      <c r="B1789" t="inlineStr">
        <is>
          <t>avverkningsanmälan</t>
        </is>
      </c>
      <c r="C1789" t="inlineStr">
        <is>
          <t>Föryngringsavverkning</t>
        </is>
      </c>
      <c r="D1789" s="1" t="n">
        <v>46092</v>
      </c>
      <c r="E1789" s="1" t="n">
        <v>46315</v>
      </c>
      <c r="F1789" t="inlineStr">
        <is>
          <t>HALLANDS LÄN</t>
        </is>
      </c>
      <c r="G1789" t="inlineStr">
        <is>
          <t>HALMSTAD</t>
        </is>
      </c>
      <c r="I1789" t="n">
        <v>1.9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s="2" t="inlineStr"/>
    </row>
    <row r="1790" ht="15" customHeight="1">
      <c r="A1790" t="inlineStr">
        <is>
          <t>A 16041-2025</t>
        </is>
      </c>
      <c r="B1790" t="inlineStr">
        <is>
          <t>avverkningsanmälan</t>
        </is>
      </c>
      <c r="C1790" t="inlineStr">
        <is>
          <t>Föryngringsavverkning</t>
        </is>
      </c>
      <c r="D1790" s="1" t="n">
        <v>45749</v>
      </c>
      <c r="E1790" s="1" t="n">
        <v>46315</v>
      </c>
      <c r="F1790" t="inlineStr">
        <is>
          <t>HALLANDS LÄN</t>
        </is>
      </c>
      <c r="G1790" t="inlineStr">
        <is>
          <t>KUNGSBACKA</t>
        </is>
      </c>
      <c r="I1790" t="n">
        <v>0.6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s="2" t="inlineStr"/>
    </row>
    <row r="1791" ht="15" customHeight="1">
      <c r="A1791" t="inlineStr">
        <is>
          <t>A 13774-2026</t>
        </is>
      </c>
      <c r="B1791" t="inlineStr">
        <is>
          <t>avverkningsanmälan</t>
        </is>
      </c>
      <c r="C1791" t="inlineStr">
        <is>
          <t>Föryngringsavverkning</t>
        </is>
      </c>
      <c r="D1791" s="1" t="n">
        <v>46097</v>
      </c>
      <c r="E1791" s="1" t="n">
        <v>46315</v>
      </c>
      <c r="F1791" t="inlineStr">
        <is>
          <t>HALLANDS LÄN</t>
        </is>
      </c>
      <c r="G1791" t="inlineStr">
        <is>
          <t>FALKENBERG</t>
        </is>
      </c>
      <c r="I1791" t="n">
        <v>0.8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s="2" t="inlineStr"/>
    </row>
    <row r="1792" ht="15" customHeight="1">
      <c r="A1792" t="inlineStr">
        <is>
          <t>A 59624-2023</t>
        </is>
      </c>
      <c r="B1792" t="inlineStr">
        <is>
          <t>avverkningsanmälan</t>
        </is>
      </c>
      <c r="C1792" t="inlineStr">
        <is>
          <t>Föryngringsavverkning</t>
        </is>
      </c>
      <c r="D1792" s="1" t="n">
        <v>45254</v>
      </c>
      <c r="E1792" s="1" t="n">
        <v>46315</v>
      </c>
      <c r="F1792" t="inlineStr">
        <is>
          <t>HALLANDS LÄN</t>
        </is>
      </c>
      <c r="G1792" t="inlineStr">
        <is>
          <t>HYLTE</t>
        </is>
      </c>
      <c r="I1792" t="n">
        <v>0.8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s="2" t="inlineStr"/>
    </row>
    <row r="1793" ht="15" customHeight="1">
      <c r="A1793" t="inlineStr">
        <is>
          <t>A 59628-2023</t>
        </is>
      </c>
      <c r="B1793" t="inlineStr">
        <is>
          <t>avverkningsanmälan</t>
        </is>
      </c>
      <c r="C1793" t="inlineStr">
        <is>
          <t>Föryngringsavverkning</t>
        </is>
      </c>
      <c r="D1793" s="1" t="n">
        <v>45254</v>
      </c>
      <c r="E1793" s="1" t="n">
        <v>46315</v>
      </c>
      <c r="F1793" t="inlineStr">
        <is>
          <t>HALLANDS LÄN</t>
        </is>
      </c>
      <c r="G1793" t="inlineStr">
        <is>
          <t>HYLTE</t>
        </is>
      </c>
      <c r="I1793" t="n">
        <v>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s="2" t="inlineStr"/>
    </row>
    <row r="1794" ht="15" customHeight="1">
      <c r="A1794" t="inlineStr">
        <is>
          <t>A 57291-2023</t>
        </is>
      </c>
      <c r="B1794" t="inlineStr">
        <is>
          <t>avverkningsanmälan</t>
        </is>
      </c>
      <c r="C1794" t="inlineStr">
        <is>
          <t>Föryngringsavverkning</t>
        </is>
      </c>
      <c r="D1794" s="1" t="n">
        <v>45245</v>
      </c>
      <c r="E1794" s="1" t="n">
        <v>46315</v>
      </c>
      <c r="F1794" t="inlineStr">
        <is>
          <t>HALLANDS LÄN</t>
        </is>
      </c>
      <c r="G1794" t="inlineStr">
        <is>
          <t>HYLTE</t>
        </is>
      </c>
      <c r="I1794" t="n">
        <v>1.7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s="2" t="inlineStr"/>
    </row>
    <row r="1795" ht="15" customHeight="1">
      <c r="A1795" t="inlineStr">
        <is>
          <t>A 27615-2026</t>
        </is>
      </c>
      <c r="B1795" t="inlineStr">
        <is>
          <t>avverkningsanmälan</t>
        </is>
      </c>
      <c r="C1795" t="inlineStr">
        <is>
          <t>Föryngringsavverkning</t>
        </is>
      </c>
      <c r="D1795" s="1" t="n">
        <v>46190</v>
      </c>
      <c r="E1795" s="1" t="n">
        <v>46315</v>
      </c>
      <c r="F1795" t="inlineStr">
        <is>
          <t>HALLANDS LÄN</t>
        </is>
      </c>
      <c r="G1795" t="inlineStr">
        <is>
          <t>VARBERG</t>
        </is>
      </c>
      <c r="I1795" t="n">
        <v>1.7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s="2" t="inlineStr"/>
    </row>
    <row r="1796" ht="15" customHeight="1">
      <c r="A1796" t="inlineStr">
        <is>
          <t>A 15076-2025</t>
        </is>
      </c>
      <c r="B1796" t="inlineStr">
        <is>
          <t>avverkningsanmälan</t>
        </is>
      </c>
      <c r="C1796" t="inlineStr">
        <is>
          <t>Föryngringsavverkning</t>
        </is>
      </c>
      <c r="D1796" s="1" t="n">
        <v>45743</v>
      </c>
      <c r="E1796" s="1" t="n">
        <v>46315</v>
      </c>
      <c r="F1796" t="inlineStr">
        <is>
          <t>HALLANDS LÄN</t>
        </is>
      </c>
      <c r="G1796" t="inlineStr">
        <is>
          <t>KUNGSBACKA</t>
        </is>
      </c>
      <c r="I1796" t="n">
        <v>1.5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s="2" t="inlineStr"/>
    </row>
    <row r="1797" ht="15" customHeight="1">
      <c r="A1797" t="inlineStr">
        <is>
          <t>A 27655-2026</t>
        </is>
      </c>
      <c r="B1797" t="inlineStr">
        <is>
          <t>avverkningsanmälan</t>
        </is>
      </c>
      <c r="C1797" t="inlineStr">
        <is>
          <t>Föryngringsavverkning</t>
        </is>
      </c>
      <c r="D1797" s="1" t="n">
        <v>46190</v>
      </c>
      <c r="E1797" s="1" t="n">
        <v>46315</v>
      </c>
      <c r="F1797" t="inlineStr">
        <is>
          <t>HALLANDS LÄN</t>
        </is>
      </c>
      <c r="G1797" t="inlineStr">
        <is>
          <t>VARBERG</t>
        </is>
      </c>
      <c r="I1797" t="n">
        <v>1.9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s="2" t="inlineStr"/>
    </row>
    <row r="1798" ht="15" customHeight="1">
      <c r="A1798" t="inlineStr">
        <is>
          <t>A 13422-2026</t>
        </is>
      </c>
      <c r="B1798" t="inlineStr">
        <is>
          <t>avverkningsanmälan</t>
        </is>
      </c>
      <c r="C1798" t="inlineStr">
        <is>
          <t>Föryngringsavverkning</t>
        </is>
      </c>
      <c r="D1798" s="1" t="n">
        <v>46094</v>
      </c>
      <c r="E1798" s="1" t="n">
        <v>46315</v>
      </c>
      <c r="F1798" t="inlineStr">
        <is>
          <t>HALLANDS LÄN</t>
        </is>
      </c>
      <c r="G1798" t="inlineStr">
        <is>
          <t>LAHOLM</t>
        </is>
      </c>
      <c r="I1798" t="n">
        <v>1.4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s="2" t="inlineStr"/>
    </row>
    <row r="1799" ht="15" customHeight="1">
      <c r="A1799" t="inlineStr">
        <is>
          <t>A 13429-2026</t>
        </is>
      </c>
      <c r="B1799" t="inlineStr">
        <is>
          <t>avverkningsanmälan</t>
        </is>
      </c>
      <c r="C1799" t="inlineStr">
        <is>
          <t>Föryngringsavverkning</t>
        </is>
      </c>
      <c r="D1799" s="1" t="n">
        <v>46094</v>
      </c>
      <c r="E1799" s="1" t="n">
        <v>46315</v>
      </c>
      <c r="F1799" t="inlineStr">
        <is>
          <t>HALLANDS LÄN</t>
        </is>
      </c>
      <c r="G1799" t="inlineStr">
        <is>
          <t>VARBERG</t>
        </is>
      </c>
      <c r="I1799" t="n">
        <v>1.5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s="2" t="inlineStr"/>
    </row>
    <row r="1800" ht="15" customHeight="1">
      <c r="A1800" t="inlineStr">
        <is>
          <t>A 27545-2026</t>
        </is>
      </c>
      <c r="B1800" t="inlineStr">
        <is>
          <t>avverkningsanmälan</t>
        </is>
      </c>
      <c r="C1800" t="inlineStr">
        <is>
          <t>Föryngringsavverkning</t>
        </is>
      </c>
      <c r="D1800" s="1" t="n">
        <v>46190</v>
      </c>
      <c r="E1800" s="1" t="n">
        <v>46315</v>
      </c>
      <c r="F1800" t="inlineStr">
        <is>
          <t>HALLANDS LÄN</t>
        </is>
      </c>
      <c r="G1800" t="inlineStr">
        <is>
          <t>FALKENBERG</t>
        </is>
      </c>
      <c r="I1800" t="n">
        <v>5.7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s="2" t="inlineStr"/>
    </row>
    <row r="1801" ht="15" customHeight="1">
      <c r="A1801" t="inlineStr">
        <is>
          <t>A 27928-2026</t>
        </is>
      </c>
      <c r="B1801" t="inlineStr">
        <is>
          <t>avverkningsanmälan</t>
        </is>
      </c>
      <c r="C1801" t="inlineStr">
        <is>
          <t>Föryngringsavverkning</t>
        </is>
      </c>
      <c r="D1801" s="1" t="n">
        <v>46191</v>
      </c>
      <c r="E1801" s="1" t="n">
        <v>46315</v>
      </c>
      <c r="F1801" t="inlineStr">
        <is>
          <t>HALLANDS LÄN</t>
        </is>
      </c>
      <c r="G1801" t="inlineStr">
        <is>
          <t>LAHOLM</t>
        </is>
      </c>
      <c r="I1801" t="n">
        <v>4.4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s="2" t="inlineStr"/>
    </row>
    <row r="1802" ht="15" customHeight="1">
      <c r="A1802" t="inlineStr">
        <is>
          <t>A 13998-2026</t>
        </is>
      </c>
      <c r="B1802" t="inlineStr">
        <is>
          <t>avverkningsanmälan</t>
        </is>
      </c>
      <c r="C1802" t="inlineStr">
        <is>
          <t>Avverkning för att bevara och utveckla /försöksver</t>
        </is>
      </c>
      <c r="D1802" s="1" t="n">
        <v>46098</v>
      </c>
      <c r="E1802" s="1" t="n">
        <v>46315</v>
      </c>
      <c r="F1802" t="inlineStr">
        <is>
          <t>HALLANDS LÄN</t>
        </is>
      </c>
      <c r="G1802" t="inlineStr">
        <is>
          <t>LAHOLM</t>
        </is>
      </c>
      <c r="H1802" t="inlineStr">
        <is>
          <t>Sveaskog</t>
        </is>
      </c>
      <c r="I1802" t="n">
        <v>2.1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s="2" t="inlineStr"/>
    </row>
    <row r="1803" ht="15" customHeight="1">
      <c r="A1803" t="inlineStr">
        <is>
          <t>A 32050-2022</t>
        </is>
      </c>
      <c r="B1803" t="inlineStr">
        <is>
          <t>avverkningsanmälan</t>
        </is>
      </c>
      <c r="C1803" t="inlineStr">
        <is>
          <t>Föryngringsavverkning</t>
        </is>
      </c>
      <c r="D1803" s="1" t="n">
        <v>44778</v>
      </c>
      <c r="E1803" s="1" t="n">
        <v>46315</v>
      </c>
      <c r="F1803" t="inlineStr">
        <is>
          <t>HALLANDS LÄN</t>
        </is>
      </c>
      <c r="G1803" t="inlineStr">
        <is>
          <t>HYLTE</t>
        </is>
      </c>
      <c r="I1803" t="n">
        <v>1.1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s="2" t="inlineStr"/>
    </row>
    <row r="1804" ht="15" customHeight="1">
      <c r="A1804" t="inlineStr">
        <is>
          <t>A 50099-2023</t>
        </is>
      </c>
      <c r="B1804" t="inlineStr">
        <is>
          <t>avverkningsanmälan</t>
        </is>
      </c>
      <c r="C1804" t="inlineStr">
        <is>
          <t>Föryngringsavverkning</t>
        </is>
      </c>
      <c r="D1804" s="1" t="n">
        <v>45215</v>
      </c>
      <c r="E1804" s="1" t="n">
        <v>46315</v>
      </c>
      <c r="F1804" t="inlineStr">
        <is>
          <t>HALLANDS LÄN</t>
        </is>
      </c>
      <c r="G1804" t="inlineStr">
        <is>
          <t>LAHOLM</t>
        </is>
      </c>
      <c r="I1804" t="n">
        <v>0.7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s="2" t="inlineStr"/>
    </row>
    <row r="1805" ht="15" customHeight="1">
      <c r="A1805" t="inlineStr">
        <is>
          <t>A 4613-2024</t>
        </is>
      </c>
      <c r="B1805" t="inlineStr">
        <is>
          <t>avverkningsanmälan</t>
        </is>
      </c>
      <c r="C1805" t="inlineStr">
        <is>
          <t>Föryngringsavverkning</t>
        </is>
      </c>
      <c r="D1805" s="1" t="n">
        <v>45328</v>
      </c>
      <c r="E1805" s="1" t="n">
        <v>46315</v>
      </c>
      <c r="F1805" t="inlineStr">
        <is>
          <t>HALLANDS LÄN</t>
        </is>
      </c>
      <c r="G1805" t="inlineStr">
        <is>
          <t>FALKENBERG</t>
        </is>
      </c>
      <c r="H1805" t="inlineStr">
        <is>
          <t>Kyrkan</t>
        </is>
      </c>
      <c r="I1805" t="n">
        <v>1.1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s="2" t="inlineStr"/>
    </row>
    <row r="1806" ht="15" customHeight="1">
      <c r="A1806" t="inlineStr">
        <is>
          <t>A 18270-2025</t>
        </is>
      </c>
      <c r="B1806" t="inlineStr">
        <is>
          <t>avverkningsanmälan</t>
        </is>
      </c>
      <c r="C1806" t="inlineStr">
        <is>
          <t>Föryngringsavverkning</t>
        </is>
      </c>
      <c r="D1806" s="1" t="n">
        <v>45762</v>
      </c>
      <c r="E1806" s="1" t="n">
        <v>46315</v>
      </c>
      <c r="F1806" t="inlineStr">
        <is>
          <t>HALLANDS LÄN</t>
        </is>
      </c>
      <c r="G1806" t="inlineStr">
        <is>
          <t>FALKENBERG</t>
        </is>
      </c>
      <c r="I1806" t="n">
        <v>1.8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s="2" t="inlineStr"/>
    </row>
    <row r="1807" ht="15" customHeight="1">
      <c r="A1807" t="inlineStr">
        <is>
          <t>A 3472-2024</t>
        </is>
      </c>
      <c r="B1807" t="inlineStr">
        <is>
          <t>avverkningsanmälan</t>
        </is>
      </c>
      <c r="C1807" t="inlineStr">
        <is>
          <t>Föryngringsavverkning</t>
        </is>
      </c>
      <c r="D1807" s="1" t="n">
        <v>45320</v>
      </c>
      <c r="E1807" s="1" t="n">
        <v>46315</v>
      </c>
      <c r="F1807" t="inlineStr">
        <is>
          <t>HALLANDS LÄN</t>
        </is>
      </c>
      <c r="G1807" t="inlineStr">
        <is>
          <t>LAHOLM</t>
        </is>
      </c>
      <c r="I1807" t="n">
        <v>5.5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s="2" t="inlineStr"/>
    </row>
    <row r="1808" ht="15" customHeight="1">
      <c r="A1808" t="inlineStr">
        <is>
          <t>A 46253-2022</t>
        </is>
      </c>
      <c r="B1808" t="inlineStr">
        <is>
          <t>avverkningsanmälan</t>
        </is>
      </c>
      <c r="C1808" t="inlineStr">
        <is>
          <t>Föryngringsavverkning</t>
        </is>
      </c>
      <c r="D1808" s="1" t="n">
        <v>44847</v>
      </c>
      <c r="E1808" s="1" t="n">
        <v>46315</v>
      </c>
      <c r="F1808" t="inlineStr">
        <is>
          <t>HALLANDS LÄN</t>
        </is>
      </c>
      <c r="G1808" t="inlineStr">
        <is>
          <t>HYLTE</t>
        </is>
      </c>
      <c r="I1808" t="n">
        <v>4.6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s="2" t="inlineStr"/>
    </row>
    <row r="1809" ht="15" customHeight="1">
      <c r="A1809" t="inlineStr">
        <is>
          <t>A 28249-2026</t>
        </is>
      </c>
      <c r="B1809" t="inlineStr">
        <is>
          <t>avverkningsanmälan</t>
        </is>
      </c>
      <c r="C1809" t="inlineStr">
        <is>
          <t>Föryngringsavverkning</t>
        </is>
      </c>
      <c r="D1809" s="1" t="n">
        <v>46196</v>
      </c>
      <c r="E1809" s="1" t="n">
        <v>46315</v>
      </c>
      <c r="F1809" t="inlineStr">
        <is>
          <t>HALLANDS LÄN</t>
        </is>
      </c>
      <c r="G1809" t="inlineStr">
        <is>
          <t>HYLTE</t>
        </is>
      </c>
      <c r="I1809" t="n">
        <v>1.3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s="2" t="inlineStr"/>
    </row>
    <row r="1810" ht="15" customHeight="1">
      <c r="A1810" t="inlineStr">
        <is>
          <t>A 4598-2024</t>
        </is>
      </c>
      <c r="B1810" t="inlineStr">
        <is>
          <t>avverkningsanmälan</t>
        </is>
      </c>
      <c r="C1810" t="inlineStr">
        <is>
          <t>Avverkning för annat ändamål</t>
        </is>
      </c>
      <c r="D1810" s="1" t="n">
        <v>45328</v>
      </c>
      <c r="E1810" s="1" t="n">
        <v>46315</v>
      </c>
      <c r="F1810" t="inlineStr">
        <is>
          <t>HALLANDS LÄN</t>
        </is>
      </c>
      <c r="G1810" t="inlineStr">
        <is>
          <t>VARBERG</t>
        </is>
      </c>
      <c r="I1810" t="n">
        <v>6.7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s="2" t="inlineStr"/>
    </row>
    <row r="1811" ht="15" customHeight="1">
      <c r="A1811" t="inlineStr">
        <is>
          <t>A 55135-2023</t>
        </is>
      </c>
      <c r="B1811" t="inlineStr">
        <is>
          <t>avverkningsanmälan</t>
        </is>
      </c>
      <c r="C1811" t="inlineStr">
        <is>
          <t>Föryngringsavverkning</t>
        </is>
      </c>
      <c r="D1811" s="1" t="n">
        <v>45230</v>
      </c>
      <c r="E1811" s="1" t="n">
        <v>46315</v>
      </c>
      <c r="F1811" t="inlineStr">
        <is>
          <t>HALLANDS LÄN</t>
        </is>
      </c>
      <c r="G1811" t="inlineStr">
        <is>
          <t>LAHOLM</t>
        </is>
      </c>
      <c r="H1811" t="inlineStr">
        <is>
          <t>Övriga statliga verk och myndigheter</t>
        </is>
      </c>
      <c r="I1811" t="n">
        <v>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s="2" t="inlineStr"/>
    </row>
    <row r="1812" ht="15" customHeight="1">
      <c r="A1812" t="inlineStr">
        <is>
          <t>A 28507-2026</t>
        </is>
      </c>
      <c r="B1812" t="inlineStr">
        <is>
          <t>avverkningsanmälan</t>
        </is>
      </c>
      <c r="C1812" t="inlineStr">
        <is>
          <t>Föryngringsavverkning</t>
        </is>
      </c>
      <c r="D1812" s="1" t="n">
        <v>46197</v>
      </c>
      <c r="E1812" s="1" t="n">
        <v>46315</v>
      </c>
      <c r="F1812" t="inlineStr">
        <is>
          <t>HALLANDS LÄN</t>
        </is>
      </c>
      <c r="G1812" t="inlineStr">
        <is>
          <t>KUNGSBACKA</t>
        </is>
      </c>
      <c r="I1812" t="n">
        <v>1.2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s="2" t="inlineStr"/>
    </row>
    <row r="1813" ht="15" customHeight="1">
      <c r="A1813" t="inlineStr">
        <is>
          <t>A 14756-2024</t>
        </is>
      </c>
      <c r="B1813" t="inlineStr">
        <is>
          <t>avverkningsanmälan</t>
        </is>
      </c>
      <c r="C1813" t="inlineStr">
        <is>
          <t>Föryngringsavverkning</t>
        </is>
      </c>
      <c r="D1813" s="1" t="n">
        <v>45397</v>
      </c>
      <c r="E1813" s="1" t="n">
        <v>46315</v>
      </c>
      <c r="F1813" t="inlineStr">
        <is>
          <t>HALLANDS LÄN</t>
        </is>
      </c>
      <c r="G1813" t="inlineStr">
        <is>
          <t>VARBERG</t>
        </is>
      </c>
      <c r="I1813" t="n">
        <v>1.5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s="2" t="inlineStr"/>
    </row>
    <row r="1814" ht="15" customHeight="1">
      <c r="A1814" t="inlineStr">
        <is>
          <t>A 28272-2026</t>
        </is>
      </c>
      <c r="B1814" t="inlineStr">
        <is>
          <t>avverkningsanmälan</t>
        </is>
      </c>
      <c r="C1814" t="inlineStr">
        <is>
          <t>Föryngringsavverkning</t>
        </is>
      </c>
      <c r="D1814" s="1" t="n">
        <v>46196</v>
      </c>
      <c r="E1814" s="1" t="n">
        <v>46315</v>
      </c>
      <c r="F1814" t="inlineStr">
        <is>
          <t>HALLANDS LÄN</t>
        </is>
      </c>
      <c r="G1814" t="inlineStr">
        <is>
          <t>VARBERG</t>
        </is>
      </c>
      <c r="I1814" t="n">
        <v>0.5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s="2" t="inlineStr"/>
    </row>
    <row r="1815" ht="15" customHeight="1">
      <c r="A1815" t="inlineStr">
        <is>
          <t>A 15189-2026</t>
        </is>
      </c>
      <c r="B1815" t="inlineStr">
        <is>
          <t>avverkningsanmälan</t>
        </is>
      </c>
      <c r="C1815" t="inlineStr">
        <is>
          <t>Föryngringsavverkning</t>
        </is>
      </c>
      <c r="D1815" s="1" t="n">
        <v>46105</v>
      </c>
      <c r="E1815" s="1" t="n">
        <v>46315</v>
      </c>
      <c r="F1815" t="inlineStr">
        <is>
          <t>HALLANDS LÄN</t>
        </is>
      </c>
      <c r="G1815" t="inlineStr">
        <is>
          <t>HALMSTAD</t>
        </is>
      </c>
      <c r="I1815" t="n">
        <v>3.8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s="2" t="inlineStr"/>
    </row>
    <row r="1816" ht="15" customHeight="1">
      <c r="A1816" t="inlineStr">
        <is>
          <t>A 15190-2026</t>
        </is>
      </c>
      <c r="B1816" t="inlineStr">
        <is>
          <t>avverkningsanmälan</t>
        </is>
      </c>
      <c r="C1816" t="inlineStr">
        <is>
          <t>Föryngringsavverkning</t>
        </is>
      </c>
      <c r="D1816" s="1" t="n">
        <v>46105</v>
      </c>
      <c r="E1816" s="1" t="n">
        <v>46315</v>
      </c>
      <c r="F1816" t="inlineStr">
        <is>
          <t>HALLANDS LÄN</t>
        </is>
      </c>
      <c r="G1816" t="inlineStr">
        <is>
          <t>HALMSTAD</t>
        </is>
      </c>
      <c r="I1816" t="n">
        <v>1.9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s="2" t="inlineStr"/>
    </row>
    <row r="1817" ht="15" customHeight="1">
      <c r="A1817" t="inlineStr">
        <is>
          <t>A 59913-2023</t>
        </is>
      </c>
      <c r="B1817" t="inlineStr">
        <is>
          <t>avverkningsanmälan</t>
        </is>
      </c>
      <c r="C1817" t="inlineStr">
        <is>
          <t>Föryngringsavverkning</t>
        </is>
      </c>
      <c r="D1817" s="1" t="n">
        <v>45257</v>
      </c>
      <c r="E1817" s="1" t="n">
        <v>46315</v>
      </c>
      <c r="F1817" t="inlineStr">
        <is>
          <t>HALLANDS LÄN</t>
        </is>
      </c>
      <c r="G1817" t="inlineStr">
        <is>
          <t>HALMSTAD</t>
        </is>
      </c>
      <c r="I1817" t="n">
        <v>0.8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s="2" t="inlineStr"/>
    </row>
    <row r="1818" ht="15" customHeight="1">
      <c r="A1818" t="inlineStr">
        <is>
          <t>A 15247-2026</t>
        </is>
      </c>
      <c r="B1818" t="inlineStr">
        <is>
          <t>avverkningsanmälan</t>
        </is>
      </c>
      <c r="C1818" t="inlineStr">
        <is>
          <t>Föryngringsavverkning</t>
        </is>
      </c>
      <c r="D1818" s="1" t="n">
        <v>46105</v>
      </c>
      <c r="E1818" s="1" t="n">
        <v>46315</v>
      </c>
      <c r="F1818" t="inlineStr">
        <is>
          <t>HALLANDS LÄN</t>
        </is>
      </c>
      <c r="G1818" t="inlineStr">
        <is>
          <t>LAHOLM</t>
        </is>
      </c>
      <c r="I1818" t="n">
        <v>2.4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s="2" t="inlineStr"/>
    </row>
    <row r="1819" ht="15" customHeight="1">
      <c r="A1819" t="inlineStr">
        <is>
          <t>A 3248-2024</t>
        </is>
      </c>
      <c r="B1819" t="inlineStr">
        <is>
          <t>avverkningsanmälan</t>
        </is>
      </c>
      <c r="C1819" t="inlineStr">
        <is>
          <t>Föryngringsavverkning</t>
        </is>
      </c>
      <c r="D1819" s="1" t="n">
        <v>45317</v>
      </c>
      <c r="E1819" s="1" t="n">
        <v>46315</v>
      </c>
      <c r="F1819" t="inlineStr">
        <is>
          <t>HALLANDS LÄN</t>
        </is>
      </c>
      <c r="G1819" t="inlineStr">
        <is>
          <t>LAHOLM</t>
        </is>
      </c>
      <c r="I1819" t="n">
        <v>0.9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s="2" t="inlineStr"/>
    </row>
    <row r="1820" ht="15" customHeight="1">
      <c r="A1820" t="inlineStr">
        <is>
          <t>A 7004-2024</t>
        </is>
      </c>
      <c r="B1820" t="inlineStr">
        <is>
          <t>avverkningsanmälan</t>
        </is>
      </c>
      <c r="C1820" t="inlineStr">
        <is>
          <t>Föryngringsavverkning</t>
        </is>
      </c>
      <c r="D1820" s="1" t="n">
        <v>45343</v>
      </c>
      <c r="E1820" s="1" t="n">
        <v>46315</v>
      </c>
      <c r="F1820" t="inlineStr">
        <is>
          <t>HALLANDS LÄN</t>
        </is>
      </c>
      <c r="G1820" t="inlineStr">
        <is>
          <t>FALKENBERG</t>
        </is>
      </c>
      <c r="I1820" t="n">
        <v>0.6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s="2" t="inlineStr"/>
    </row>
    <row r="1821" ht="15" customHeight="1">
      <c r="A1821" t="inlineStr">
        <is>
          <t>A 6868-2026</t>
        </is>
      </c>
      <c r="B1821" t="inlineStr">
        <is>
          <t>avverkningsanmälan</t>
        </is>
      </c>
      <c r="C1821" t="inlineStr">
        <is>
          <t>Föryngringsavverkning</t>
        </is>
      </c>
      <c r="D1821" s="1" t="n">
        <v>46057</v>
      </c>
      <c r="E1821" s="1" t="n">
        <v>46315</v>
      </c>
      <c r="F1821" t="inlineStr">
        <is>
          <t>HALLANDS LÄN</t>
        </is>
      </c>
      <c r="G1821" t="inlineStr">
        <is>
          <t>HYLTE</t>
        </is>
      </c>
      <c r="I1821" t="n">
        <v>7.6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s="2" t="inlineStr"/>
    </row>
    <row r="1822" ht="15" customHeight="1">
      <c r="A1822" t="inlineStr">
        <is>
          <t>A 15013-2026</t>
        </is>
      </c>
      <c r="B1822" t="inlineStr">
        <is>
          <t>avverkningsanmälan</t>
        </is>
      </c>
      <c r="C1822" t="inlineStr">
        <is>
          <t>Föryngringsavverkning</t>
        </is>
      </c>
      <c r="D1822" s="1" t="n">
        <v>46104</v>
      </c>
      <c r="E1822" s="1" t="n">
        <v>46315</v>
      </c>
      <c r="F1822" t="inlineStr">
        <is>
          <t>HALLANDS LÄN</t>
        </is>
      </c>
      <c r="G1822" t="inlineStr">
        <is>
          <t>VARBERG</t>
        </is>
      </c>
      <c r="I1822" t="n">
        <v>1.2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s="2" t="inlineStr"/>
    </row>
    <row r="1823" ht="15" customHeight="1">
      <c r="A1823" t="inlineStr">
        <is>
          <t>A 28377-2026</t>
        </is>
      </c>
      <c r="B1823" t="inlineStr">
        <is>
          <t>avverkningsanmälan</t>
        </is>
      </c>
      <c r="C1823" t="inlineStr">
        <is>
          <t>Föryngringsavverkning</t>
        </is>
      </c>
      <c r="D1823" s="1" t="n">
        <v>46196</v>
      </c>
      <c r="E1823" s="1" t="n">
        <v>46315</v>
      </c>
      <c r="F1823" t="inlineStr">
        <is>
          <t>HALLANDS LÄN</t>
        </is>
      </c>
      <c r="G1823" t="inlineStr">
        <is>
          <t>LAHOLM</t>
        </is>
      </c>
      <c r="I1823" t="n">
        <v>0.5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s="2" t="inlineStr"/>
    </row>
    <row r="1824" ht="15" customHeight="1">
      <c r="A1824" t="inlineStr">
        <is>
          <t>A 19659-2022</t>
        </is>
      </c>
      <c r="B1824" t="inlineStr">
        <is>
          <t>avverkningsanmälan</t>
        </is>
      </c>
      <c r="C1824" t="inlineStr">
        <is>
          <t>Föryngringsavverkning</t>
        </is>
      </c>
      <c r="D1824" s="1" t="n">
        <v>44694</v>
      </c>
      <c r="E1824" s="1" t="n">
        <v>46315</v>
      </c>
      <c r="F1824" t="inlineStr">
        <is>
          <t>HALLANDS LÄN</t>
        </is>
      </c>
      <c r="G1824" t="inlineStr">
        <is>
          <t>HYLTE</t>
        </is>
      </c>
      <c r="I1824" t="n">
        <v>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s="2" t="inlineStr"/>
    </row>
    <row r="1825" ht="15" customHeight="1">
      <c r="A1825" t="inlineStr">
        <is>
          <t>A 15289-2026</t>
        </is>
      </c>
      <c r="B1825" t="inlineStr">
        <is>
          <t>avverkningsanmälan</t>
        </is>
      </c>
      <c r="C1825" t="inlineStr">
        <is>
          <t>Föryngringsavverkning</t>
        </is>
      </c>
      <c r="D1825" s="1" t="n">
        <v>46105</v>
      </c>
      <c r="E1825" s="1" t="n">
        <v>46315</v>
      </c>
      <c r="F1825" t="inlineStr">
        <is>
          <t>HALLANDS LÄN</t>
        </is>
      </c>
      <c r="G1825" t="inlineStr">
        <is>
          <t>LAHOLM</t>
        </is>
      </c>
      <c r="I1825" t="n">
        <v>1.3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s="2" t="inlineStr"/>
    </row>
    <row r="1826" ht="15" customHeight="1">
      <c r="A1826" t="inlineStr">
        <is>
          <t>A 15109-2026</t>
        </is>
      </c>
      <c r="B1826" t="inlineStr">
        <is>
          <t>avverkningsanmälan</t>
        </is>
      </c>
      <c r="C1826" t="inlineStr">
        <is>
          <t>Föryngringsavverkning</t>
        </is>
      </c>
      <c r="D1826" s="1" t="n">
        <v>46105</v>
      </c>
      <c r="E1826" s="1" t="n">
        <v>46315</v>
      </c>
      <c r="F1826" t="inlineStr">
        <is>
          <t>HALLANDS LÄN</t>
        </is>
      </c>
      <c r="G1826" t="inlineStr">
        <is>
          <t>HALMSTAD</t>
        </is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s="2" t="inlineStr"/>
    </row>
    <row r="1827" ht="15" customHeight="1">
      <c r="A1827" t="inlineStr">
        <is>
          <t>A 33578-2023</t>
        </is>
      </c>
      <c r="B1827" t="inlineStr">
        <is>
          <t>avverkningsanmälan</t>
        </is>
      </c>
      <c r="C1827" t="inlineStr">
        <is>
          <t>Föryngringsavverkning</t>
        </is>
      </c>
      <c r="D1827" s="1" t="n">
        <v>45131</v>
      </c>
      <c r="E1827" s="1" t="n">
        <v>46315</v>
      </c>
      <c r="F1827" t="inlineStr">
        <is>
          <t>HALLANDS LÄN</t>
        </is>
      </c>
      <c r="G1827" t="inlineStr">
        <is>
          <t>LAHOLM</t>
        </is>
      </c>
      <c r="I1827" t="n">
        <v>2.9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s="2" t="inlineStr"/>
    </row>
    <row r="1828" ht="15" customHeight="1">
      <c r="A1828" t="inlineStr">
        <is>
          <t>A 28202-2026</t>
        </is>
      </c>
      <c r="B1828" t="inlineStr">
        <is>
          <t>avverkningsanmälan</t>
        </is>
      </c>
      <c r="C1828" t="inlineStr">
        <is>
          <t>Föryngringsavverkning</t>
        </is>
      </c>
      <c r="D1828" s="1" t="n">
        <v>46196</v>
      </c>
      <c r="E1828" s="1" t="n">
        <v>46315</v>
      </c>
      <c r="F1828" t="inlineStr">
        <is>
          <t>HALLANDS LÄN</t>
        </is>
      </c>
      <c r="G1828" t="inlineStr">
        <is>
          <t>HALMSTAD</t>
        </is>
      </c>
      <c r="I1828" t="n">
        <v>0.9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s="2" t="inlineStr"/>
    </row>
    <row r="1829" ht="15" customHeight="1">
      <c r="A1829" t="inlineStr">
        <is>
          <t>A 32473-2024</t>
        </is>
      </c>
      <c r="B1829" t="inlineStr">
        <is>
          <t>avverkningsanmälan</t>
        </is>
      </c>
      <c r="C1829" t="inlineStr">
        <is>
          <t>Föryngringsavverkning</t>
        </is>
      </c>
      <c r="D1829" s="1" t="n">
        <v>45513</v>
      </c>
      <c r="E1829" s="1" t="n">
        <v>46315</v>
      </c>
      <c r="F1829" t="inlineStr">
        <is>
          <t>HALLANDS LÄN</t>
        </is>
      </c>
      <c r="G1829" t="inlineStr">
        <is>
          <t>VARBERG</t>
        </is>
      </c>
      <c r="I1829" t="n">
        <v>3.1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s="2" t="inlineStr"/>
    </row>
    <row r="1830" ht="15" customHeight="1">
      <c r="A1830" t="inlineStr">
        <is>
          <t>A 9925-2025</t>
        </is>
      </c>
      <c r="B1830" t="inlineStr">
        <is>
          <t>avverkningsanmälan</t>
        </is>
      </c>
      <c r="C1830" t="inlineStr">
        <is>
          <t>Föryngringsavverkning</t>
        </is>
      </c>
      <c r="D1830" s="1" t="n">
        <v>45717</v>
      </c>
      <c r="E1830" s="1" t="n">
        <v>46315</v>
      </c>
      <c r="F1830" t="inlineStr">
        <is>
          <t>HALLANDS LÄN</t>
        </is>
      </c>
      <c r="G1830" t="inlineStr">
        <is>
          <t>VARBERG</t>
        </is>
      </c>
      <c r="I1830" t="n">
        <v>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s="2" t="inlineStr"/>
    </row>
    <row r="1831" ht="15" customHeight="1">
      <c r="A1831" t="inlineStr">
        <is>
          <t>A 57261-2023</t>
        </is>
      </c>
      <c r="B1831" t="inlineStr">
        <is>
          <t>avverkningsanmälan</t>
        </is>
      </c>
      <c r="C1831" t="inlineStr">
        <is>
          <t>Föryngringsavverkning</t>
        </is>
      </c>
      <c r="D1831" s="1" t="n">
        <v>45245</v>
      </c>
      <c r="E1831" s="1" t="n">
        <v>46315</v>
      </c>
      <c r="F1831" t="inlineStr">
        <is>
          <t>HALLANDS LÄN</t>
        </is>
      </c>
      <c r="G1831" t="inlineStr">
        <is>
          <t>HYLTE</t>
        </is>
      </c>
      <c r="I1831" t="n">
        <v>1.4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s="2" t="inlineStr"/>
    </row>
    <row r="1832" ht="15" customHeight="1">
      <c r="A1832" t="inlineStr">
        <is>
          <t>A 27505-2023</t>
        </is>
      </c>
      <c r="B1832" t="inlineStr">
        <is>
          <t>avverkningsanmälan</t>
        </is>
      </c>
      <c r="C1832" t="inlineStr">
        <is>
          <t>Föryngringsavverkning</t>
        </is>
      </c>
      <c r="D1832" s="1" t="n">
        <v>45092</v>
      </c>
      <c r="E1832" s="1" t="n">
        <v>46315</v>
      </c>
      <c r="F1832" t="inlineStr">
        <is>
          <t>HALLANDS LÄN</t>
        </is>
      </c>
      <c r="G1832" t="inlineStr">
        <is>
          <t>HYLTE</t>
        </is>
      </c>
      <c r="I1832" t="n">
        <v>2.5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s="2" t="inlineStr"/>
    </row>
    <row r="1833" ht="15" customHeight="1">
      <c r="A1833" t="inlineStr">
        <is>
          <t>A 10746-2022</t>
        </is>
      </c>
      <c r="B1833" t="inlineStr">
        <is>
          <t>avverkningsanmälan</t>
        </is>
      </c>
      <c r="C1833" t="inlineStr">
        <is>
          <t>Föryngringsavverkning</t>
        </is>
      </c>
      <c r="D1833" s="1" t="n">
        <v>44627</v>
      </c>
      <c r="E1833" s="1" t="n">
        <v>46315</v>
      </c>
      <c r="F1833" t="inlineStr">
        <is>
          <t>HALLANDS LÄN</t>
        </is>
      </c>
      <c r="G1833" t="inlineStr">
        <is>
          <t>FALKENBERG</t>
        </is>
      </c>
      <c r="I1833" t="n">
        <v>1.5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s="2" t="inlineStr"/>
    </row>
    <row r="1834" ht="15" customHeight="1">
      <c r="A1834" t="inlineStr">
        <is>
          <t>A 19629-2023</t>
        </is>
      </c>
      <c r="B1834" t="inlineStr">
        <is>
          <t>avverkningsanmälan</t>
        </is>
      </c>
      <c r="C1834" t="inlineStr">
        <is>
          <t>Föryngringsavverkning</t>
        </is>
      </c>
      <c r="D1834" s="1" t="n">
        <v>45051</v>
      </c>
      <c r="E1834" s="1" t="n">
        <v>46315</v>
      </c>
      <c r="F1834" t="inlineStr">
        <is>
          <t>HALLANDS LÄN</t>
        </is>
      </c>
      <c r="G1834" t="inlineStr">
        <is>
          <t>HYLTE</t>
        </is>
      </c>
      <c r="I1834" t="n">
        <v>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s="2" t="inlineStr"/>
    </row>
    <row r="1835" ht="15" customHeight="1">
      <c r="A1835" t="inlineStr">
        <is>
          <t>A 15513-2026</t>
        </is>
      </c>
      <c r="B1835" t="inlineStr">
        <is>
          <t>avverkningsanmälan</t>
        </is>
      </c>
      <c r="C1835" t="inlineStr">
        <is>
          <t>Föryngringsavverkning</t>
        </is>
      </c>
      <c r="D1835" s="1" t="n">
        <v>46106</v>
      </c>
      <c r="E1835" s="1" t="n">
        <v>46315</v>
      </c>
      <c r="F1835" t="inlineStr">
        <is>
          <t>HALLANDS LÄN</t>
        </is>
      </c>
      <c r="G1835" t="inlineStr">
        <is>
          <t>FALKENBERG</t>
        </is>
      </c>
      <c r="I1835" t="n">
        <v>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s="2" t="inlineStr"/>
    </row>
    <row r="1836" ht="15" customHeight="1">
      <c r="A1836" t="inlineStr">
        <is>
          <t>A 62688-2023</t>
        </is>
      </c>
      <c r="B1836" t="inlineStr">
        <is>
          <t>avverkningsanmälan</t>
        </is>
      </c>
      <c r="C1836" t="inlineStr">
        <is>
          <t>Föryngringsavverkning</t>
        </is>
      </c>
      <c r="D1836" s="1" t="n">
        <v>45268</v>
      </c>
      <c r="E1836" s="1" t="n">
        <v>46315</v>
      </c>
      <c r="F1836" t="inlineStr">
        <is>
          <t>HALLANDS LÄN</t>
        </is>
      </c>
      <c r="G1836" t="inlineStr">
        <is>
          <t>LAHOLM</t>
        </is>
      </c>
      <c r="I1836" t="n">
        <v>0.7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s="2" t="inlineStr"/>
    </row>
    <row r="1837" ht="15" customHeight="1">
      <c r="A1837" t="inlineStr">
        <is>
          <t>A 27751-2023</t>
        </is>
      </c>
      <c r="B1837" t="inlineStr">
        <is>
          <t>avverkningsanmälan</t>
        </is>
      </c>
      <c r="C1837" t="inlineStr">
        <is>
          <t>Föryngringsavverkning</t>
        </is>
      </c>
      <c r="D1837" s="1" t="n">
        <v>45098</v>
      </c>
      <c r="E1837" s="1" t="n">
        <v>46315</v>
      </c>
      <c r="F1837" t="inlineStr">
        <is>
          <t>HALLANDS LÄN</t>
        </is>
      </c>
      <c r="G1837" t="inlineStr">
        <is>
          <t>HYLTE</t>
        </is>
      </c>
      <c r="H1837" t="inlineStr">
        <is>
          <t>Bergvik skog väst AB</t>
        </is>
      </c>
      <c r="I1837" t="n">
        <v>2.5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s="2" t="inlineStr"/>
    </row>
    <row r="1838" ht="15" customHeight="1">
      <c r="A1838" t="inlineStr">
        <is>
          <t>A 15574-2026</t>
        </is>
      </c>
      <c r="B1838" t="inlineStr">
        <is>
          <t>avverkningsanmälan</t>
        </is>
      </c>
      <c r="C1838" t="inlineStr">
        <is>
          <t>Föryngringsavverkning</t>
        </is>
      </c>
      <c r="D1838" s="1" t="n">
        <v>46106</v>
      </c>
      <c r="E1838" s="1" t="n">
        <v>46315</v>
      </c>
      <c r="F1838" t="inlineStr">
        <is>
          <t>HALLANDS LÄN</t>
        </is>
      </c>
      <c r="G1838" t="inlineStr">
        <is>
          <t>HALMSTAD</t>
        </is>
      </c>
      <c r="I1838" t="n">
        <v>0.7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s="2" t="inlineStr"/>
    </row>
    <row r="1839" ht="15" customHeight="1">
      <c r="A1839" t="inlineStr">
        <is>
          <t>A 30796-2022</t>
        </is>
      </c>
      <c r="B1839" t="inlineStr">
        <is>
          <t>avverkningsanmälan</t>
        </is>
      </c>
      <c r="C1839" t="inlineStr">
        <is>
          <t>Föryngringsavverkning</t>
        </is>
      </c>
      <c r="D1839" s="1" t="n">
        <v>44764</v>
      </c>
      <c r="E1839" s="1" t="n">
        <v>46315</v>
      </c>
      <c r="F1839" t="inlineStr">
        <is>
          <t>HALLANDS LÄN</t>
        </is>
      </c>
      <c r="G1839" t="inlineStr">
        <is>
          <t>LAHOLM</t>
        </is>
      </c>
      <c r="I1839" t="n">
        <v>1.3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s="2" t="inlineStr"/>
    </row>
    <row r="1840" ht="15" customHeight="1">
      <c r="A1840" t="inlineStr">
        <is>
          <t>A 15538-2026</t>
        </is>
      </c>
      <c r="B1840" t="inlineStr">
        <is>
          <t>avverkningsanmälan</t>
        </is>
      </c>
      <c r="C1840" t="inlineStr">
        <is>
          <t>Föryngringsavverkning</t>
        </is>
      </c>
      <c r="D1840" s="1" t="n">
        <v>46106</v>
      </c>
      <c r="E1840" s="1" t="n">
        <v>46315</v>
      </c>
      <c r="F1840" t="inlineStr">
        <is>
          <t>HALLANDS LÄN</t>
        </is>
      </c>
      <c r="G1840" t="inlineStr">
        <is>
          <t>LAHOLM</t>
        </is>
      </c>
      <c r="I1840" t="n">
        <v>3.9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s="2" t="inlineStr"/>
    </row>
    <row r="1841" ht="15" customHeight="1">
      <c r="A1841" t="inlineStr">
        <is>
          <t>A 15508-2026</t>
        </is>
      </c>
      <c r="B1841" t="inlineStr">
        <is>
          <t>avverkningsanmälan</t>
        </is>
      </c>
      <c r="C1841" t="inlineStr">
        <is>
          <t>Föryngringsavverkning</t>
        </is>
      </c>
      <c r="D1841" s="1" t="n">
        <v>46106</v>
      </c>
      <c r="E1841" s="1" t="n">
        <v>46315</v>
      </c>
      <c r="F1841" t="inlineStr">
        <is>
          <t>HALLANDS LÄN</t>
        </is>
      </c>
      <c r="G1841" t="inlineStr">
        <is>
          <t>VARBERG</t>
        </is>
      </c>
      <c r="I1841" t="n">
        <v>1.8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s="2" t="inlineStr"/>
    </row>
    <row r="1842" ht="15" customHeight="1">
      <c r="A1842" t="inlineStr">
        <is>
          <t>A 17739-2025</t>
        </is>
      </c>
      <c r="B1842" t="inlineStr">
        <is>
          <t>avverkningsanmälan</t>
        </is>
      </c>
      <c r="C1842" t="inlineStr">
        <is>
          <t>Föryngringsavverkning</t>
        </is>
      </c>
      <c r="D1842" s="1" t="n">
        <v>45758</v>
      </c>
      <c r="E1842" s="1" t="n">
        <v>46315</v>
      </c>
      <c r="F1842" t="inlineStr">
        <is>
          <t>HALLANDS LÄN</t>
        </is>
      </c>
      <c r="G1842" t="inlineStr">
        <is>
          <t>VARBERG</t>
        </is>
      </c>
      <c r="I1842" t="n">
        <v>1.3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s="2" t="inlineStr"/>
    </row>
    <row r="1843" ht="15" customHeight="1">
      <c r="A1843" t="inlineStr">
        <is>
          <t>A 8122-2024</t>
        </is>
      </c>
      <c r="B1843" t="inlineStr">
        <is>
          <t>avverkningsanmälan</t>
        </is>
      </c>
      <c r="C1843" t="inlineStr">
        <is>
          <t>Föryngringsavverkning</t>
        </is>
      </c>
      <c r="D1843" s="1" t="n">
        <v>45351</v>
      </c>
      <c r="E1843" s="1" t="n">
        <v>46315</v>
      </c>
      <c r="F1843" t="inlineStr">
        <is>
          <t>HALLANDS LÄN</t>
        </is>
      </c>
      <c r="G1843" t="inlineStr">
        <is>
          <t>HYLTE</t>
        </is>
      </c>
      <c r="I1843" t="n">
        <v>1.2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s="2" t="inlineStr"/>
    </row>
    <row r="1844" ht="15" customHeight="1">
      <c r="A1844" t="inlineStr">
        <is>
          <t>A 6994-2026</t>
        </is>
      </c>
      <c r="B1844" t="inlineStr">
        <is>
          <t>avverkningsanmälan</t>
        </is>
      </c>
      <c r="C1844" t="inlineStr">
        <is>
          <t>Föryngringsavverkning</t>
        </is>
      </c>
      <c r="D1844" s="1" t="n">
        <v>46057</v>
      </c>
      <c r="E1844" s="1" t="n">
        <v>46315</v>
      </c>
      <c r="F1844" t="inlineStr">
        <is>
          <t>HALLANDS LÄN</t>
        </is>
      </c>
      <c r="G1844" t="inlineStr">
        <is>
          <t>HYLTE</t>
        </is>
      </c>
      <c r="I1844" t="n">
        <v>5.3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s="2" t="inlineStr"/>
    </row>
    <row r="1845" ht="15" customHeight="1">
      <c r="A1845" t="inlineStr">
        <is>
          <t>A 15404-2026</t>
        </is>
      </c>
      <c r="B1845" t="inlineStr">
        <is>
          <t>avverkningsanmälan</t>
        </is>
      </c>
      <c r="C1845" t="inlineStr">
        <is>
          <t>Föryngringsavverkning</t>
        </is>
      </c>
      <c r="D1845" s="1" t="n">
        <v>46106</v>
      </c>
      <c r="E1845" s="1" t="n">
        <v>46315</v>
      </c>
      <c r="F1845" t="inlineStr">
        <is>
          <t>HALLANDS LÄN</t>
        </is>
      </c>
      <c r="G1845" t="inlineStr">
        <is>
          <t>FALKENBERG</t>
        </is>
      </c>
      <c r="I1845" t="n">
        <v>1.5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s="2" t="inlineStr"/>
    </row>
    <row r="1846" ht="15" customHeight="1">
      <c r="A1846" t="inlineStr">
        <is>
          <t>A 15833-2026</t>
        </is>
      </c>
      <c r="B1846" t="inlineStr">
        <is>
          <t>avverkningsanmälan</t>
        </is>
      </c>
      <c r="C1846" t="inlineStr">
        <is>
          <t>Föryngringsavverkning</t>
        </is>
      </c>
      <c r="D1846" s="1" t="n">
        <v>46107</v>
      </c>
      <c r="E1846" s="1" t="n">
        <v>46315</v>
      </c>
      <c r="F1846" t="inlineStr">
        <is>
          <t>HALLANDS LÄN</t>
        </is>
      </c>
      <c r="G1846" t="inlineStr">
        <is>
          <t>HALMSTAD</t>
        </is>
      </c>
      <c r="I1846" t="n">
        <v>1.2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s="2" t="inlineStr"/>
    </row>
    <row r="1847" ht="15" customHeight="1">
      <c r="A1847" t="inlineStr">
        <is>
          <t>A 35117-2022</t>
        </is>
      </c>
      <c r="B1847" t="inlineStr">
        <is>
          <t>avverkningsanmälan</t>
        </is>
      </c>
      <c r="C1847" t="inlineStr">
        <is>
          <t>Föryngringsavverkning</t>
        </is>
      </c>
      <c r="D1847" s="1" t="n">
        <v>44797</v>
      </c>
      <c r="E1847" s="1" t="n">
        <v>46315</v>
      </c>
      <c r="F1847" t="inlineStr">
        <is>
          <t>HALLANDS LÄN</t>
        </is>
      </c>
      <c r="G1847" t="inlineStr">
        <is>
          <t>HYLTE</t>
        </is>
      </c>
      <c r="I1847" t="n">
        <v>0.6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s="2" t="inlineStr"/>
    </row>
    <row r="1848" ht="15" customHeight="1">
      <c r="A1848" t="inlineStr">
        <is>
          <t>A 15416-2026</t>
        </is>
      </c>
      <c r="B1848" t="inlineStr">
        <is>
          <t>avverkningsanmälan</t>
        </is>
      </c>
      <c r="C1848" t="inlineStr">
        <is>
          <t>Föryngringsavverkning</t>
        </is>
      </c>
      <c r="D1848" s="1" t="n">
        <v>46106</v>
      </c>
      <c r="E1848" s="1" t="n">
        <v>46315</v>
      </c>
      <c r="F1848" t="inlineStr">
        <is>
          <t>HALLANDS LÄN</t>
        </is>
      </c>
      <c r="G1848" t="inlineStr">
        <is>
          <t>VARBERG</t>
        </is>
      </c>
      <c r="I1848" t="n">
        <v>5.3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s="2" t="inlineStr"/>
    </row>
    <row r="1849" ht="15" customHeight="1">
      <c r="A1849" t="inlineStr">
        <is>
          <t>A 28351-2026</t>
        </is>
      </c>
      <c r="B1849" t="inlineStr">
        <is>
          <t>avverkningsanmälan</t>
        </is>
      </c>
      <c r="C1849" t="inlineStr">
        <is>
          <t>Föryngringsavverkning</t>
        </is>
      </c>
      <c r="D1849" s="1" t="n">
        <v>46196</v>
      </c>
      <c r="E1849" s="1" t="n">
        <v>46315</v>
      </c>
      <c r="F1849" t="inlineStr">
        <is>
          <t>HALLANDS LÄN</t>
        </is>
      </c>
      <c r="G1849" t="inlineStr">
        <is>
          <t>LAHOLM</t>
        </is>
      </c>
      <c r="I1849" t="n">
        <v>0.9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s="2" t="inlineStr"/>
    </row>
    <row r="1850" ht="15" customHeight="1">
      <c r="A1850" t="inlineStr">
        <is>
          <t>A 62159-2023</t>
        </is>
      </c>
      <c r="B1850" t="inlineStr">
        <is>
          <t>avverkningsanmälan</t>
        </is>
      </c>
      <c r="C1850" t="inlineStr">
        <is>
          <t>Föryngringsavverkning</t>
        </is>
      </c>
      <c r="D1850" s="1" t="n">
        <v>45267</v>
      </c>
      <c r="E1850" s="1" t="n">
        <v>46315</v>
      </c>
      <c r="F1850" t="inlineStr">
        <is>
          <t>HALLANDS LÄN</t>
        </is>
      </c>
      <c r="G1850" t="inlineStr">
        <is>
          <t>HYLTE</t>
        </is>
      </c>
      <c r="I1850" t="n">
        <v>3.2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s="2" t="inlineStr"/>
    </row>
    <row r="1851" ht="15" customHeight="1">
      <c r="A1851" t="inlineStr">
        <is>
          <t>A 28515-2026</t>
        </is>
      </c>
      <c r="B1851" t="inlineStr">
        <is>
          <t>avverkningsanmälan</t>
        </is>
      </c>
      <c r="C1851" t="inlineStr">
        <is>
          <t>Föryngringsavverkning</t>
        </is>
      </c>
      <c r="D1851" s="1" t="n">
        <v>46197</v>
      </c>
      <c r="E1851" s="1" t="n">
        <v>46315</v>
      </c>
      <c r="F1851" t="inlineStr">
        <is>
          <t>HALLANDS LÄN</t>
        </is>
      </c>
      <c r="G1851" t="inlineStr">
        <is>
          <t>KUNGSBACKA</t>
        </is>
      </c>
      <c r="I1851" t="n">
        <v>5.3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s="2" t="inlineStr"/>
    </row>
    <row r="1852" ht="15" customHeight="1">
      <c r="A1852" t="inlineStr">
        <is>
          <t>A 2464-2024</t>
        </is>
      </c>
      <c r="B1852" t="inlineStr">
        <is>
          <t>avverkningsanmälan</t>
        </is>
      </c>
      <c r="C1852" t="inlineStr">
        <is>
          <t>Avverkning för annat ändamål</t>
        </is>
      </c>
      <c r="D1852" s="1" t="n">
        <v>45313</v>
      </c>
      <c r="E1852" s="1" t="n">
        <v>46315</v>
      </c>
      <c r="F1852" t="inlineStr">
        <is>
          <t>HALLANDS LÄN</t>
        </is>
      </c>
      <c r="G1852" t="inlineStr">
        <is>
          <t>VARBERG</t>
        </is>
      </c>
      <c r="I1852" t="n">
        <v>0.9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s="2" t="inlineStr"/>
    </row>
    <row r="1853" ht="15" customHeight="1">
      <c r="A1853" t="inlineStr">
        <is>
          <t>A 28263-2026</t>
        </is>
      </c>
      <c r="B1853" t="inlineStr">
        <is>
          <t>avverkningsanmälan</t>
        </is>
      </c>
      <c r="C1853" t="inlineStr">
        <is>
          <t>Föryngringsavverkning</t>
        </is>
      </c>
      <c r="D1853" s="1" t="n">
        <v>46196</v>
      </c>
      <c r="E1853" s="1" t="n">
        <v>46315</v>
      </c>
      <c r="F1853" t="inlineStr">
        <is>
          <t>HALLANDS LÄN</t>
        </is>
      </c>
      <c r="G1853" t="inlineStr">
        <is>
          <t>VARBERG</t>
        </is>
      </c>
      <c r="I1853" t="n">
        <v>7.8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s="2" t="inlineStr"/>
    </row>
    <row r="1854" ht="15" customHeight="1">
      <c r="A1854" t="inlineStr">
        <is>
          <t>A 28280-2026</t>
        </is>
      </c>
      <c r="B1854" t="inlineStr">
        <is>
          <t>avverkningsanmälan</t>
        </is>
      </c>
      <c r="C1854" t="inlineStr">
        <is>
          <t>Föryngringsavverkning</t>
        </is>
      </c>
      <c r="D1854" s="1" t="n">
        <v>46196</v>
      </c>
      <c r="E1854" s="1" t="n">
        <v>46315</v>
      </c>
      <c r="F1854" t="inlineStr">
        <is>
          <t>HALLANDS LÄN</t>
        </is>
      </c>
      <c r="G1854" t="inlineStr">
        <is>
          <t>VARBERG</t>
        </is>
      </c>
      <c r="I1854" t="n">
        <v>1.7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s="2" t="inlineStr"/>
    </row>
    <row r="1855" ht="15" customHeight="1">
      <c r="A1855" t="inlineStr">
        <is>
          <t>A 28285-2026</t>
        </is>
      </c>
      <c r="B1855" t="inlineStr">
        <is>
          <t>avverkningsanmälan</t>
        </is>
      </c>
      <c r="C1855" t="inlineStr">
        <is>
          <t>Föryngringsavverkning</t>
        </is>
      </c>
      <c r="D1855" s="1" t="n">
        <v>46196</v>
      </c>
      <c r="E1855" s="1" t="n">
        <v>46315</v>
      </c>
      <c r="F1855" t="inlineStr">
        <is>
          <t>HALLANDS LÄN</t>
        </is>
      </c>
      <c r="G1855" t="inlineStr">
        <is>
          <t>FALKENBERG</t>
        </is>
      </c>
      <c r="I1855" t="n">
        <v>1.7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s="2" t="inlineStr"/>
    </row>
    <row r="1856" ht="15" customHeight="1">
      <c r="A1856" t="inlineStr">
        <is>
          <t>A 62187-2023</t>
        </is>
      </c>
      <c r="B1856" t="inlineStr">
        <is>
          <t>avverkningsanmälan</t>
        </is>
      </c>
      <c r="C1856" t="inlineStr">
        <is>
          <t>Föryngringsavverkning</t>
        </is>
      </c>
      <c r="D1856" s="1" t="n">
        <v>45267</v>
      </c>
      <c r="E1856" s="1" t="n">
        <v>46315</v>
      </c>
      <c r="F1856" t="inlineStr">
        <is>
          <t>HALLANDS LÄN</t>
        </is>
      </c>
      <c r="G1856" t="inlineStr">
        <is>
          <t>HALMSTAD</t>
        </is>
      </c>
      <c r="I1856" t="n">
        <v>1.7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s="2" t="inlineStr"/>
    </row>
    <row r="1857" ht="15" customHeight="1">
      <c r="A1857" t="inlineStr">
        <is>
          <t>A 16174-2026</t>
        </is>
      </c>
      <c r="B1857" t="inlineStr">
        <is>
          <t>avverkningsanmälan</t>
        </is>
      </c>
      <c r="C1857" t="inlineStr">
        <is>
          <t>Föryngringsavverkning</t>
        </is>
      </c>
      <c r="D1857" s="1" t="n">
        <v>46111</v>
      </c>
      <c r="E1857" s="1" t="n">
        <v>46315</v>
      </c>
      <c r="F1857" t="inlineStr">
        <is>
          <t>HALLANDS LÄN</t>
        </is>
      </c>
      <c r="G1857" t="inlineStr">
        <is>
          <t>HYLTE</t>
        </is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s="2" t="inlineStr"/>
    </row>
    <row r="1858" ht="15" customHeight="1">
      <c r="A1858" t="inlineStr">
        <is>
          <t>A 8091-2023</t>
        </is>
      </c>
      <c r="B1858" t="inlineStr">
        <is>
          <t>avverkningsanmälan</t>
        </is>
      </c>
      <c r="C1858" t="inlineStr">
        <is>
          <t>Föryngringsavverkning</t>
        </is>
      </c>
      <c r="D1858" s="1" t="n">
        <v>44974</v>
      </c>
      <c r="E1858" s="1" t="n">
        <v>46315</v>
      </c>
      <c r="F1858" t="inlineStr">
        <is>
          <t>HALLANDS LÄN</t>
        </is>
      </c>
      <c r="G1858" t="inlineStr">
        <is>
          <t>HYLTE</t>
        </is>
      </c>
      <c r="I1858" t="n">
        <v>0.6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s="2" t="inlineStr"/>
    </row>
    <row r="1859" ht="15" customHeight="1">
      <c r="A1859" t="inlineStr">
        <is>
          <t>A 16172-2026</t>
        </is>
      </c>
      <c r="B1859" t="inlineStr">
        <is>
          <t>avverkningsanmälan</t>
        </is>
      </c>
      <c r="C1859" t="inlineStr">
        <is>
          <t>Föryngringsavverkning</t>
        </is>
      </c>
      <c r="D1859" s="1" t="n">
        <v>46111</v>
      </c>
      <c r="E1859" s="1" t="n">
        <v>46315</v>
      </c>
      <c r="F1859" t="inlineStr">
        <is>
          <t>HALLANDS LÄN</t>
        </is>
      </c>
      <c r="G1859" t="inlineStr">
        <is>
          <t>HYLTE</t>
        </is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s="2" t="inlineStr"/>
    </row>
    <row r="1860" ht="15" customHeight="1">
      <c r="A1860" t="inlineStr">
        <is>
          <t>A 16171-2026</t>
        </is>
      </c>
      <c r="B1860" t="inlineStr">
        <is>
          <t>avverkningsanmälan</t>
        </is>
      </c>
      <c r="C1860" t="inlineStr">
        <is>
          <t>Föryngringsavverkning</t>
        </is>
      </c>
      <c r="D1860" s="1" t="n">
        <v>46111</v>
      </c>
      <c r="E1860" s="1" t="n">
        <v>46315</v>
      </c>
      <c r="F1860" t="inlineStr">
        <is>
          <t>HALLANDS LÄN</t>
        </is>
      </c>
      <c r="G1860" t="inlineStr">
        <is>
          <t>HYLTE</t>
        </is>
      </c>
      <c r="I1860" t="n">
        <v>3.8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s="2" t="inlineStr"/>
    </row>
    <row r="1861" ht="15" customHeight="1">
      <c r="A1861" t="inlineStr">
        <is>
          <t>A 16193-2026</t>
        </is>
      </c>
      <c r="B1861" t="inlineStr">
        <is>
          <t>avverkningsanmälan</t>
        </is>
      </c>
      <c r="C1861" t="inlineStr">
        <is>
          <t>Föryngringsavverkning</t>
        </is>
      </c>
      <c r="D1861" s="1" t="n">
        <v>46111</v>
      </c>
      <c r="E1861" s="1" t="n">
        <v>46315</v>
      </c>
      <c r="F1861" t="inlineStr">
        <is>
          <t>HALLANDS LÄN</t>
        </is>
      </c>
      <c r="G1861" t="inlineStr">
        <is>
          <t>LAHOLM</t>
        </is>
      </c>
      <c r="I1861" t="n">
        <v>2.8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s="2" t="inlineStr"/>
    </row>
    <row r="1862" ht="15" customHeight="1">
      <c r="A1862" t="inlineStr">
        <is>
          <t>A 46771-2022</t>
        </is>
      </c>
      <c r="B1862" t="inlineStr">
        <is>
          <t>avverkningsanmälan</t>
        </is>
      </c>
      <c r="C1862" t="inlineStr">
        <is>
          <t>Avverkning för annat ändamål</t>
        </is>
      </c>
      <c r="D1862" s="1" t="n">
        <v>44851</v>
      </c>
      <c r="E1862" s="1" t="n">
        <v>46315</v>
      </c>
      <c r="F1862" t="inlineStr">
        <is>
          <t>HALLANDS LÄN</t>
        </is>
      </c>
      <c r="G1862" t="inlineStr">
        <is>
          <t>VARBERG</t>
        </is>
      </c>
      <c r="I1862" t="n">
        <v>2.3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s="2" t="inlineStr"/>
    </row>
    <row r="1863" ht="15" customHeight="1">
      <c r="A1863" t="inlineStr">
        <is>
          <t>A 16899-2026</t>
        </is>
      </c>
      <c r="B1863" t="inlineStr">
        <is>
          <t>avverkningsanmälan</t>
        </is>
      </c>
      <c r="C1863" t="inlineStr">
        <is>
          <t>Föryngringsavverkning</t>
        </is>
      </c>
      <c r="D1863" s="1" t="n">
        <v>46113</v>
      </c>
      <c r="E1863" s="1" t="n">
        <v>46315</v>
      </c>
      <c r="F1863" t="inlineStr">
        <is>
          <t>HALLANDS LÄN</t>
        </is>
      </c>
      <c r="G1863" t="inlineStr">
        <is>
          <t>LAHOLM</t>
        </is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s="2" t="inlineStr"/>
    </row>
    <row r="1864" ht="15" customHeight="1">
      <c r="A1864" t="inlineStr">
        <is>
          <t>A 62741-2022</t>
        </is>
      </c>
      <c r="B1864" t="inlineStr">
        <is>
          <t>avverkningsanmälan</t>
        </is>
      </c>
      <c r="C1864" t="inlineStr">
        <is>
          <t>Föryngringsavverkning</t>
        </is>
      </c>
      <c r="D1864" s="1" t="n">
        <v>44925</v>
      </c>
      <c r="E1864" s="1" t="n">
        <v>46315</v>
      </c>
      <c r="F1864" t="inlineStr">
        <is>
          <t>HALLANDS LÄN</t>
        </is>
      </c>
      <c r="G1864" t="inlineStr">
        <is>
          <t>KUNGSBACKA</t>
        </is>
      </c>
      <c r="I1864" t="n">
        <v>0.2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s="2" t="inlineStr"/>
    </row>
    <row r="1865" ht="15" customHeight="1">
      <c r="A1865" t="inlineStr">
        <is>
          <t>A 17226-2023</t>
        </is>
      </c>
      <c r="B1865" t="inlineStr">
        <is>
          <t>avverkningsanmälan</t>
        </is>
      </c>
      <c r="C1865" t="inlineStr">
        <is>
          <t>Föryngringsavverkning</t>
        </is>
      </c>
      <c r="D1865" s="1" t="n">
        <v>45035</v>
      </c>
      <c r="E1865" s="1" t="n">
        <v>46315</v>
      </c>
      <c r="F1865" t="inlineStr">
        <is>
          <t>HALLANDS LÄN</t>
        </is>
      </c>
      <c r="G1865" t="inlineStr">
        <is>
          <t>LAHOLM</t>
        </is>
      </c>
      <c r="I1865" t="n">
        <v>2.1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s="2" t="inlineStr"/>
    </row>
    <row r="1866" ht="15" customHeight="1">
      <c r="A1866" t="inlineStr">
        <is>
          <t>A 63033-2023</t>
        </is>
      </c>
      <c r="B1866" t="inlineStr">
        <is>
          <t>avverkningsanmälan</t>
        </is>
      </c>
      <c r="C1866" t="inlineStr">
        <is>
          <t>Föryngringsavverkning</t>
        </is>
      </c>
      <c r="D1866" s="1" t="n">
        <v>45272</v>
      </c>
      <c r="E1866" s="1" t="n">
        <v>46315</v>
      </c>
      <c r="F1866" t="inlineStr">
        <is>
          <t>HALLANDS LÄN</t>
        </is>
      </c>
      <c r="G1866" t="inlineStr">
        <is>
          <t>FALKENBERG</t>
        </is>
      </c>
      <c r="I1866" t="n">
        <v>1.6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s="2" t="inlineStr"/>
    </row>
    <row r="1867" ht="15" customHeight="1">
      <c r="A1867" t="inlineStr">
        <is>
          <t>A 4970-2023</t>
        </is>
      </c>
      <c r="B1867" t="inlineStr">
        <is>
          <t>avverkningsanmälan</t>
        </is>
      </c>
      <c r="C1867" t="inlineStr">
        <is>
          <t>Föryngringsavverkning</t>
        </is>
      </c>
      <c r="D1867" s="1" t="n">
        <v>44958</v>
      </c>
      <c r="E1867" s="1" t="n">
        <v>46315</v>
      </c>
      <c r="F1867" t="inlineStr">
        <is>
          <t>HALLANDS LÄN</t>
        </is>
      </c>
      <c r="G1867" t="inlineStr">
        <is>
          <t>FALKENBERG</t>
        </is>
      </c>
      <c r="H1867" t="inlineStr">
        <is>
          <t>Kommuner</t>
        </is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s="2" t="inlineStr"/>
    </row>
    <row r="1868" ht="15" customHeight="1">
      <c r="A1868" t="inlineStr">
        <is>
          <t>A 26310-2023</t>
        </is>
      </c>
      <c r="B1868" t="inlineStr">
        <is>
          <t>avverkningsanmälan</t>
        </is>
      </c>
      <c r="C1868" t="inlineStr">
        <is>
          <t>Föryngringsavverkning</t>
        </is>
      </c>
      <c r="D1868" s="1" t="n">
        <v>45091</v>
      </c>
      <c r="E1868" s="1" t="n">
        <v>46315</v>
      </c>
      <c r="F1868" t="inlineStr">
        <is>
          <t>HALLANDS LÄN</t>
        </is>
      </c>
      <c r="G1868" t="inlineStr">
        <is>
          <t>FALKENBERG</t>
        </is>
      </c>
      <c r="I1868" t="n">
        <v>4.7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s="2" t="inlineStr"/>
    </row>
    <row r="1869" ht="15" customHeight="1">
      <c r="A1869" t="inlineStr">
        <is>
          <t>A 31856-2023</t>
        </is>
      </c>
      <c r="B1869" t="inlineStr">
        <is>
          <t>avverkningsanmälan</t>
        </is>
      </c>
      <c r="C1869" t="inlineStr">
        <is>
          <t>Föryngringsavverkning</t>
        </is>
      </c>
      <c r="D1869" s="1" t="n">
        <v>45118</v>
      </c>
      <c r="E1869" s="1" t="n">
        <v>46315</v>
      </c>
      <c r="F1869" t="inlineStr">
        <is>
          <t>HALLANDS LÄN</t>
        </is>
      </c>
      <c r="G1869" t="inlineStr">
        <is>
          <t>FALKENBERG</t>
        </is>
      </c>
      <c r="I1869" t="n">
        <v>2.5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s="2" t="inlineStr"/>
    </row>
    <row r="1870" ht="15" customHeight="1">
      <c r="A1870" t="inlineStr">
        <is>
          <t>A 59209-2023</t>
        </is>
      </c>
      <c r="B1870" t="inlineStr">
        <is>
          <t>avverkningsanmälan</t>
        </is>
      </c>
      <c r="C1870" t="inlineStr">
        <is>
          <t>Föryngringsavverkning</t>
        </is>
      </c>
      <c r="D1870" s="1" t="n">
        <v>45252</v>
      </c>
      <c r="E1870" s="1" t="n">
        <v>46315</v>
      </c>
      <c r="F1870" t="inlineStr">
        <is>
          <t>HALLANDS LÄN</t>
        </is>
      </c>
      <c r="G1870" t="inlineStr">
        <is>
          <t>FALKENBERG</t>
        </is>
      </c>
      <c r="I1870" t="n">
        <v>6.3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s="2" t="inlineStr"/>
    </row>
    <row r="1871" ht="15" customHeight="1">
      <c r="A1871" t="inlineStr">
        <is>
          <t>A 33041-2022</t>
        </is>
      </c>
      <c r="B1871" t="inlineStr">
        <is>
          <t>avverkningsanmälan</t>
        </is>
      </c>
      <c r="C1871" t="inlineStr">
        <is>
          <t>Föryngringsavverkning</t>
        </is>
      </c>
      <c r="D1871" s="1" t="n">
        <v>44785</v>
      </c>
      <c r="E1871" s="1" t="n">
        <v>46315</v>
      </c>
      <c r="F1871" t="inlineStr">
        <is>
          <t>HALLANDS LÄN</t>
        </is>
      </c>
      <c r="G1871" t="inlineStr">
        <is>
          <t>FALKENBERG</t>
        </is>
      </c>
      <c r="I1871" t="n">
        <v>1.4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s="2" t="inlineStr"/>
    </row>
    <row r="1872" ht="15" customHeight="1">
      <c r="A1872" t="inlineStr">
        <is>
          <t>A 64836-2023</t>
        </is>
      </c>
      <c r="B1872" t="inlineStr">
        <is>
          <t>avverkningsanmälan</t>
        </is>
      </c>
      <c r="C1872" t="inlineStr">
        <is>
          <t>Föryngringsavverkning</t>
        </is>
      </c>
      <c r="D1872" s="1" t="n">
        <v>45282</v>
      </c>
      <c r="E1872" s="1" t="n">
        <v>46315</v>
      </c>
      <c r="F1872" t="inlineStr">
        <is>
          <t>HALLANDS LÄN</t>
        </is>
      </c>
      <c r="G1872" t="inlineStr">
        <is>
          <t>FALKENBERG</t>
        </is>
      </c>
      <c r="I1872" t="n">
        <v>7.2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s="2" t="inlineStr"/>
    </row>
    <row r="1873" ht="15" customHeight="1">
      <c r="A1873" t="inlineStr">
        <is>
          <t>A 74307-2021</t>
        </is>
      </c>
      <c r="B1873" t="inlineStr">
        <is>
          <t>avverkningsanmälan</t>
        </is>
      </c>
      <c r="C1873" t="inlineStr">
        <is>
          <t>Föryngringsavverkning</t>
        </is>
      </c>
      <c r="D1873" s="1" t="n">
        <v>44559</v>
      </c>
      <c r="E1873" s="1" t="n">
        <v>46315</v>
      </c>
      <c r="F1873" t="inlineStr">
        <is>
          <t>HALLANDS LÄN</t>
        </is>
      </c>
      <c r="G1873" t="inlineStr">
        <is>
          <t>HYLTE</t>
        </is>
      </c>
      <c r="I1873" t="n">
        <v>1.5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s="2" t="inlineStr"/>
    </row>
    <row r="1874" ht="15" customHeight="1">
      <c r="A1874" t="inlineStr">
        <is>
          <t>A 42319-2022</t>
        </is>
      </c>
      <c r="B1874" t="inlineStr">
        <is>
          <t>avverkningsanmälan</t>
        </is>
      </c>
      <c r="C1874" t="inlineStr">
        <is>
          <t>Föryngringsavverkning</t>
        </is>
      </c>
      <c r="D1874" s="1" t="n">
        <v>44831</v>
      </c>
      <c r="E1874" s="1" t="n">
        <v>46315</v>
      </c>
      <c r="F1874" t="inlineStr">
        <is>
          <t>HALLANDS LÄN</t>
        </is>
      </c>
      <c r="G1874" t="inlineStr">
        <is>
          <t>FALKENBERG</t>
        </is>
      </c>
      <c r="I1874" t="n">
        <v>1.3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s="2" t="inlineStr"/>
    </row>
    <row r="1875" ht="15" customHeight="1">
      <c r="A1875" t="inlineStr">
        <is>
          <t>A 8908-2024</t>
        </is>
      </c>
      <c r="B1875" t="inlineStr">
        <is>
          <t>avverkningsanmälan</t>
        </is>
      </c>
      <c r="C1875" t="inlineStr">
        <is>
          <t>Föryngringsavverkning</t>
        </is>
      </c>
      <c r="D1875" s="1" t="n">
        <v>45357</v>
      </c>
      <c r="E1875" s="1" t="n">
        <v>46315</v>
      </c>
      <c r="F1875" t="inlineStr">
        <is>
          <t>HALLANDS LÄN</t>
        </is>
      </c>
      <c r="G1875" t="inlineStr">
        <is>
          <t>FALKENBERG</t>
        </is>
      </c>
      <c r="I1875" t="n">
        <v>0.8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s="2" t="inlineStr"/>
    </row>
    <row r="1876" ht="15" customHeight="1">
      <c r="A1876" t="inlineStr">
        <is>
          <t>A 26312-2023</t>
        </is>
      </c>
      <c r="B1876" t="inlineStr">
        <is>
          <t>avverkningsanmälan</t>
        </is>
      </c>
      <c r="C1876" t="inlineStr">
        <is>
          <t>Föryngringsavverkning</t>
        </is>
      </c>
      <c r="D1876" s="1" t="n">
        <v>45091</v>
      </c>
      <c r="E1876" s="1" t="n">
        <v>46315</v>
      </c>
      <c r="F1876" t="inlineStr">
        <is>
          <t>HALLANDS LÄN</t>
        </is>
      </c>
      <c r="G1876" t="inlineStr">
        <is>
          <t>FALKENBERG</t>
        </is>
      </c>
      <c r="I1876" t="n">
        <v>0.6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s="2" t="inlineStr"/>
    </row>
    <row r="1877" ht="15" customHeight="1">
      <c r="A1877" t="inlineStr">
        <is>
          <t>A 60394-2023</t>
        </is>
      </c>
      <c r="B1877" t="inlineStr">
        <is>
          <t>avverkningsanmälan</t>
        </is>
      </c>
      <c r="C1877" t="inlineStr">
        <is>
          <t>Föryngringsavverkning</t>
        </is>
      </c>
      <c r="D1877" s="1" t="n">
        <v>45259</v>
      </c>
      <c r="E1877" s="1" t="n">
        <v>46315</v>
      </c>
      <c r="F1877" t="inlineStr">
        <is>
          <t>HALLANDS LÄN</t>
        </is>
      </c>
      <c r="G1877" t="inlineStr">
        <is>
          <t>HALMSTAD</t>
        </is>
      </c>
      <c r="I1877" t="n">
        <v>0.8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s="2" t="inlineStr"/>
    </row>
    <row r="1878" ht="15" customHeight="1">
      <c r="A1878" t="inlineStr">
        <is>
          <t>A 56580-2022</t>
        </is>
      </c>
      <c r="B1878" t="inlineStr">
        <is>
          <t>avverkningsanmälan</t>
        </is>
      </c>
      <c r="C1878" t="inlineStr">
        <is>
          <t>Föryngringsavverkning</t>
        </is>
      </c>
      <c r="D1878" s="1" t="n">
        <v>44893</v>
      </c>
      <c r="E1878" s="1" t="n">
        <v>46315</v>
      </c>
      <c r="F1878" t="inlineStr">
        <is>
          <t>HALLANDS LÄN</t>
        </is>
      </c>
      <c r="G1878" t="inlineStr">
        <is>
          <t>HYLTE</t>
        </is>
      </c>
      <c r="I1878" t="n">
        <v>1.9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s="2" t="inlineStr"/>
    </row>
    <row r="1879" ht="15" customHeight="1">
      <c r="A1879" t="inlineStr">
        <is>
          <t>A 41951-2022</t>
        </is>
      </c>
      <c r="B1879" t="inlineStr">
        <is>
          <t>avverkningsanmälan</t>
        </is>
      </c>
      <c r="C1879" t="inlineStr">
        <is>
          <t>Föryngringsavverkning</t>
        </is>
      </c>
      <c r="D1879" s="1" t="n">
        <v>44830</v>
      </c>
      <c r="E1879" s="1" t="n">
        <v>46315</v>
      </c>
      <c r="F1879" t="inlineStr">
        <is>
          <t>HALLANDS LÄN</t>
        </is>
      </c>
      <c r="G1879" t="inlineStr">
        <is>
          <t>HALMSTAD</t>
        </is>
      </c>
      <c r="I1879" t="n">
        <v>3.1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s="2" t="inlineStr"/>
    </row>
    <row r="1880" ht="15" customHeight="1">
      <c r="A1880" t="inlineStr">
        <is>
          <t>A 62942-2023</t>
        </is>
      </c>
      <c r="B1880" t="inlineStr">
        <is>
          <t>avverkningsanmälan</t>
        </is>
      </c>
      <c r="C1880" t="inlineStr">
        <is>
          <t>Föryngringsavverkning</t>
        </is>
      </c>
      <c r="D1880" s="1" t="n">
        <v>45272</v>
      </c>
      <c r="E1880" s="1" t="n">
        <v>46315</v>
      </c>
      <c r="F1880" t="inlineStr">
        <is>
          <t>HALLANDS LÄN</t>
        </is>
      </c>
      <c r="G1880" t="inlineStr">
        <is>
          <t>VARBERG</t>
        </is>
      </c>
      <c r="I1880" t="n">
        <v>7.5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s="2" t="inlineStr"/>
    </row>
    <row r="1881" ht="15" customHeight="1">
      <c r="A1881" t="inlineStr">
        <is>
          <t>A 52056-2022</t>
        </is>
      </c>
      <c r="B1881" t="inlineStr">
        <is>
          <t>avverkningsanmälan</t>
        </is>
      </c>
      <c r="C1881" t="inlineStr">
        <is>
          <t>Föryngringsavverkning</t>
        </is>
      </c>
      <c r="D1881" s="1" t="n">
        <v>44873</v>
      </c>
      <c r="E1881" s="1" t="n">
        <v>46315</v>
      </c>
      <c r="F1881" t="inlineStr">
        <is>
          <t>HALLANDS LÄN</t>
        </is>
      </c>
      <c r="G1881" t="inlineStr">
        <is>
          <t>LAHOLM</t>
        </is>
      </c>
      <c r="H1881" t="inlineStr">
        <is>
          <t>Sveaskog</t>
        </is>
      </c>
      <c r="I1881" t="n">
        <v>2.9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s="2" t="inlineStr"/>
    </row>
    <row r="1882" ht="15" customHeight="1">
      <c r="A1882" t="inlineStr">
        <is>
          <t>A 15020-2025</t>
        </is>
      </c>
      <c r="B1882" t="inlineStr">
        <is>
          <t>avverkningsanmälan</t>
        </is>
      </c>
      <c r="C1882" t="inlineStr">
        <is>
          <t>Föryngringsavverkning</t>
        </is>
      </c>
      <c r="D1882" s="1" t="n">
        <v>45743</v>
      </c>
      <c r="E1882" s="1" t="n">
        <v>46315</v>
      </c>
      <c r="F1882" t="inlineStr">
        <is>
          <t>HALLANDS LÄN</t>
        </is>
      </c>
      <c r="G1882" t="inlineStr">
        <is>
          <t>KUNGSBACKA</t>
        </is>
      </c>
      <c r="I1882" t="n">
        <v>0.6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s="2" t="inlineStr"/>
    </row>
    <row r="1883" ht="15" customHeight="1">
      <c r="A1883" t="inlineStr">
        <is>
          <t>A 64136-2023</t>
        </is>
      </c>
      <c r="B1883" t="inlineStr">
        <is>
          <t>avverkningsanmälan</t>
        </is>
      </c>
      <c r="C1883" t="inlineStr">
        <is>
          <t>Föryngringsavverkning</t>
        </is>
      </c>
      <c r="D1883" s="1" t="n">
        <v>45279</v>
      </c>
      <c r="E1883" s="1" t="n">
        <v>46315</v>
      </c>
      <c r="F1883" t="inlineStr">
        <is>
          <t>HALLANDS LÄN</t>
        </is>
      </c>
      <c r="G1883" t="inlineStr">
        <is>
          <t>HALMSTAD</t>
        </is>
      </c>
      <c r="H1883" t="inlineStr">
        <is>
          <t>Bergvik skog väst AB</t>
        </is>
      </c>
      <c r="I1883" t="n">
        <v>0.6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s="2" t="inlineStr"/>
    </row>
    <row r="1884" ht="15" customHeight="1">
      <c r="A1884" t="inlineStr">
        <is>
          <t>A 17401-2026</t>
        </is>
      </c>
      <c r="B1884" t="inlineStr">
        <is>
          <t>avverkningsanmälan</t>
        </is>
      </c>
      <c r="C1884" t="inlineStr">
        <is>
          <t>Föryngringsavverkning</t>
        </is>
      </c>
      <c r="D1884" s="1" t="n">
        <v>46120</v>
      </c>
      <c r="E1884" s="1" t="n">
        <v>46315</v>
      </c>
      <c r="F1884" t="inlineStr">
        <is>
          <t>HALLANDS LÄN</t>
        </is>
      </c>
      <c r="G1884" t="inlineStr">
        <is>
          <t>VARBERG</t>
        </is>
      </c>
      <c r="I1884" t="n">
        <v>0.6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s="2" t="inlineStr"/>
    </row>
    <row r="1885" ht="15" customHeight="1">
      <c r="A1885" t="inlineStr">
        <is>
          <t>A 17718-2026</t>
        </is>
      </c>
      <c r="B1885" t="inlineStr">
        <is>
          <t>avverkningsanmälan</t>
        </is>
      </c>
      <c r="C1885" t="inlineStr">
        <is>
          <t>Föryngringsavverkning</t>
        </is>
      </c>
      <c r="D1885" s="1" t="n">
        <v>46121</v>
      </c>
      <c r="E1885" s="1" t="n">
        <v>46315</v>
      </c>
      <c r="F1885" t="inlineStr">
        <is>
          <t>HALLANDS LÄN</t>
        </is>
      </c>
      <c r="G1885" t="inlineStr">
        <is>
          <t>HYLTE</t>
        </is>
      </c>
      <c r="I1885" t="n">
        <v>1.9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s="2" t="inlineStr"/>
    </row>
    <row r="1886" ht="15" customHeight="1">
      <c r="A1886" t="inlineStr">
        <is>
          <t>A 17484-2026</t>
        </is>
      </c>
      <c r="B1886" t="inlineStr">
        <is>
          <t>avverkningsanmälan</t>
        </is>
      </c>
      <c r="C1886" t="inlineStr">
        <is>
          <t>Avverkning för annat ändamål</t>
        </is>
      </c>
      <c r="D1886" s="1" t="n">
        <v>46120</v>
      </c>
      <c r="E1886" s="1" t="n">
        <v>46315</v>
      </c>
      <c r="F1886" t="inlineStr">
        <is>
          <t>HALLANDS LÄN</t>
        </is>
      </c>
      <c r="G1886" t="inlineStr">
        <is>
          <t>FALKENBERG</t>
        </is>
      </c>
      <c r="H1886" t="inlineStr">
        <is>
          <t>Övriga Aktiebolag</t>
        </is>
      </c>
      <c r="I1886" t="n">
        <v>0.9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s="2" t="inlineStr"/>
    </row>
    <row r="1887" ht="15" customHeight="1">
      <c r="A1887" t="inlineStr">
        <is>
          <t>A 17641-2026</t>
        </is>
      </c>
      <c r="B1887" t="inlineStr">
        <is>
          <t>avverkningsanmälan</t>
        </is>
      </c>
      <c r="C1887" t="inlineStr">
        <is>
          <t>Föryngringsavverkning</t>
        </is>
      </c>
      <c r="D1887" s="1" t="n">
        <v>46121</v>
      </c>
      <c r="E1887" s="1" t="n">
        <v>46315</v>
      </c>
      <c r="F1887" t="inlineStr">
        <is>
          <t>HALLANDS LÄN</t>
        </is>
      </c>
      <c r="G1887" t="inlineStr">
        <is>
          <t>HALMSTAD</t>
        </is>
      </c>
      <c r="I1887" t="n">
        <v>2.5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s="2" t="inlineStr"/>
    </row>
    <row r="1888" ht="15" customHeight="1">
      <c r="A1888" t="inlineStr">
        <is>
          <t>A 17421-2026</t>
        </is>
      </c>
      <c r="B1888" t="inlineStr">
        <is>
          <t>avverkningsanmälan</t>
        </is>
      </c>
      <c r="C1888" t="inlineStr">
        <is>
          <t>Föryngringsavverkning</t>
        </is>
      </c>
      <c r="D1888" s="1" t="n">
        <v>46120</v>
      </c>
      <c r="E1888" s="1" t="n">
        <v>46315</v>
      </c>
      <c r="F1888" t="inlineStr">
        <is>
          <t>HALLANDS LÄN</t>
        </is>
      </c>
      <c r="G1888" t="inlineStr">
        <is>
          <t>HYLTE</t>
        </is>
      </c>
      <c r="I1888" t="n">
        <v>1.1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s="2" t="inlineStr"/>
    </row>
    <row r="1889" ht="15" customHeight="1">
      <c r="A1889" t="inlineStr">
        <is>
          <t>A 17580-2026</t>
        </is>
      </c>
      <c r="B1889" t="inlineStr">
        <is>
          <t>avverkningsanmälan</t>
        </is>
      </c>
      <c r="C1889" t="inlineStr">
        <is>
          <t>Föryngringsavverkning</t>
        </is>
      </c>
      <c r="D1889" s="1" t="n">
        <v>46121</v>
      </c>
      <c r="E1889" s="1" t="n">
        <v>46315</v>
      </c>
      <c r="F1889" t="inlineStr">
        <is>
          <t>HALLANDS LÄN</t>
        </is>
      </c>
      <c r="G1889" t="inlineStr">
        <is>
          <t>HALMSTAD</t>
        </is>
      </c>
      <c r="I1889" t="n">
        <v>1.5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s="2" t="inlineStr"/>
    </row>
    <row r="1890" ht="15" customHeight="1">
      <c r="A1890" t="inlineStr">
        <is>
          <t>A 17582-2026</t>
        </is>
      </c>
      <c r="B1890" t="inlineStr">
        <is>
          <t>avverkningsanmälan</t>
        </is>
      </c>
      <c r="C1890" t="inlineStr">
        <is>
          <t>Föryngringsavverkning</t>
        </is>
      </c>
      <c r="D1890" s="1" t="n">
        <v>46121</v>
      </c>
      <c r="E1890" s="1" t="n">
        <v>46315</v>
      </c>
      <c r="F1890" t="inlineStr">
        <is>
          <t>HALLANDS LÄN</t>
        </is>
      </c>
      <c r="G1890" t="inlineStr">
        <is>
          <t>HALMSTAD</t>
        </is>
      </c>
      <c r="I1890" t="n">
        <v>2.1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s="2" t="inlineStr"/>
    </row>
    <row r="1891" ht="15" customHeight="1">
      <c r="A1891" t="inlineStr">
        <is>
          <t>A 17717-2026</t>
        </is>
      </c>
      <c r="B1891" t="inlineStr">
        <is>
          <t>avverkningsanmälan</t>
        </is>
      </c>
      <c r="C1891" t="inlineStr">
        <is>
          <t>Föryngringsavverkning</t>
        </is>
      </c>
      <c r="D1891" s="1" t="n">
        <v>46121</v>
      </c>
      <c r="E1891" s="1" t="n">
        <v>46315</v>
      </c>
      <c r="F1891" t="inlineStr">
        <is>
          <t>HALLANDS LÄN</t>
        </is>
      </c>
      <c r="G1891" t="inlineStr">
        <is>
          <t>HYLTE</t>
        </is>
      </c>
      <c r="I1891" t="n">
        <v>1.4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s="2" t="inlineStr"/>
    </row>
    <row r="1892" ht="15" customHeight="1">
      <c r="A1892" t="inlineStr">
        <is>
          <t>A 37823-2023</t>
        </is>
      </c>
      <c r="B1892" t="inlineStr">
        <is>
          <t>avverkningsanmälan</t>
        </is>
      </c>
      <c r="C1892" t="inlineStr">
        <is>
          <t>Föryngringsavverkning</t>
        </is>
      </c>
      <c r="D1892" s="1" t="n">
        <v>45160</v>
      </c>
      <c r="E1892" s="1" t="n">
        <v>46315</v>
      </c>
      <c r="F1892" t="inlineStr">
        <is>
          <t>HALLANDS LÄN</t>
        </is>
      </c>
      <c r="G1892" t="inlineStr">
        <is>
          <t>KUNGSBACKA</t>
        </is>
      </c>
      <c r="I1892" t="n">
        <v>2.4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s="2" t="inlineStr"/>
    </row>
    <row r="1893" ht="15" customHeight="1">
      <c r="A1893" t="inlineStr">
        <is>
          <t>A 17716-2026</t>
        </is>
      </c>
      <c r="B1893" t="inlineStr">
        <is>
          <t>avverkningsanmälan</t>
        </is>
      </c>
      <c r="C1893" t="inlineStr">
        <is>
          <t>Föryngringsavverkning</t>
        </is>
      </c>
      <c r="D1893" s="1" t="n">
        <v>46121</v>
      </c>
      <c r="E1893" s="1" t="n">
        <v>46315</v>
      </c>
      <c r="F1893" t="inlineStr">
        <is>
          <t>HALLANDS LÄN</t>
        </is>
      </c>
      <c r="G1893" t="inlineStr">
        <is>
          <t>HYLTE</t>
        </is>
      </c>
      <c r="I1893" t="n">
        <v>0.8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s="2" t="inlineStr"/>
    </row>
    <row r="1894" ht="15" customHeight="1">
      <c r="A1894" t="inlineStr">
        <is>
          <t>A 17644-2026</t>
        </is>
      </c>
      <c r="B1894" t="inlineStr">
        <is>
          <t>avverkningsanmälan</t>
        </is>
      </c>
      <c r="C1894" t="inlineStr">
        <is>
          <t>Föryngringsavverkning</t>
        </is>
      </c>
      <c r="D1894" s="1" t="n">
        <v>46121</v>
      </c>
      <c r="E1894" s="1" t="n">
        <v>46315</v>
      </c>
      <c r="F1894" t="inlineStr">
        <is>
          <t>HALLANDS LÄN</t>
        </is>
      </c>
      <c r="G1894" t="inlineStr">
        <is>
          <t>LAHOLM</t>
        </is>
      </c>
      <c r="I1894" t="n">
        <v>1.1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s="2" t="inlineStr"/>
    </row>
    <row r="1895" ht="15" customHeight="1">
      <c r="A1895" t="inlineStr">
        <is>
          <t>A 17714-2026</t>
        </is>
      </c>
      <c r="B1895" t="inlineStr">
        <is>
          <t>avverkningsanmälan</t>
        </is>
      </c>
      <c r="C1895" t="inlineStr">
        <is>
          <t>Föryngringsavverkning</t>
        </is>
      </c>
      <c r="D1895" s="1" t="n">
        <v>46121</v>
      </c>
      <c r="E1895" s="1" t="n">
        <v>46315</v>
      </c>
      <c r="F1895" t="inlineStr">
        <is>
          <t>HALLANDS LÄN</t>
        </is>
      </c>
      <c r="G1895" t="inlineStr">
        <is>
          <t>HYLTE</t>
        </is>
      </c>
      <c r="I1895" t="n">
        <v>1.6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s="2" t="inlineStr"/>
    </row>
    <row r="1896" ht="15" customHeight="1">
      <c r="A1896" t="inlineStr">
        <is>
          <t>A 17715-2026</t>
        </is>
      </c>
      <c r="B1896" t="inlineStr">
        <is>
          <t>avverkningsanmälan</t>
        </is>
      </c>
      <c r="C1896" t="inlineStr">
        <is>
          <t>Föryngringsavverkning</t>
        </is>
      </c>
      <c r="D1896" s="1" t="n">
        <v>46121</v>
      </c>
      <c r="E1896" s="1" t="n">
        <v>46315</v>
      </c>
      <c r="F1896" t="inlineStr">
        <is>
          <t>HALLANDS LÄN</t>
        </is>
      </c>
      <c r="G1896" t="inlineStr">
        <is>
          <t>HYLTE</t>
        </is>
      </c>
      <c r="I1896" t="n">
        <v>1.6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s="2" t="inlineStr"/>
    </row>
    <row r="1897" ht="15" customHeight="1">
      <c r="A1897" t="inlineStr">
        <is>
          <t>A 17422-2026</t>
        </is>
      </c>
      <c r="B1897" t="inlineStr">
        <is>
          <t>avverkningsanmälan</t>
        </is>
      </c>
      <c r="C1897" t="inlineStr">
        <is>
          <t>Föryngringsavverkning</t>
        </is>
      </c>
      <c r="D1897" s="1" t="n">
        <v>46120</v>
      </c>
      <c r="E1897" s="1" t="n">
        <v>46315</v>
      </c>
      <c r="F1897" t="inlineStr">
        <is>
          <t>HALLANDS LÄN</t>
        </is>
      </c>
      <c r="G1897" t="inlineStr">
        <is>
          <t>HYLTE</t>
        </is>
      </c>
      <c r="I1897" t="n">
        <v>2.9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s="2" t="inlineStr"/>
    </row>
    <row r="1898" ht="15" customHeight="1">
      <c r="A1898" t="inlineStr">
        <is>
          <t>A 17723-2026</t>
        </is>
      </c>
      <c r="B1898" t="inlineStr">
        <is>
          <t>avverkningsanmälan</t>
        </is>
      </c>
      <c r="C1898" t="inlineStr">
        <is>
          <t>Föryngringsavverkning</t>
        </is>
      </c>
      <c r="D1898" s="1" t="n">
        <v>46121</v>
      </c>
      <c r="E1898" s="1" t="n">
        <v>46315</v>
      </c>
      <c r="F1898" t="inlineStr">
        <is>
          <t>HALLANDS LÄN</t>
        </is>
      </c>
      <c r="G1898" t="inlineStr">
        <is>
          <t>HYLTE</t>
        </is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s="2" t="inlineStr"/>
    </row>
    <row r="1899" ht="15" customHeight="1">
      <c r="A1899" t="inlineStr">
        <is>
          <t>A 17724-2026</t>
        </is>
      </c>
      <c r="B1899" t="inlineStr">
        <is>
          <t>avverkningsanmälan</t>
        </is>
      </c>
      <c r="C1899" t="inlineStr">
        <is>
          <t>Föryngringsavverkning</t>
        </is>
      </c>
      <c r="D1899" s="1" t="n">
        <v>46121</v>
      </c>
      <c r="E1899" s="1" t="n">
        <v>46315</v>
      </c>
      <c r="F1899" t="inlineStr">
        <is>
          <t>HALLANDS LÄN</t>
        </is>
      </c>
      <c r="G1899" t="inlineStr">
        <is>
          <t>HYLTE</t>
        </is>
      </c>
      <c r="I1899" t="n">
        <v>0.4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s="2" t="inlineStr"/>
    </row>
    <row r="1900" ht="15" customHeight="1">
      <c r="A1900" t="inlineStr">
        <is>
          <t>A 18077-2026</t>
        </is>
      </c>
      <c r="B1900" t="inlineStr">
        <is>
          <t>avverkningsanmälan</t>
        </is>
      </c>
      <c r="C1900" t="inlineStr">
        <is>
          <t>Avverkning för att bevara och utveckla /försöksver</t>
        </is>
      </c>
      <c r="D1900" s="1" t="n">
        <v>46125</v>
      </c>
      <c r="E1900" s="1" t="n">
        <v>46315</v>
      </c>
      <c r="F1900" t="inlineStr">
        <is>
          <t>HALLANDS LÄN</t>
        </is>
      </c>
      <c r="G1900" t="inlineStr">
        <is>
          <t>KUNGSBACKA</t>
        </is>
      </c>
      <c r="I1900" t="n">
        <v>0.7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s="2" t="inlineStr"/>
    </row>
    <row r="1901" ht="15" customHeight="1">
      <c r="A1901" t="inlineStr">
        <is>
          <t>A 37018-2024</t>
        </is>
      </c>
      <c r="B1901" t="inlineStr">
        <is>
          <t>avverkningsanmälan</t>
        </is>
      </c>
      <c r="C1901" t="inlineStr">
        <is>
          <t>Föryngringsavverkning</t>
        </is>
      </c>
      <c r="D1901" s="1" t="n">
        <v>45539</v>
      </c>
      <c r="E1901" s="1" t="n">
        <v>46315</v>
      </c>
      <c r="F1901" t="inlineStr">
        <is>
          <t>HALLANDS LÄN</t>
        </is>
      </c>
      <c r="G1901" t="inlineStr">
        <is>
          <t>FALKENBERG</t>
        </is>
      </c>
      <c r="I1901" t="n">
        <v>2.6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s="2" t="inlineStr"/>
    </row>
    <row r="1902" ht="15" customHeight="1">
      <c r="A1902" t="inlineStr">
        <is>
          <t>A 17852-2026</t>
        </is>
      </c>
      <c r="B1902" t="inlineStr">
        <is>
          <t>avverkningsanmälan</t>
        </is>
      </c>
      <c r="C1902" t="inlineStr">
        <is>
          <t>Föryngringsavverkning</t>
        </is>
      </c>
      <c r="D1902" s="1" t="n">
        <v>46122</v>
      </c>
      <c r="E1902" s="1" t="n">
        <v>46315</v>
      </c>
      <c r="F1902" t="inlineStr">
        <is>
          <t>HALLANDS LÄN</t>
        </is>
      </c>
      <c r="G1902" t="inlineStr">
        <is>
          <t>LAHOLM</t>
        </is>
      </c>
      <c r="I1902" t="n">
        <v>0.7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s="2" t="inlineStr"/>
    </row>
    <row r="1903" ht="15" customHeight="1">
      <c r="A1903" t="inlineStr">
        <is>
          <t>A 56650-2023</t>
        </is>
      </c>
      <c r="B1903" t="inlineStr">
        <is>
          <t>avverkningsanmälan</t>
        </is>
      </c>
      <c r="C1903" t="inlineStr">
        <is>
          <t>Föryngringsavverkning</t>
        </is>
      </c>
      <c r="D1903" s="1" t="n">
        <v>45238</v>
      </c>
      <c r="E1903" s="1" t="n">
        <v>46315</v>
      </c>
      <c r="F1903" t="inlineStr">
        <is>
          <t>HALLANDS LÄN</t>
        </is>
      </c>
      <c r="G1903" t="inlineStr">
        <is>
          <t>FALKENBERG</t>
        </is>
      </c>
      <c r="I1903" t="n">
        <v>29.4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s="2" t="inlineStr"/>
    </row>
    <row r="1904" ht="15" customHeight="1">
      <c r="A1904" t="inlineStr">
        <is>
          <t>A 17955-2026</t>
        </is>
      </c>
      <c r="B1904" t="inlineStr">
        <is>
          <t>avverkningsanmälan</t>
        </is>
      </c>
      <c r="C1904" t="inlineStr">
        <is>
          <t>Föryngringsavverkning</t>
        </is>
      </c>
      <c r="D1904" s="1" t="n">
        <v>46122</v>
      </c>
      <c r="E1904" s="1" t="n">
        <v>46315</v>
      </c>
      <c r="F1904" t="inlineStr">
        <is>
          <t>HALLANDS LÄN</t>
        </is>
      </c>
      <c r="G1904" t="inlineStr">
        <is>
          <t>HYLTE</t>
        </is>
      </c>
      <c r="I1904" t="n">
        <v>3.1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s="2" t="inlineStr"/>
    </row>
    <row r="1905" ht="15" customHeight="1">
      <c r="A1905" t="inlineStr">
        <is>
          <t>A 40542-2023</t>
        </is>
      </c>
      <c r="B1905" t="inlineStr">
        <is>
          <t>avverkningsanmälan</t>
        </is>
      </c>
      <c r="C1905" t="inlineStr">
        <is>
          <t>Föryngringsavverkning</t>
        </is>
      </c>
      <c r="D1905" s="1" t="n">
        <v>45168</v>
      </c>
      <c r="E1905" s="1" t="n">
        <v>46315</v>
      </c>
      <c r="F1905" t="inlineStr">
        <is>
          <t>HALLANDS LÄN</t>
        </is>
      </c>
      <c r="G1905" t="inlineStr">
        <is>
          <t>HALMSTAD</t>
        </is>
      </c>
      <c r="H1905" t="inlineStr">
        <is>
          <t>Kommuner</t>
        </is>
      </c>
      <c r="I1905" t="n">
        <v>2.2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s="2" t="inlineStr"/>
    </row>
    <row r="1906" ht="15" customHeight="1">
      <c r="A1906" t="inlineStr">
        <is>
          <t>A 29676-2026</t>
        </is>
      </c>
      <c r="B1906" t="inlineStr">
        <is>
          <t>avverkningsanmälan</t>
        </is>
      </c>
      <c r="C1906" t="inlineStr">
        <is>
          <t>Föryngringsavverkning</t>
        </is>
      </c>
      <c r="D1906" s="1" t="n">
        <v>46199</v>
      </c>
      <c r="E1906" s="1" t="n">
        <v>46315</v>
      </c>
      <c r="F1906" t="inlineStr">
        <is>
          <t>HALLANDS LÄN</t>
        </is>
      </c>
      <c r="G1906" t="inlineStr">
        <is>
          <t>HYLTE</t>
        </is>
      </c>
      <c r="I1906" t="n">
        <v>9.1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s="2" t="inlineStr"/>
    </row>
    <row r="1907" ht="15" customHeight="1">
      <c r="A1907" t="inlineStr">
        <is>
          <t>A 17747-2026</t>
        </is>
      </c>
      <c r="B1907" t="inlineStr">
        <is>
          <t>avverkningsanmälan</t>
        </is>
      </c>
      <c r="C1907" t="inlineStr">
        <is>
          <t>Föryngringsavverkning</t>
        </is>
      </c>
      <c r="D1907" s="1" t="n">
        <v>46122</v>
      </c>
      <c r="E1907" s="1" t="n">
        <v>46315</v>
      </c>
      <c r="F1907" t="inlineStr">
        <is>
          <t>HALLANDS LÄN</t>
        </is>
      </c>
      <c r="G1907" t="inlineStr">
        <is>
          <t>HYLTE</t>
        </is>
      </c>
      <c r="I1907" t="n">
        <v>0.4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s="2" t="inlineStr"/>
    </row>
    <row r="1908" ht="15" customHeight="1">
      <c r="A1908" t="inlineStr">
        <is>
          <t>A 17758-2026</t>
        </is>
      </c>
      <c r="B1908" t="inlineStr">
        <is>
          <t>avverkningsanmälan</t>
        </is>
      </c>
      <c r="C1908" t="inlineStr">
        <is>
          <t>Föryngringsavverkning</t>
        </is>
      </c>
      <c r="D1908" s="1" t="n">
        <v>46122</v>
      </c>
      <c r="E1908" s="1" t="n">
        <v>46315</v>
      </c>
      <c r="F1908" t="inlineStr">
        <is>
          <t>HALLANDS LÄN</t>
        </is>
      </c>
      <c r="G1908" t="inlineStr">
        <is>
          <t>HYLTE</t>
        </is>
      </c>
      <c r="I1908" t="n">
        <v>3.5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s="2" t="inlineStr"/>
    </row>
    <row r="1909" ht="15" customHeight="1">
      <c r="A1909" t="inlineStr">
        <is>
          <t>A 17857-2026</t>
        </is>
      </c>
      <c r="B1909" t="inlineStr">
        <is>
          <t>avverkningsanmälan</t>
        </is>
      </c>
      <c r="C1909" t="inlineStr">
        <is>
          <t>Föryngringsavverkning</t>
        </is>
      </c>
      <c r="D1909" s="1" t="n">
        <v>46122</v>
      </c>
      <c r="E1909" s="1" t="n">
        <v>46315</v>
      </c>
      <c r="F1909" t="inlineStr">
        <is>
          <t>HALLANDS LÄN</t>
        </is>
      </c>
      <c r="G1909" t="inlineStr">
        <is>
          <t>HYLTE</t>
        </is>
      </c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s="2" t="inlineStr"/>
    </row>
    <row r="1910" ht="15" customHeight="1">
      <c r="A1910" t="inlineStr">
        <is>
          <t>A 17722-2026</t>
        </is>
      </c>
      <c r="B1910" t="inlineStr">
        <is>
          <t>avverkningsanmälan</t>
        </is>
      </c>
      <c r="C1910" t="inlineStr">
        <is>
          <t>Föryngringsavverkning</t>
        </is>
      </c>
      <c r="D1910" s="1" t="n">
        <v>46121</v>
      </c>
      <c r="E1910" s="1" t="n">
        <v>46315</v>
      </c>
      <c r="F1910" t="inlineStr">
        <is>
          <t>HALLANDS LÄN</t>
        </is>
      </c>
      <c r="G1910" t="inlineStr">
        <is>
          <t>HYLTE</t>
        </is>
      </c>
      <c r="I1910" t="n">
        <v>1.9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s="2" t="inlineStr"/>
    </row>
    <row r="1911" ht="15" customHeight="1">
      <c r="A1911" t="inlineStr">
        <is>
          <t>A 34046-2023</t>
        </is>
      </c>
      <c r="B1911" t="inlineStr">
        <is>
          <t>avverkningsanmälan</t>
        </is>
      </c>
      <c r="C1911" t="inlineStr">
        <is>
          <t>Föryngringsavverkning</t>
        </is>
      </c>
      <c r="D1911" s="1" t="n">
        <v>45135</v>
      </c>
      <c r="E1911" s="1" t="n">
        <v>46315</v>
      </c>
      <c r="F1911" t="inlineStr">
        <is>
          <t>HALLANDS LÄN</t>
        </is>
      </c>
      <c r="G1911" t="inlineStr">
        <is>
          <t>LAHOLM</t>
        </is>
      </c>
      <c r="I1911" t="n">
        <v>1.4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s="2" t="inlineStr"/>
    </row>
    <row r="1912" ht="15" customHeight="1">
      <c r="A1912" t="inlineStr">
        <is>
          <t>A 58427-2022</t>
        </is>
      </c>
      <c r="B1912" t="inlineStr">
        <is>
          <t>avverkningsanmälan</t>
        </is>
      </c>
      <c r="C1912" t="inlineStr">
        <is>
          <t>Föryngringsavverkning</t>
        </is>
      </c>
      <c r="D1912" s="1" t="n">
        <v>44901</v>
      </c>
      <c r="E1912" s="1" t="n">
        <v>46315</v>
      </c>
      <c r="F1912" t="inlineStr">
        <is>
          <t>HALLANDS LÄN</t>
        </is>
      </c>
      <c r="G1912" t="inlineStr">
        <is>
          <t>LAHOLM</t>
        </is>
      </c>
      <c r="I1912" t="n">
        <v>8.1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s="2" t="inlineStr"/>
    </row>
    <row r="1913" ht="15" customHeight="1">
      <c r="A1913" t="inlineStr">
        <is>
          <t>A 23833-2024</t>
        </is>
      </c>
      <c r="B1913" t="inlineStr">
        <is>
          <t>avverkningsanmälan</t>
        </is>
      </c>
      <c r="C1913" t="inlineStr">
        <is>
          <t>Föryngringsavverkning</t>
        </is>
      </c>
      <c r="D1913" s="1" t="n">
        <v>45455</v>
      </c>
      <c r="E1913" s="1" t="n">
        <v>46315</v>
      </c>
      <c r="F1913" t="inlineStr">
        <is>
          <t>HALLANDS LÄN</t>
        </is>
      </c>
      <c r="G1913" t="inlineStr">
        <is>
          <t>HYLTE</t>
        </is>
      </c>
      <c r="I1913" t="n">
        <v>3.8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s="2" t="inlineStr"/>
    </row>
    <row r="1914" ht="15" customHeight="1">
      <c r="A1914" t="inlineStr">
        <is>
          <t>A 15426-2024</t>
        </is>
      </c>
      <c r="B1914" t="inlineStr">
        <is>
          <t>avverkningsanmälan</t>
        </is>
      </c>
      <c r="C1914" t="inlineStr">
        <is>
          <t>Föryngringsavverkning</t>
        </is>
      </c>
      <c r="D1914" s="1" t="n">
        <v>45401</v>
      </c>
      <c r="E1914" s="1" t="n">
        <v>46315</v>
      </c>
      <c r="F1914" t="inlineStr">
        <is>
          <t>HALLANDS LÄN</t>
        </is>
      </c>
      <c r="G1914" t="inlineStr">
        <is>
          <t>VARBERG</t>
        </is>
      </c>
      <c r="I1914" t="n">
        <v>0.6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s="2" t="inlineStr"/>
    </row>
    <row r="1915" ht="15" customHeight="1">
      <c r="A1915" t="inlineStr">
        <is>
          <t>A 18057-2022</t>
        </is>
      </c>
      <c r="B1915" t="inlineStr">
        <is>
          <t>avverkningsanmälan</t>
        </is>
      </c>
      <c r="C1915" t="inlineStr">
        <is>
          <t>Föryngringsavverkning</t>
        </is>
      </c>
      <c r="D1915" s="1" t="n">
        <v>44684</v>
      </c>
      <c r="E1915" s="1" t="n">
        <v>46315</v>
      </c>
      <c r="F1915" t="inlineStr">
        <is>
          <t>HALLANDS LÄN</t>
        </is>
      </c>
      <c r="G1915" t="inlineStr">
        <is>
          <t>KUNGSBACKA</t>
        </is>
      </c>
      <c r="I1915" t="n">
        <v>4.2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s="2" t="inlineStr"/>
    </row>
    <row r="1916" ht="15" customHeight="1">
      <c r="A1916" t="inlineStr">
        <is>
          <t>A 19969-2023</t>
        </is>
      </c>
      <c r="B1916" t="inlineStr">
        <is>
          <t>avverkningsanmälan</t>
        </is>
      </c>
      <c r="C1916" t="inlineStr">
        <is>
          <t>Föryngringsavverkning</t>
        </is>
      </c>
      <c r="D1916" s="1" t="n">
        <v>45054</v>
      </c>
      <c r="E1916" s="1" t="n">
        <v>46315</v>
      </c>
      <c r="F1916" t="inlineStr">
        <is>
          <t>HALLANDS LÄN</t>
        </is>
      </c>
      <c r="G1916" t="inlineStr">
        <is>
          <t>LAHOLM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s="2" t="inlineStr"/>
    </row>
    <row r="1917" ht="15" customHeight="1">
      <c r="A1917" t="inlineStr">
        <is>
          <t>A 28803-2023</t>
        </is>
      </c>
      <c r="B1917" t="inlineStr">
        <is>
          <t>avverkningsanmälan</t>
        </is>
      </c>
      <c r="C1917" t="inlineStr">
        <is>
          <t>Föryngringsavverkning</t>
        </is>
      </c>
      <c r="D1917" s="1" t="n">
        <v>45104</v>
      </c>
      <c r="E1917" s="1" t="n">
        <v>46315</v>
      </c>
      <c r="F1917" t="inlineStr">
        <is>
          <t>HALLANDS LÄN</t>
        </is>
      </c>
      <c r="G1917" t="inlineStr">
        <is>
          <t>HYLTE</t>
        </is>
      </c>
      <c r="I1917" t="n">
        <v>4.1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s="2" t="inlineStr"/>
    </row>
    <row r="1918" ht="15" customHeight="1">
      <c r="A1918" t="inlineStr">
        <is>
          <t>A 54385-2022</t>
        </is>
      </c>
      <c r="B1918" t="inlineStr">
        <is>
          <t>avverkningsanmälan</t>
        </is>
      </c>
      <c r="C1918" t="inlineStr">
        <is>
          <t>Föryngringsavverkning</t>
        </is>
      </c>
      <c r="D1918" s="1" t="n">
        <v>44882</v>
      </c>
      <c r="E1918" s="1" t="n">
        <v>46315</v>
      </c>
      <c r="F1918" t="inlineStr">
        <is>
          <t>HALLANDS LÄN</t>
        </is>
      </c>
      <c r="G1918" t="inlineStr">
        <is>
          <t>LAHOLM</t>
        </is>
      </c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s="2" t="inlineStr"/>
    </row>
    <row r="1919" ht="15" customHeight="1">
      <c r="A1919" t="inlineStr">
        <is>
          <t>A 5699-2024</t>
        </is>
      </c>
      <c r="B1919" t="inlineStr">
        <is>
          <t>avverkningsanmälan</t>
        </is>
      </c>
      <c r="C1919" t="inlineStr">
        <is>
          <t>Föryngringsavverkning</t>
        </is>
      </c>
      <c r="D1919" s="1" t="n">
        <v>45334</v>
      </c>
      <c r="E1919" s="1" t="n">
        <v>46315</v>
      </c>
      <c r="F1919" t="inlineStr">
        <is>
          <t>HALLANDS LÄN</t>
        </is>
      </c>
      <c r="G1919" t="inlineStr">
        <is>
          <t>HYLTE</t>
        </is>
      </c>
      <c r="I1919" t="n">
        <v>0.6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s="2" t="inlineStr"/>
    </row>
    <row r="1920" ht="15" customHeight="1">
      <c r="A1920" t="inlineStr">
        <is>
          <t>A 18477-2026</t>
        </is>
      </c>
      <c r="B1920" t="inlineStr">
        <is>
          <t>avverkningsanmälan</t>
        </is>
      </c>
      <c r="C1920" t="inlineStr">
        <is>
          <t>Föryngringsavverkning</t>
        </is>
      </c>
      <c r="D1920" s="1" t="n">
        <v>46127</v>
      </c>
      <c r="E1920" s="1" t="n">
        <v>46315</v>
      </c>
      <c r="F1920" t="inlineStr">
        <is>
          <t>HALLANDS LÄN</t>
        </is>
      </c>
      <c r="G1920" t="inlineStr">
        <is>
          <t>FALKENBERG</t>
        </is>
      </c>
      <c r="I1920" t="n">
        <v>0.6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s="2" t="inlineStr"/>
    </row>
    <row r="1921" ht="15" customHeight="1">
      <c r="A1921" t="inlineStr">
        <is>
          <t>A 60556-2023</t>
        </is>
      </c>
      <c r="B1921" t="inlineStr">
        <is>
          <t>avverkningsanmälan</t>
        </is>
      </c>
      <c r="C1921" t="inlineStr">
        <is>
          <t>Föryngringsavverkning</t>
        </is>
      </c>
      <c r="D1921" s="1" t="n">
        <v>45259</v>
      </c>
      <c r="E1921" s="1" t="n">
        <v>46315</v>
      </c>
      <c r="F1921" t="inlineStr">
        <is>
          <t>HALLANDS LÄN</t>
        </is>
      </c>
      <c r="G1921" t="inlineStr">
        <is>
          <t>VARBERG</t>
        </is>
      </c>
      <c r="I1921" t="n">
        <v>1.8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s="2" t="inlineStr"/>
    </row>
    <row r="1922" ht="15" customHeight="1">
      <c r="A1922" t="inlineStr">
        <is>
          <t>A 11999-2024</t>
        </is>
      </c>
      <c r="B1922" t="inlineStr">
        <is>
          <t>avverkningsanmälan</t>
        </is>
      </c>
      <c r="C1922" t="inlineStr">
        <is>
          <t>Föryngringsavverkning</t>
        </is>
      </c>
      <c r="D1922" s="1" t="n">
        <v>45377</v>
      </c>
      <c r="E1922" s="1" t="n">
        <v>46315</v>
      </c>
      <c r="F1922" t="inlineStr">
        <is>
          <t>HALLANDS LÄN</t>
        </is>
      </c>
      <c r="G1922" t="inlineStr">
        <is>
          <t>LAHOLM</t>
        </is>
      </c>
      <c r="I1922" t="n">
        <v>0.6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s="2" t="inlineStr"/>
    </row>
    <row r="1923" ht="15" customHeight="1">
      <c r="A1923" t="inlineStr">
        <is>
          <t>A 8318-2024</t>
        </is>
      </c>
      <c r="B1923" t="inlineStr">
        <is>
          <t>avverkningsanmälan</t>
        </is>
      </c>
      <c r="C1923" t="inlineStr">
        <is>
          <t>Föryngringsavverkning</t>
        </is>
      </c>
      <c r="D1923" s="1" t="n">
        <v>45352</v>
      </c>
      <c r="E1923" s="1" t="n">
        <v>46315</v>
      </c>
      <c r="F1923" t="inlineStr">
        <is>
          <t>HALLANDS LÄN</t>
        </is>
      </c>
      <c r="G1923" t="inlineStr">
        <is>
          <t>HYLTE</t>
        </is>
      </c>
      <c r="I1923" t="n">
        <v>0.6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s="2" t="inlineStr"/>
    </row>
    <row r="1924" ht="15" customHeight="1">
      <c r="A1924" t="inlineStr">
        <is>
          <t>A 5064-2025</t>
        </is>
      </c>
      <c r="B1924" t="inlineStr">
        <is>
          <t>avverkningsanmälan</t>
        </is>
      </c>
      <c r="C1924" t="inlineStr">
        <is>
          <t>Föryngringsavverkning</t>
        </is>
      </c>
      <c r="D1924" s="1" t="n">
        <v>45691</v>
      </c>
      <c r="E1924" s="1" t="n">
        <v>46315</v>
      </c>
      <c r="F1924" t="inlineStr">
        <is>
          <t>HALLANDS LÄN</t>
        </is>
      </c>
      <c r="G1924" t="inlineStr">
        <is>
          <t>FALKENBERG</t>
        </is>
      </c>
      <c r="I1924" t="n">
        <v>2.3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s="2" t="inlineStr"/>
    </row>
    <row r="1925" ht="15" customHeight="1">
      <c r="A1925" t="inlineStr">
        <is>
          <t>A 19130-2026</t>
        </is>
      </c>
      <c r="B1925" t="inlineStr">
        <is>
          <t>avverkningsanmälan</t>
        </is>
      </c>
      <c r="C1925" t="inlineStr">
        <is>
          <t>Avverkning för annat ändamål</t>
        </is>
      </c>
      <c r="D1925" s="1" t="n">
        <v>46132</v>
      </c>
      <c r="E1925" s="1" t="n">
        <v>46315</v>
      </c>
      <c r="F1925" t="inlineStr">
        <is>
          <t>HALLANDS LÄN</t>
        </is>
      </c>
      <c r="G1925" t="inlineStr">
        <is>
          <t>VARBERG</t>
        </is>
      </c>
      <c r="I1925" t="n">
        <v>2.3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s="2" t="inlineStr"/>
    </row>
    <row r="1926" ht="15" customHeight="1">
      <c r="A1926" t="inlineStr">
        <is>
          <t>A 3052-2023</t>
        </is>
      </c>
      <c r="B1926" t="inlineStr">
        <is>
          <t>avverkningsanmälan</t>
        </is>
      </c>
      <c r="C1926" t="inlineStr">
        <is>
          <t>Föryngringsavverkning</t>
        </is>
      </c>
      <c r="D1926" s="1" t="n">
        <v>44946</v>
      </c>
      <c r="E1926" s="1" t="n">
        <v>46315</v>
      </c>
      <c r="F1926" t="inlineStr">
        <is>
          <t>HALLANDS LÄN</t>
        </is>
      </c>
      <c r="G1926" t="inlineStr">
        <is>
          <t>FALKENBERG</t>
        </is>
      </c>
      <c r="I1926" t="n">
        <v>10.1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s="2" t="inlineStr"/>
    </row>
    <row r="1927" ht="15" customHeight="1">
      <c r="A1927" t="inlineStr">
        <is>
          <t>A 29104-2026</t>
        </is>
      </c>
      <c r="B1927" t="inlineStr">
        <is>
          <t>avverkningsanmälan</t>
        </is>
      </c>
      <c r="C1927" t="inlineStr">
        <is>
          <t>Föryngringsavverkning</t>
        </is>
      </c>
      <c r="D1927" s="1" t="n">
        <v>46200</v>
      </c>
      <c r="E1927" s="1" t="n">
        <v>46315</v>
      </c>
      <c r="F1927" t="inlineStr">
        <is>
          <t>HALLANDS LÄN</t>
        </is>
      </c>
      <c r="G1927" t="inlineStr">
        <is>
          <t>FALKENBERG</t>
        </is>
      </c>
      <c r="I1927" t="n">
        <v>1.8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s="2" t="inlineStr"/>
    </row>
    <row r="1928" ht="15" customHeight="1">
      <c r="A1928" t="inlineStr">
        <is>
          <t>A 28869-2026</t>
        </is>
      </c>
      <c r="B1928" t="inlineStr">
        <is>
          <t>avverkningsanmälan</t>
        </is>
      </c>
      <c r="C1928" t="inlineStr">
        <is>
          <t>Föryngringsavverkning</t>
        </is>
      </c>
      <c r="D1928" s="1" t="n">
        <v>46199</v>
      </c>
      <c r="E1928" s="1" t="n">
        <v>46315</v>
      </c>
      <c r="F1928" t="inlineStr">
        <is>
          <t>HALLANDS LÄN</t>
        </is>
      </c>
      <c r="G1928" t="inlineStr">
        <is>
          <t>VARBERG</t>
        </is>
      </c>
      <c r="I1928" t="n">
        <v>2.4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s="2" t="inlineStr"/>
    </row>
    <row r="1929" ht="15" customHeight="1">
      <c r="A1929" t="inlineStr">
        <is>
          <t>A 55505-2023</t>
        </is>
      </c>
      <c r="B1929" t="inlineStr">
        <is>
          <t>avverkningsanmälan</t>
        </is>
      </c>
      <c r="C1929" t="inlineStr">
        <is>
          <t>Föryngringsavverkning</t>
        </is>
      </c>
      <c r="D1929" s="1" t="n">
        <v>45238</v>
      </c>
      <c r="E1929" s="1" t="n">
        <v>46315</v>
      </c>
      <c r="F1929" t="inlineStr">
        <is>
          <t>HALLANDS LÄN</t>
        </is>
      </c>
      <c r="G1929" t="inlineStr">
        <is>
          <t>VARBERG</t>
        </is>
      </c>
      <c r="I1929" t="n">
        <v>0.5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s="2" t="inlineStr"/>
    </row>
    <row r="1930" ht="15" customHeight="1">
      <c r="A1930" t="inlineStr">
        <is>
          <t>A 55523-2023</t>
        </is>
      </c>
      <c r="B1930" t="inlineStr">
        <is>
          <t>avverkningsanmälan</t>
        </is>
      </c>
      <c r="C1930" t="inlineStr">
        <is>
          <t>Föryngringsavverkning</t>
        </is>
      </c>
      <c r="D1930" s="1" t="n">
        <v>45232</v>
      </c>
      <c r="E1930" s="1" t="n">
        <v>46315</v>
      </c>
      <c r="F1930" t="inlineStr">
        <is>
          <t>HALLANDS LÄN</t>
        </is>
      </c>
      <c r="G1930" t="inlineStr">
        <is>
          <t>LAHOLM</t>
        </is>
      </c>
      <c r="I1930" t="n">
        <v>1.8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s="2" t="inlineStr"/>
    </row>
    <row r="1931" ht="15" customHeight="1">
      <c r="A1931" t="inlineStr">
        <is>
          <t>A 18699-2026</t>
        </is>
      </c>
      <c r="B1931" t="inlineStr">
        <is>
          <t>avverkningsanmälan</t>
        </is>
      </c>
      <c r="C1931" t="inlineStr">
        <is>
          <t>Föryngringsavverkning</t>
        </is>
      </c>
      <c r="D1931" s="1" t="n">
        <v>46128</v>
      </c>
      <c r="E1931" s="1" t="n">
        <v>46315</v>
      </c>
      <c r="F1931" t="inlineStr">
        <is>
          <t>HALLANDS LÄN</t>
        </is>
      </c>
      <c r="G1931" t="inlineStr">
        <is>
          <t>HYLTE</t>
        </is>
      </c>
      <c r="I1931" t="n">
        <v>1.3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s="2" t="inlineStr"/>
    </row>
    <row r="1932" ht="15" customHeight="1">
      <c r="A1932" t="inlineStr">
        <is>
          <t>A 51190-2022</t>
        </is>
      </c>
      <c r="B1932" t="inlineStr">
        <is>
          <t>avverkningsanmälan</t>
        </is>
      </c>
      <c r="C1932" t="inlineStr">
        <is>
          <t>Föryngringsavverkning</t>
        </is>
      </c>
      <c r="D1932" s="1" t="n">
        <v>44868</v>
      </c>
      <c r="E1932" s="1" t="n">
        <v>46315</v>
      </c>
      <c r="F1932" t="inlineStr">
        <is>
          <t>HALLANDS LÄN</t>
        </is>
      </c>
      <c r="G1932" t="inlineStr">
        <is>
          <t>HALMSTAD</t>
        </is>
      </c>
      <c r="I1932" t="n">
        <v>1.7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s="2" t="inlineStr"/>
    </row>
    <row r="1933" ht="15" customHeight="1">
      <c r="A1933" t="inlineStr">
        <is>
          <t>A 9610-2025</t>
        </is>
      </c>
      <c r="B1933" t="inlineStr">
        <is>
          <t>avverkningsanmälan</t>
        </is>
      </c>
      <c r="C1933" t="inlineStr">
        <is>
          <t>Föryngringsavverkning</t>
        </is>
      </c>
      <c r="D1933" s="1" t="n">
        <v>45715</v>
      </c>
      <c r="E1933" s="1" t="n">
        <v>46315</v>
      </c>
      <c r="F1933" t="inlineStr">
        <is>
          <t>HALLANDS LÄN</t>
        </is>
      </c>
      <c r="G1933" t="inlineStr">
        <is>
          <t>HYLTE</t>
        </is>
      </c>
      <c r="I1933" t="n">
        <v>0.9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s="2" t="inlineStr"/>
    </row>
    <row r="1934" ht="15" customHeight="1">
      <c r="A1934" t="inlineStr">
        <is>
          <t>A 3126-2024</t>
        </is>
      </c>
      <c r="B1934" t="inlineStr">
        <is>
          <t>avverkningsanmälan</t>
        </is>
      </c>
      <c r="C1934" t="inlineStr">
        <is>
          <t>Föryngringsavverkning</t>
        </is>
      </c>
      <c r="D1934" s="1" t="n">
        <v>45316</v>
      </c>
      <c r="E1934" s="1" t="n">
        <v>46315</v>
      </c>
      <c r="F1934" t="inlineStr">
        <is>
          <t>HALLANDS LÄN</t>
        </is>
      </c>
      <c r="G1934" t="inlineStr">
        <is>
          <t>HYLTE</t>
        </is>
      </c>
      <c r="I1934" t="n">
        <v>1.1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s="2" t="inlineStr"/>
    </row>
    <row r="1935" ht="15" customHeight="1">
      <c r="A1935" t="inlineStr">
        <is>
          <t>A 12009-2026</t>
        </is>
      </c>
      <c r="B1935" t="inlineStr">
        <is>
          <t>avverkningsanmälan</t>
        </is>
      </c>
      <c r="C1935" t="inlineStr">
        <is>
          <t>Föryngringsavverkning</t>
        </is>
      </c>
      <c r="D1935" s="1" t="n">
        <v>46085</v>
      </c>
      <c r="E1935" s="1" t="n">
        <v>46315</v>
      </c>
      <c r="F1935" t="inlineStr">
        <is>
          <t>HALLANDS LÄN</t>
        </is>
      </c>
      <c r="G1935" t="inlineStr">
        <is>
          <t>HALMSTAD</t>
        </is>
      </c>
      <c r="I1935" t="n">
        <v>8.4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s="2" t="inlineStr"/>
    </row>
    <row r="1936" ht="15" customHeight="1">
      <c r="A1936" t="inlineStr">
        <is>
          <t>A 18686-2026</t>
        </is>
      </c>
      <c r="B1936" t="inlineStr">
        <is>
          <t>avverkningsanmälan</t>
        </is>
      </c>
      <c r="C1936" t="inlineStr">
        <is>
          <t>Föryngringsavverkning</t>
        </is>
      </c>
      <c r="D1936" s="1" t="n">
        <v>46128</v>
      </c>
      <c r="E1936" s="1" t="n">
        <v>46315</v>
      </c>
      <c r="F1936" t="inlineStr">
        <is>
          <t>HALLANDS LÄN</t>
        </is>
      </c>
      <c r="G1936" t="inlineStr">
        <is>
          <t>HALMSTAD</t>
        </is>
      </c>
      <c r="I1936" t="n">
        <v>0.9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s="2" t="inlineStr"/>
    </row>
    <row r="1937" ht="15" customHeight="1">
      <c r="A1937" t="inlineStr">
        <is>
          <t>A 20624-2026</t>
        </is>
      </c>
      <c r="B1937" t="inlineStr">
        <is>
          <t>avverkningsanmälan</t>
        </is>
      </c>
      <c r="C1937" t="inlineStr">
        <is>
          <t>Föryngringsavverkning</t>
        </is>
      </c>
      <c r="D1937" s="1" t="n">
        <v>46141</v>
      </c>
      <c r="E1937" s="1" t="n">
        <v>46315</v>
      </c>
      <c r="F1937" t="inlineStr">
        <is>
          <t>HALLANDS LÄN</t>
        </is>
      </c>
      <c r="G1937" t="inlineStr">
        <is>
          <t>VARBERG</t>
        </is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s="2" t="inlineStr"/>
    </row>
    <row r="1938" ht="15" customHeight="1">
      <c r="A1938" t="inlineStr">
        <is>
          <t>A 31194-2026</t>
        </is>
      </c>
      <c r="B1938" t="inlineStr">
        <is>
          <t>avverkningsanmälan</t>
        </is>
      </c>
      <c r="C1938" t="inlineStr">
        <is>
          <t>Föryngringsavverkning</t>
        </is>
      </c>
      <c r="D1938" s="1" t="n">
        <v>46209</v>
      </c>
      <c r="E1938" s="1" t="n">
        <v>46315</v>
      </c>
      <c r="F1938" t="inlineStr">
        <is>
          <t>HALLANDS LÄN</t>
        </is>
      </c>
      <c r="G1938" t="inlineStr">
        <is>
          <t>LAHOLM</t>
        </is>
      </c>
      <c r="H1938" t="inlineStr">
        <is>
          <t>Sveaskog</t>
        </is>
      </c>
      <c r="I1938" t="n">
        <v>0.7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s="2" t="inlineStr"/>
    </row>
    <row r="1939" ht="15" customHeight="1">
      <c r="A1939" t="inlineStr">
        <is>
          <t>A 29345-2026</t>
        </is>
      </c>
      <c r="B1939" t="inlineStr">
        <is>
          <t>avverkningsanmälan</t>
        </is>
      </c>
      <c r="C1939" t="inlineStr">
        <is>
          <t>Föryngringsavverkning</t>
        </is>
      </c>
      <c r="D1939" s="1" t="n">
        <v>46203</v>
      </c>
      <c r="E1939" s="1" t="n">
        <v>46315</v>
      </c>
      <c r="F1939" t="inlineStr">
        <is>
          <t>HALLANDS LÄN</t>
        </is>
      </c>
      <c r="G1939" t="inlineStr">
        <is>
          <t>FALKENBERG</t>
        </is>
      </c>
      <c r="I1939" t="n">
        <v>0.9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s="2" t="inlineStr"/>
    </row>
    <row r="1940" ht="15" customHeight="1">
      <c r="A1940" t="inlineStr">
        <is>
          <t>A 29208-2026</t>
        </is>
      </c>
      <c r="B1940" t="inlineStr">
        <is>
          <t>avverkningsanmälan</t>
        </is>
      </c>
      <c r="C1940" t="inlineStr">
        <is>
          <t>Föryngringsavverkning</t>
        </is>
      </c>
      <c r="D1940" s="1" t="n">
        <v>46202</v>
      </c>
      <c r="E1940" s="1" t="n">
        <v>46315</v>
      </c>
      <c r="F1940" t="inlineStr">
        <is>
          <t>HALLANDS LÄN</t>
        </is>
      </c>
      <c r="G1940" t="inlineStr">
        <is>
          <t>VARBERG</t>
        </is>
      </c>
      <c r="I1940" t="n">
        <v>4.3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s="2" t="inlineStr"/>
    </row>
    <row r="1941" ht="15" customHeight="1">
      <c r="A1941" t="inlineStr">
        <is>
          <t>A 29220-2026</t>
        </is>
      </c>
      <c r="B1941" t="inlineStr">
        <is>
          <t>avverkningsanmälan</t>
        </is>
      </c>
      <c r="C1941" t="inlineStr">
        <is>
          <t>Föryngringsavverkning</t>
        </is>
      </c>
      <c r="D1941" s="1" t="n">
        <v>46202</v>
      </c>
      <c r="E1941" s="1" t="n">
        <v>46315</v>
      </c>
      <c r="F1941" t="inlineStr">
        <is>
          <t>HALLANDS LÄN</t>
        </is>
      </c>
      <c r="G1941" t="inlineStr">
        <is>
          <t>LAHOLM</t>
        </is>
      </c>
      <c r="I1941" t="n">
        <v>1.2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s="2" t="inlineStr"/>
    </row>
    <row r="1942" ht="15" customHeight="1">
      <c r="A1942" t="inlineStr">
        <is>
          <t>A 29209-2026</t>
        </is>
      </c>
      <c r="B1942" t="inlineStr">
        <is>
          <t>avverkningsanmälan</t>
        </is>
      </c>
      <c r="C1942" t="inlineStr">
        <is>
          <t>Föryngringsavverkning</t>
        </is>
      </c>
      <c r="D1942" s="1" t="n">
        <v>46202</v>
      </c>
      <c r="E1942" s="1" t="n">
        <v>46315</v>
      </c>
      <c r="F1942" t="inlineStr">
        <is>
          <t>HALLANDS LÄN</t>
        </is>
      </c>
      <c r="G1942" t="inlineStr">
        <is>
          <t>VARBERG</t>
        </is>
      </c>
      <c r="I1942" t="n">
        <v>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s="2" t="inlineStr"/>
    </row>
    <row r="1943" ht="15" customHeight="1">
      <c r="A1943" t="inlineStr">
        <is>
          <t>A 29216-2026</t>
        </is>
      </c>
      <c r="B1943" t="inlineStr">
        <is>
          <t>avverkningsanmälan</t>
        </is>
      </c>
      <c r="C1943" t="inlineStr">
        <is>
          <t>Föryngringsavverkning</t>
        </is>
      </c>
      <c r="D1943" s="1" t="n">
        <v>46202</v>
      </c>
      <c r="E1943" s="1" t="n">
        <v>46315</v>
      </c>
      <c r="F1943" t="inlineStr">
        <is>
          <t>HALLANDS LÄN</t>
        </is>
      </c>
      <c r="G1943" t="inlineStr">
        <is>
          <t>FALKENBERG</t>
        </is>
      </c>
      <c r="I1943" t="n">
        <v>1.3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s="2" t="inlineStr"/>
    </row>
    <row r="1944" ht="15" customHeight="1">
      <c r="A1944" t="inlineStr">
        <is>
          <t>A 28851-2026</t>
        </is>
      </c>
      <c r="B1944" t="inlineStr">
        <is>
          <t>avverkningsanmälan</t>
        </is>
      </c>
      <c r="C1944" t="inlineStr">
        <is>
          <t>Föryngringsavverkning</t>
        </is>
      </c>
      <c r="D1944" s="1" t="n">
        <v>46198</v>
      </c>
      <c r="E1944" s="1" t="n">
        <v>46315</v>
      </c>
      <c r="F1944" t="inlineStr">
        <is>
          <t>HALLANDS LÄN</t>
        </is>
      </c>
      <c r="G1944" t="inlineStr">
        <is>
          <t>VARBERG</t>
        </is>
      </c>
      <c r="I1944" t="n">
        <v>4.1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s="2" t="inlineStr"/>
    </row>
    <row r="1945" ht="15" customHeight="1">
      <c r="A1945" t="inlineStr">
        <is>
          <t>A 29219-2026</t>
        </is>
      </c>
      <c r="B1945" t="inlineStr">
        <is>
          <t>avverkningsanmälan</t>
        </is>
      </c>
      <c r="C1945" t="inlineStr">
        <is>
          <t>Föryngringsavverkning</t>
        </is>
      </c>
      <c r="D1945" s="1" t="n">
        <v>46202</v>
      </c>
      <c r="E1945" s="1" t="n">
        <v>46315</v>
      </c>
      <c r="F1945" t="inlineStr">
        <is>
          <t>HALLANDS LÄN</t>
        </is>
      </c>
      <c r="G1945" t="inlineStr">
        <is>
          <t>LAHOLM</t>
        </is>
      </c>
      <c r="I1945" t="n">
        <v>0.7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s="2" t="inlineStr"/>
    </row>
    <row r="1946" ht="15" customHeight="1">
      <c r="A1946" t="inlineStr">
        <is>
          <t>A 29228-2026</t>
        </is>
      </c>
      <c r="B1946" t="inlineStr">
        <is>
          <t>avverkningsanmälan</t>
        </is>
      </c>
      <c r="C1946" t="inlineStr">
        <is>
          <t>Föryngringsavverkning</t>
        </is>
      </c>
      <c r="D1946" s="1" t="n">
        <v>46202</v>
      </c>
      <c r="E1946" s="1" t="n">
        <v>46315</v>
      </c>
      <c r="F1946" t="inlineStr">
        <is>
          <t>HALLANDS LÄN</t>
        </is>
      </c>
      <c r="G1946" t="inlineStr">
        <is>
          <t>FALKENBERG</t>
        </is>
      </c>
      <c r="H1946" t="inlineStr">
        <is>
          <t>Bergvik skog väst AB</t>
        </is>
      </c>
      <c r="I1946" t="n">
        <v>7.7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s="2" t="inlineStr"/>
    </row>
    <row r="1947" ht="15" customHeight="1">
      <c r="A1947" t="inlineStr">
        <is>
          <t>A 29229-2026</t>
        </is>
      </c>
      <c r="B1947" t="inlineStr">
        <is>
          <t>avverkningsanmälan</t>
        </is>
      </c>
      <c r="C1947" t="inlineStr">
        <is>
          <t>Föryngringsavverkning</t>
        </is>
      </c>
      <c r="D1947" s="1" t="n">
        <v>46202</v>
      </c>
      <c r="E1947" s="1" t="n">
        <v>46315</v>
      </c>
      <c r="F1947" t="inlineStr">
        <is>
          <t>HALLANDS LÄN</t>
        </is>
      </c>
      <c r="G1947" t="inlineStr">
        <is>
          <t>FALKENBERG</t>
        </is>
      </c>
      <c r="H1947" t="inlineStr">
        <is>
          <t>Bergvik skog väst AB</t>
        </is>
      </c>
      <c r="I1947" t="n">
        <v>7.3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s="2" t="inlineStr"/>
    </row>
    <row r="1948" ht="15" customHeight="1">
      <c r="A1948" t="inlineStr">
        <is>
          <t>A 19560-2026</t>
        </is>
      </c>
      <c r="B1948" t="inlineStr">
        <is>
          <t>avverkningsanmälan</t>
        </is>
      </c>
      <c r="C1948" t="inlineStr">
        <is>
          <t>Föryngringsavverkning</t>
        </is>
      </c>
      <c r="D1948" s="1" t="n">
        <v>46134</v>
      </c>
      <c r="E1948" s="1" t="n">
        <v>46315</v>
      </c>
      <c r="F1948" t="inlineStr">
        <is>
          <t>HALLANDS LÄN</t>
        </is>
      </c>
      <c r="G1948" t="inlineStr">
        <is>
          <t>LAHOLM</t>
        </is>
      </c>
      <c r="I1948" t="n">
        <v>0.7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s="2" t="inlineStr"/>
    </row>
    <row r="1949" ht="15" customHeight="1">
      <c r="A1949" t="inlineStr">
        <is>
          <t>A 19384-2026</t>
        </is>
      </c>
      <c r="B1949" t="inlineStr">
        <is>
          <t>avverkningsanmälan</t>
        </is>
      </c>
      <c r="C1949" t="inlineStr">
        <is>
          <t>Föryngringsavverkning</t>
        </is>
      </c>
      <c r="D1949" s="1" t="n">
        <v>46133</v>
      </c>
      <c r="E1949" s="1" t="n">
        <v>46315</v>
      </c>
      <c r="F1949" t="inlineStr">
        <is>
          <t>HALLANDS LÄN</t>
        </is>
      </c>
      <c r="G1949" t="inlineStr">
        <is>
          <t>LAHOLM</t>
        </is>
      </c>
      <c r="H1949" t="inlineStr">
        <is>
          <t>Sveaskog</t>
        </is>
      </c>
      <c r="I1949" t="n">
        <v>4.8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s="2" t="inlineStr"/>
    </row>
    <row r="1950" ht="15" customHeight="1">
      <c r="A1950" t="inlineStr">
        <is>
          <t>A 29346-2026</t>
        </is>
      </c>
      <c r="B1950" t="inlineStr">
        <is>
          <t>avverkningsanmälan</t>
        </is>
      </c>
      <c r="C1950" t="inlineStr">
        <is>
          <t>Föryngringsavverkning</t>
        </is>
      </c>
      <c r="D1950" s="1" t="n">
        <v>46203</v>
      </c>
      <c r="E1950" s="1" t="n">
        <v>46315</v>
      </c>
      <c r="F1950" t="inlineStr">
        <is>
          <t>HALLANDS LÄN</t>
        </is>
      </c>
      <c r="G1950" t="inlineStr">
        <is>
          <t>FALKENBERG</t>
        </is>
      </c>
      <c r="I1950" t="n">
        <v>1.5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s="2" t="inlineStr"/>
    </row>
    <row r="1951" ht="15" customHeight="1">
      <c r="A1951" t="inlineStr">
        <is>
          <t>A 18803-2023</t>
        </is>
      </c>
      <c r="B1951" t="inlineStr">
        <is>
          <t>avverkningsanmälan</t>
        </is>
      </c>
      <c r="C1951" t="inlineStr">
        <is>
          <t>Föryngringsavverkning</t>
        </is>
      </c>
      <c r="D1951" s="1" t="n">
        <v>45044</v>
      </c>
      <c r="E1951" s="1" t="n">
        <v>46315</v>
      </c>
      <c r="F1951" t="inlineStr">
        <is>
          <t>HALLANDS LÄN</t>
        </is>
      </c>
      <c r="G1951" t="inlineStr">
        <is>
          <t>FALKENBERG</t>
        </is>
      </c>
      <c r="I1951" t="n">
        <v>1.9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s="2" t="inlineStr"/>
    </row>
    <row r="1952" ht="15" customHeight="1">
      <c r="A1952" t="inlineStr">
        <is>
          <t>A 19626-2025</t>
        </is>
      </c>
      <c r="B1952" t="inlineStr">
        <is>
          <t>avverkningsanmälan</t>
        </is>
      </c>
      <c r="C1952" t="inlineStr">
        <is>
          <t>Föryngringsavverkning</t>
        </is>
      </c>
      <c r="D1952" s="1" t="n">
        <v>45770</v>
      </c>
      <c r="E1952" s="1" t="n">
        <v>46315</v>
      </c>
      <c r="F1952" t="inlineStr">
        <is>
          <t>HALLANDS LÄN</t>
        </is>
      </c>
      <c r="G1952" t="inlineStr">
        <is>
          <t>FALKENBERG</t>
        </is>
      </c>
      <c r="H1952" t="inlineStr">
        <is>
          <t>Kommuner</t>
        </is>
      </c>
      <c r="I1952" t="n">
        <v>8.4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s="2" t="inlineStr"/>
    </row>
    <row r="1953" ht="15" customHeight="1">
      <c r="A1953" t="inlineStr">
        <is>
          <t>A 23069-2025</t>
        </is>
      </c>
      <c r="B1953" t="inlineStr">
        <is>
          <t>avverkningsanmälan</t>
        </is>
      </c>
      <c r="C1953" t="inlineStr">
        <is>
          <t>Föryngringsavverkning</t>
        </is>
      </c>
      <c r="D1953" s="1" t="n">
        <v>45790</v>
      </c>
      <c r="E1953" s="1" t="n">
        <v>46315</v>
      </c>
      <c r="F1953" t="inlineStr">
        <is>
          <t>HALLANDS LÄN</t>
        </is>
      </c>
      <c r="G1953" t="inlineStr">
        <is>
          <t>HYLTE</t>
        </is>
      </c>
      <c r="I1953" t="n">
        <v>1.7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s="2" t="inlineStr"/>
    </row>
    <row r="1954" ht="15" customHeight="1">
      <c r="A1954" t="inlineStr">
        <is>
          <t>A 29866-2026</t>
        </is>
      </c>
      <c r="B1954" t="inlineStr">
        <is>
          <t>avverkningsanmälan</t>
        </is>
      </c>
      <c r="C1954" t="inlineStr">
        <is>
          <t>Föryngringsavverkning</t>
        </is>
      </c>
      <c r="D1954" s="1" t="n">
        <v>46205</v>
      </c>
      <c r="E1954" s="1" t="n">
        <v>46315</v>
      </c>
      <c r="F1954" t="inlineStr">
        <is>
          <t>HALLANDS LÄN</t>
        </is>
      </c>
      <c r="G1954" t="inlineStr">
        <is>
          <t>HALMSTAD</t>
        </is>
      </c>
      <c r="I1954" t="n">
        <v>6.9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s="2" t="inlineStr"/>
    </row>
    <row r="1955" ht="15" customHeight="1">
      <c r="A1955" t="inlineStr">
        <is>
          <t>A 34899-2022</t>
        </is>
      </c>
      <c r="B1955" t="inlineStr">
        <is>
          <t>avverkningsanmälan</t>
        </is>
      </c>
      <c r="C1955" t="inlineStr">
        <is>
          <t>Föryngringsavverkning</t>
        </is>
      </c>
      <c r="D1955" s="1" t="n">
        <v>44796</v>
      </c>
      <c r="E1955" s="1" t="n">
        <v>46315</v>
      </c>
      <c r="F1955" t="inlineStr">
        <is>
          <t>HALLANDS LÄN</t>
        </is>
      </c>
      <c r="G1955" t="inlineStr">
        <is>
          <t>HYLTE</t>
        </is>
      </c>
      <c r="I1955" t="n">
        <v>1.9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s="2" t="inlineStr"/>
    </row>
    <row r="1956" ht="15" customHeight="1">
      <c r="A1956" t="inlineStr">
        <is>
          <t>A 55798-2023</t>
        </is>
      </c>
      <c r="B1956" t="inlineStr">
        <is>
          <t>avverkningsanmälan</t>
        </is>
      </c>
      <c r="C1956" t="inlineStr">
        <is>
          <t>Föryngringsavverkning</t>
        </is>
      </c>
      <c r="D1956" s="1" t="n">
        <v>45239</v>
      </c>
      <c r="E1956" s="1" t="n">
        <v>46315</v>
      </c>
      <c r="F1956" t="inlineStr">
        <is>
          <t>HALLANDS LÄN</t>
        </is>
      </c>
      <c r="G1956" t="inlineStr">
        <is>
          <t>HALMSTAD</t>
        </is>
      </c>
      <c r="I1956" t="n">
        <v>1.8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s="2" t="inlineStr"/>
    </row>
    <row r="1957" ht="15" customHeight="1">
      <c r="A1957" t="inlineStr">
        <is>
          <t>A 55800-2023</t>
        </is>
      </c>
      <c r="B1957" t="inlineStr">
        <is>
          <t>avverkningsanmälan</t>
        </is>
      </c>
      <c r="C1957" t="inlineStr">
        <is>
          <t>Föryngringsavverkning</t>
        </is>
      </c>
      <c r="D1957" s="1" t="n">
        <v>45239</v>
      </c>
      <c r="E1957" s="1" t="n">
        <v>46315</v>
      </c>
      <c r="F1957" t="inlineStr">
        <is>
          <t>HALLANDS LÄN</t>
        </is>
      </c>
      <c r="G1957" t="inlineStr">
        <is>
          <t>HALMSTAD</t>
        </is>
      </c>
      <c r="I1957" t="n">
        <v>2.2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s="2" t="inlineStr"/>
    </row>
    <row r="1958" ht="15" customHeight="1">
      <c r="A1958" t="inlineStr">
        <is>
          <t>A 29890-2024</t>
        </is>
      </c>
      <c r="B1958" t="inlineStr">
        <is>
          <t>avverkningsanmälan</t>
        </is>
      </c>
      <c r="C1958" t="inlineStr">
        <is>
          <t>Föryngringsavverkning</t>
        </is>
      </c>
      <c r="D1958" s="1" t="n">
        <v>45487</v>
      </c>
      <c r="E1958" s="1" t="n">
        <v>46315</v>
      </c>
      <c r="F1958" t="inlineStr">
        <is>
          <t>HALLANDS LÄN</t>
        </is>
      </c>
      <c r="G1958" t="inlineStr">
        <is>
          <t>VARBERG</t>
        </is>
      </c>
      <c r="I1958" t="n">
        <v>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s="2" t="inlineStr"/>
    </row>
    <row r="1959" ht="15" customHeight="1">
      <c r="A1959" t="inlineStr">
        <is>
          <t>A 29709-2026</t>
        </is>
      </c>
      <c r="B1959" t="inlineStr">
        <is>
          <t>avverkningsanmälan</t>
        </is>
      </c>
      <c r="C1959" t="inlineStr">
        <is>
          <t>Föryngringsavverkning</t>
        </is>
      </c>
      <c r="D1959" s="1" t="n">
        <v>46204</v>
      </c>
      <c r="E1959" s="1" t="n">
        <v>46315</v>
      </c>
      <c r="F1959" t="inlineStr">
        <is>
          <t>HALLANDS LÄN</t>
        </is>
      </c>
      <c r="G1959" t="inlineStr">
        <is>
          <t>VARBERG</t>
        </is>
      </c>
      <c r="I1959" t="n">
        <v>1.9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s="2" t="inlineStr"/>
    </row>
    <row r="1960" ht="15" customHeight="1">
      <c r="A1960" t="inlineStr">
        <is>
          <t>A 42498-2025</t>
        </is>
      </c>
      <c r="B1960" t="inlineStr">
        <is>
          <t>avverkningsanmälan</t>
        </is>
      </c>
      <c r="C1960" t="inlineStr">
        <is>
          <t>Föryngringsavverkning</t>
        </is>
      </c>
      <c r="D1960" s="1" t="n">
        <v>45905</v>
      </c>
      <c r="E1960" s="1" t="n">
        <v>46315</v>
      </c>
      <c r="F1960" t="inlineStr">
        <is>
          <t>HALLANDS LÄN</t>
        </is>
      </c>
      <c r="G1960" t="inlineStr">
        <is>
          <t>VARBERG</t>
        </is>
      </c>
      <c r="I1960" t="n">
        <v>2.9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s="2" t="inlineStr"/>
    </row>
    <row r="1961" ht="15" customHeight="1">
      <c r="A1961" t="inlineStr">
        <is>
          <t>A 13331-2024</t>
        </is>
      </c>
      <c r="B1961" t="inlineStr">
        <is>
          <t>avverkningsanmälan</t>
        </is>
      </c>
      <c r="C1961" t="inlineStr">
        <is>
          <t>Föryngringsavverkning</t>
        </is>
      </c>
      <c r="D1961" s="1" t="n">
        <v>45386</v>
      </c>
      <c r="E1961" s="1" t="n">
        <v>46315</v>
      </c>
      <c r="F1961" t="inlineStr">
        <is>
          <t>HALLANDS LÄN</t>
        </is>
      </c>
      <c r="G1961" t="inlineStr">
        <is>
          <t>HALMSTAD</t>
        </is>
      </c>
      <c r="I1961" t="n">
        <v>1.1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s="2" t="inlineStr"/>
    </row>
    <row r="1962" ht="15" customHeight="1">
      <c r="A1962" t="inlineStr">
        <is>
          <t>A 39154-2025</t>
        </is>
      </c>
      <c r="B1962" t="inlineStr">
        <is>
          <t>avverkningsanmälan</t>
        </is>
      </c>
      <c r="C1962" t="inlineStr">
        <is>
          <t>Föryngringsavverkning</t>
        </is>
      </c>
      <c r="D1962" s="1" t="n">
        <v>45888</v>
      </c>
      <c r="E1962" s="1" t="n">
        <v>46315</v>
      </c>
      <c r="F1962" t="inlineStr">
        <is>
          <t>HALLANDS LÄN</t>
        </is>
      </c>
      <c r="G1962" t="inlineStr">
        <is>
          <t>KUNGSBACKA</t>
        </is>
      </c>
      <c r="I1962" t="n">
        <v>1.1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s="2" t="inlineStr"/>
    </row>
    <row r="1963" ht="15" customHeight="1">
      <c r="A1963" t="inlineStr">
        <is>
          <t>A 34889-2025</t>
        </is>
      </c>
      <c r="B1963" t="inlineStr">
        <is>
          <t>avverkningsanmälan</t>
        </is>
      </c>
      <c r="C1963" t="inlineStr">
        <is>
          <t>Föryngringsavverkning</t>
        </is>
      </c>
      <c r="D1963" s="1" t="n">
        <v>45849</v>
      </c>
      <c r="E1963" s="1" t="n">
        <v>46315</v>
      </c>
      <c r="F1963" t="inlineStr">
        <is>
          <t>HALLANDS LÄN</t>
        </is>
      </c>
      <c r="G1963" t="inlineStr">
        <is>
          <t>LAHOLM</t>
        </is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s="2" t="inlineStr"/>
    </row>
    <row r="1964" ht="15" customHeight="1">
      <c r="A1964" t="inlineStr">
        <is>
          <t>A 7069-2025</t>
        </is>
      </c>
      <c r="B1964" t="inlineStr">
        <is>
          <t>avverkningsanmälan</t>
        </is>
      </c>
      <c r="C1964" t="inlineStr">
        <is>
          <t>Föryngringsavverkning</t>
        </is>
      </c>
      <c r="D1964" s="1" t="n">
        <v>45701</v>
      </c>
      <c r="E1964" s="1" t="n">
        <v>46315</v>
      </c>
      <c r="F1964" t="inlineStr">
        <is>
          <t>HALLANDS LÄN</t>
        </is>
      </c>
      <c r="G1964" t="inlineStr">
        <is>
          <t>KUNGSBACKA</t>
        </is>
      </c>
      <c r="I1964" t="n">
        <v>1.3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s="2" t="inlineStr"/>
    </row>
    <row r="1965" ht="15" customHeight="1">
      <c r="A1965" t="inlineStr">
        <is>
          <t>A 59981-2024</t>
        </is>
      </c>
      <c r="B1965" t="inlineStr">
        <is>
          <t>avverkningsanmälan</t>
        </is>
      </c>
      <c r="C1965" t="inlineStr">
        <is>
          <t>Föryngringsavverkning</t>
        </is>
      </c>
      <c r="D1965" s="1" t="n">
        <v>45642</v>
      </c>
      <c r="E1965" s="1" t="n">
        <v>46315</v>
      </c>
      <c r="F1965" t="inlineStr">
        <is>
          <t>HALLANDS LÄN</t>
        </is>
      </c>
      <c r="G1965" t="inlineStr">
        <is>
          <t>VARBERG</t>
        </is>
      </c>
      <c r="I1965" t="n">
        <v>0.7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s="2" t="inlineStr"/>
    </row>
    <row r="1966" ht="15" customHeight="1">
      <c r="A1966" t="inlineStr">
        <is>
          <t>A 12263-2025</t>
        </is>
      </c>
      <c r="B1966" t="inlineStr">
        <is>
          <t>avverkningsanmälan</t>
        </is>
      </c>
      <c r="C1966" t="inlineStr">
        <is>
          <t>Föryngringsavverkning</t>
        </is>
      </c>
      <c r="D1966" s="1" t="n">
        <v>45729</v>
      </c>
      <c r="E1966" s="1" t="n">
        <v>46315</v>
      </c>
      <c r="F1966" t="inlineStr">
        <is>
          <t>HALLANDS LÄN</t>
        </is>
      </c>
      <c r="G1966" t="inlineStr">
        <is>
          <t>HALMSTAD</t>
        </is>
      </c>
      <c r="I1966" t="n">
        <v>2.3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s="2" t="inlineStr"/>
    </row>
    <row r="1967" ht="15" customHeight="1">
      <c r="A1967" t="inlineStr">
        <is>
          <t>A 23147-2024</t>
        </is>
      </c>
      <c r="B1967" t="inlineStr">
        <is>
          <t>avverkningsanmälan</t>
        </is>
      </c>
      <c r="C1967" t="inlineStr">
        <is>
          <t>Föryngringsavverkning</t>
        </is>
      </c>
      <c r="D1967" s="1" t="n">
        <v>45450</v>
      </c>
      <c r="E1967" s="1" t="n">
        <v>46315</v>
      </c>
      <c r="F1967" t="inlineStr">
        <is>
          <t>HALLANDS LÄN</t>
        </is>
      </c>
      <c r="G1967" t="inlineStr">
        <is>
          <t>HALMSTAD</t>
        </is>
      </c>
      <c r="I1967" t="n">
        <v>2.2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s="2" t="inlineStr"/>
    </row>
    <row r="1968" ht="15" customHeight="1">
      <c r="A1968" t="inlineStr">
        <is>
          <t>A 58221-2022</t>
        </is>
      </c>
      <c r="B1968" t="inlineStr">
        <is>
          <t>avverkningsanmälan</t>
        </is>
      </c>
      <c r="C1968" t="inlineStr">
        <is>
          <t>Föryngringsavverkning</t>
        </is>
      </c>
      <c r="D1968" s="1" t="n">
        <v>44901</v>
      </c>
      <c r="E1968" s="1" t="n">
        <v>46315</v>
      </c>
      <c r="F1968" t="inlineStr">
        <is>
          <t>HALLANDS LÄN</t>
        </is>
      </c>
      <c r="G1968" t="inlineStr">
        <is>
          <t>HYLTE</t>
        </is>
      </c>
      <c r="I1968" t="n">
        <v>0.8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s="2" t="inlineStr"/>
    </row>
    <row r="1969" ht="15" customHeight="1">
      <c r="A1969" t="inlineStr">
        <is>
          <t>A 47910-2024</t>
        </is>
      </c>
      <c r="B1969" t="inlineStr">
        <is>
          <t>avverkningsanmälan</t>
        </is>
      </c>
      <c r="C1969" t="inlineStr">
        <is>
          <t>Föryngringsavverkning</t>
        </is>
      </c>
      <c r="D1969" s="1" t="n">
        <v>45589</v>
      </c>
      <c r="E1969" s="1" t="n">
        <v>46315</v>
      </c>
      <c r="F1969" t="inlineStr">
        <is>
          <t>HALLANDS LÄN</t>
        </is>
      </c>
      <c r="G1969" t="inlineStr">
        <is>
          <t>HYLTE</t>
        </is>
      </c>
      <c r="I1969" t="n">
        <v>0.6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s="2" t="inlineStr"/>
    </row>
    <row r="1970" ht="15" customHeight="1">
      <c r="A1970" t="inlineStr">
        <is>
          <t>A 54698-2024</t>
        </is>
      </c>
      <c r="B1970" t="inlineStr">
        <is>
          <t>avverkningsanmälan</t>
        </is>
      </c>
      <c r="C1970" t="inlineStr">
        <is>
          <t>Föryngringsavverkning</t>
        </is>
      </c>
      <c r="D1970" s="1" t="n">
        <v>45618</v>
      </c>
      <c r="E1970" s="1" t="n">
        <v>46315</v>
      </c>
      <c r="F1970" t="inlineStr">
        <is>
          <t>HALLANDS LÄN</t>
        </is>
      </c>
      <c r="G1970" t="inlineStr">
        <is>
          <t>FALKENBERG</t>
        </is>
      </c>
      <c r="I1970" t="n">
        <v>0.6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s="2" t="inlineStr"/>
    </row>
    <row r="1971" ht="15" customHeight="1">
      <c r="A1971" t="inlineStr">
        <is>
          <t>A 54700-2024</t>
        </is>
      </c>
      <c r="B1971" t="inlineStr">
        <is>
          <t>avverkningsanmälan</t>
        </is>
      </c>
      <c r="C1971" t="inlineStr">
        <is>
          <t>Föryngringsavverkning</t>
        </is>
      </c>
      <c r="D1971" s="1" t="n">
        <v>45618</v>
      </c>
      <c r="E1971" s="1" t="n">
        <v>46315</v>
      </c>
      <c r="F1971" t="inlineStr">
        <is>
          <t>HALLANDS LÄN</t>
        </is>
      </c>
      <c r="G1971" t="inlineStr">
        <is>
          <t>FALKENBERG</t>
        </is>
      </c>
      <c r="I1971" t="n">
        <v>0.2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s="2" t="inlineStr"/>
    </row>
    <row r="1972" ht="15" customHeight="1">
      <c r="A1972" t="inlineStr">
        <is>
          <t>A 62131-2023</t>
        </is>
      </c>
      <c r="B1972" t="inlineStr">
        <is>
          <t>avverkningsanmälan</t>
        </is>
      </c>
      <c r="C1972" t="inlineStr">
        <is>
          <t>Föryngringsavverkning</t>
        </is>
      </c>
      <c r="D1972" s="1" t="n">
        <v>45267</v>
      </c>
      <c r="E1972" s="1" t="n">
        <v>46315</v>
      </c>
      <c r="F1972" t="inlineStr">
        <is>
          <t>HALLANDS LÄN</t>
        </is>
      </c>
      <c r="G1972" t="inlineStr">
        <is>
          <t>HALMSTAD</t>
        </is>
      </c>
      <c r="I1972" t="n">
        <v>1.1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s="2" t="inlineStr"/>
    </row>
    <row r="1973" ht="15" customHeight="1">
      <c r="A1973" t="inlineStr">
        <is>
          <t>A 59701-2022</t>
        </is>
      </c>
      <c r="B1973" t="inlineStr">
        <is>
          <t>avverkningsanmälan</t>
        </is>
      </c>
      <c r="C1973" t="inlineStr">
        <is>
          <t>Föryngringsavverkning</t>
        </is>
      </c>
      <c r="D1973" s="1" t="n">
        <v>44908</v>
      </c>
      <c r="E1973" s="1" t="n">
        <v>46315</v>
      </c>
      <c r="F1973" t="inlineStr">
        <is>
          <t>HALLANDS LÄN</t>
        </is>
      </c>
      <c r="G1973" t="inlineStr">
        <is>
          <t>LAHOLM</t>
        </is>
      </c>
      <c r="I1973" t="n">
        <v>0.5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s="2" t="inlineStr"/>
    </row>
    <row r="1974" ht="15" customHeight="1">
      <c r="A1974" t="inlineStr">
        <is>
          <t>A 19785-2026</t>
        </is>
      </c>
      <c r="B1974" t="inlineStr">
        <is>
          <t>avverkningsanmälan</t>
        </is>
      </c>
      <c r="C1974" t="inlineStr">
        <is>
          <t>Föryngringsavverkning</t>
        </is>
      </c>
      <c r="D1974" s="1" t="n">
        <v>46135</v>
      </c>
      <c r="E1974" s="1" t="n">
        <v>46315</v>
      </c>
      <c r="F1974" t="inlineStr">
        <is>
          <t>HALLANDS LÄN</t>
        </is>
      </c>
      <c r="G1974" t="inlineStr">
        <is>
          <t>LAHOLM</t>
        </is>
      </c>
      <c r="I1974" t="n">
        <v>2.2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s="2" t="inlineStr"/>
    </row>
    <row r="1975" ht="15" customHeight="1">
      <c r="A1975" t="inlineStr">
        <is>
          <t>A 39465-2023</t>
        </is>
      </c>
      <c r="B1975" t="inlineStr">
        <is>
          <t>avverkningsanmälan</t>
        </is>
      </c>
      <c r="C1975" t="inlineStr">
        <is>
          <t>Avverkning för annat ändamål</t>
        </is>
      </c>
      <c r="D1975" s="1" t="n">
        <v>45166</v>
      </c>
      <c r="E1975" s="1" t="n">
        <v>46315</v>
      </c>
      <c r="F1975" t="inlineStr">
        <is>
          <t>HALLANDS LÄN</t>
        </is>
      </c>
      <c r="G1975" t="inlineStr">
        <is>
          <t>LAHOLM</t>
        </is>
      </c>
      <c r="I1975" t="n">
        <v>0.9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s="2" t="inlineStr"/>
    </row>
    <row r="1976" ht="15" customHeight="1">
      <c r="A1976" t="inlineStr">
        <is>
          <t>A 4373-2024</t>
        </is>
      </c>
      <c r="B1976" t="inlineStr">
        <is>
          <t>avverkningsanmälan</t>
        </is>
      </c>
      <c r="C1976" t="inlineStr">
        <is>
          <t>Föryngringsavverkning</t>
        </is>
      </c>
      <c r="D1976" s="1" t="n">
        <v>45326</v>
      </c>
      <c r="E1976" s="1" t="n">
        <v>46315</v>
      </c>
      <c r="F1976" t="inlineStr">
        <is>
          <t>HALLANDS LÄN</t>
        </is>
      </c>
      <c r="G1976" t="inlineStr">
        <is>
          <t>FALKENBERG</t>
        </is>
      </c>
      <c r="I1976" t="n">
        <v>2.7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s="2" t="inlineStr"/>
    </row>
    <row r="1977" ht="15" customHeight="1">
      <c r="A1977" t="inlineStr">
        <is>
          <t>A 4381-2024</t>
        </is>
      </c>
      <c r="B1977" t="inlineStr">
        <is>
          <t>avverkningsanmälan</t>
        </is>
      </c>
      <c r="C1977" t="inlineStr">
        <is>
          <t>Föryngringsavverkning</t>
        </is>
      </c>
      <c r="D1977" s="1" t="n">
        <v>45327</v>
      </c>
      <c r="E1977" s="1" t="n">
        <v>46315</v>
      </c>
      <c r="F1977" t="inlineStr">
        <is>
          <t>HALLANDS LÄN</t>
        </is>
      </c>
      <c r="G1977" t="inlineStr">
        <is>
          <t>LAHOLM</t>
        </is>
      </c>
      <c r="I1977" t="n">
        <v>0.6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s="2" t="inlineStr"/>
    </row>
    <row r="1978" ht="15" customHeight="1">
      <c r="A1978" t="inlineStr">
        <is>
          <t>A 4903-2024</t>
        </is>
      </c>
      <c r="B1978" t="inlineStr">
        <is>
          <t>avverkningsanmälan</t>
        </is>
      </c>
      <c r="C1978" t="inlineStr">
        <is>
          <t>Föryngringsavverkning</t>
        </is>
      </c>
      <c r="D1978" s="1" t="n">
        <v>45329</v>
      </c>
      <c r="E1978" s="1" t="n">
        <v>46315</v>
      </c>
      <c r="F1978" t="inlineStr">
        <is>
          <t>HALLANDS LÄN</t>
        </is>
      </c>
      <c r="G1978" t="inlineStr">
        <is>
          <t>HALMSTAD</t>
        </is>
      </c>
      <c r="I1978" t="n">
        <v>5.5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s="2" t="inlineStr"/>
    </row>
    <row r="1979" ht="15" customHeight="1">
      <c r="A1979" t="inlineStr">
        <is>
          <t>A 10466-2025</t>
        </is>
      </c>
      <c r="B1979" t="inlineStr">
        <is>
          <t>avverkningsanmälan</t>
        </is>
      </c>
      <c r="C1979" t="inlineStr">
        <is>
          <t>Föryngringsavverkning</t>
        </is>
      </c>
      <c r="D1979" s="1" t="n">
        <v>45720</v>
      </c>
      <c r="E1979" s="1" t="n">
        <v>46315</v>
      </c>
      <c r="F1979" t="inlineStr">
        <is>
          <t>HALLANDS LÄN</t>
        </is>
      </c>
      <c r="G1979" t="inlineStr">
        <is>
          <t>VARBERG</t>
        </is>
      </c>
      <c r="I1979" t="n">
        <v>0.5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s="2" t="inlineStr"/>
    </row>
    <row r="1980" ht="15" customHeight="1">
      <c r="A1980" t="inlineStr">
        <is>
          <t>A 12218-2025</t>
        </is>
      </c>
      <c r="B1980" t="inlineStr">
        <is>
          <t>avverkningsanmälan</t>
        </is>
      </c>
      <c r="C1980" t="inlineStr">
        <is>
          <t>Föryngringsavverkning</t>
        </is>
      </c>
      <c r="D1980" s="1" t="n">
        <v>45729</v>
      </c>
      <c r="E1980" s="1" t="n">
        <v>46315</v>
      </c>
      <c r="F1980" t="inlineStr">
        <is>
          <t>HALLANDS LÄN</t>
        </is>
      </c>
      <c r="G1980" t="inlineStr">
        <is>
          <t>KUNGSBACKA</t>
        </is>
      </c>
      <c r="I1980" t="n">
        <v>0.6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s="2" t="inlineStr"/>
    </row>
    <row r="1981" ht="15" customHeight="1">
      <c r="A1981" t="inlineStr">
        <is>
          <t>A 34445-2024</t>
        </is>
      </c>
      <c r="B1981" t="inlineStr">
        <is>
          <t>avverkningsanmälan</t>
        </is>
      </c>
      <c r="C1981" t="inlineStr">
        <is>
          <t>Föryngringsavverkning</t>
        </is>
      </c>
      <c r="D1981" s="1" t="n">
        <v>45525</v>
      </c>
      <c r="E1981" s="1" t="n">
        <v>46315</v>
      </c>
      <c r="F1981" t="inlineStr">
        <is>
          <t>HALLANDS LÄN</t>
        </is>
      </c>
      <c r="G1981" t="inlineStr">
        <is>
          <t>KUNGSBACKA</t>
        </is>
      </c>
      <c r="I1981" t="n">
        <v>0.9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s="2" t="inlineStr"/>
    </row>
    <row r="1982" ht="15" customHeight="1">
      <c r="A1982" t="inlineStr">
        <is>
          <t>A 34449-2024</t>
        </is>
      </c>
      <c r="B1982" t="inlineStr">
        <is>
          <t>avverkningsanmälan</t>
        </is>
      </c>
      <c r="C1982" t="inlineStr">
        <is>
          <t>Föryngringsavverkning</t>
        </is>
      </c>
      <c r="D1982" s="1" t="n">
        <v>45525</v>
      </c>
      <c r="E1982" s="1" t="n">
        <v>46315</v>
      </c>
      <c r="F1982" t="inlineStr">
        <is>
          <t>HALLANDS LÄN</t>
        </is>
      </c>
      <c r="G1982" t="inlineStr">
        <is>
          <t>KUNGSBACKA</t>
        </is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s="2" t="inlineStr"/>
    </row>
    <row r="1983" ht="15" customHeight="1">
      <c r="A1983" t="inlineStr">
        <is>
          <t>A 57871-2022</t>
        </is>
      </c>
      <c r="B1983" t="inlineStr">
        <is>
          <t>avverkningsanmälan</t>
        </is>
      </c>
      <c r="C1983" t="inlineStr">
        <is>
          <t>Föryngringsavverkning</t>
        </is>
      </c>
      <c r="D1983" s="1" t="n">
        <v>44899</v>
      </c>
      <c r="E1983" s="1" t="n">
        <v>46315</v>
      </c>
      <c r="F1983" t="inlineStr">
        <is>
          <t>HALLANDS LÄN</t>
        </is>
      </c>
      <c r="G1983" t="inlineStr">
        <is>
          <t>HYLTE</t>
        </is>
      </c>
      <c r="I1983" t="n">
        <v>1.1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s="2" t="inlineStr"/>
    </row>
    <row r="1984" ht="15" customHeight="1">
      <c r="A1984" t="inlineStr">
        <is>
          <t>A 11068-2023</t>
        </is>
      </c>
      <c r="B1984" t="inlineStr">
        <is>
          <t>avverkningsanmälan</t>
        </is>
      </c>
      <c r="C1984" t="inlineStr">
        <is>
          <t>Föryngringsavverkning</t>
        </is>
      </c>
      <c r="D1984" s="1" t="n">
        <v>44992</v>
      </c>
      <c r="E1984" s="1" t="n">
        <v>46315</v>
      </c>
      <c r="F1984" t="inlineStr">
        <is>
          <t>HALLANDS LÄN</t>
        </is>
      </c>
      <c r="G1984" t="inlineStr">
        <is>
          <t>KUNGSBACKA</t>
        </is>
      </c>
      <c r="I1984" t="n">
        <v>6.3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s="2" t="inlineStr"/>
    </row>
    <row r="1985" ht="15" customHeight="1">
      <c r="A1985" t="inlineStr">
        <is>
          <t>A 60025-2022</t>
        </is>
      </c>
      <c r="B1985" t="inlineStr">
        <is>
          <t>avverkningsanmälan</t>
        </is>
      </c>
      <c r="C1985" t="inlineStr">
        <is>
          <t>Föryngringsavverkning</t>
        </is>
      </c>
      <c r="D1985" s="1" t="n">
        <v>44909</v>
      </c>
      <c r="E1985" s="1" t="n">
        <v>46315</v>
      </c>
      <c r="F1985" t="inlineStr">
        <is>
          <t>HALLANDS LÄN</t>
        </is>
      </c>
      <c r="G1985" t="inlineStr">
        <is>
          <t>LAHOLM</t>
        </is>
      </c>
      <c r="I1985" t="n">
        <v>2.3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s="2" t="inlineStr"/>
    </row>
    <row r="1986" ht="15" customHeight="1">
      <c r="A1986" t="inlineStr">
        <is>
          <t>A 3061-2023</t>
        </is>
      </c>
      <c r="B1986" t="inlineStr">
        <is>
          <t>avverkningsanmälan</t>
        </is>
      </c>
      <c r="C1986" t="inlineStr">
        <is>
          <t>Föryngringsavverkning</t>
        </is>
      </c>
      <c r="D1986" s="1" t="n">
        <v>44946</v>
      </c>
      <c r="E1986" s="1" t="n">
        <v>46315</v>
      </c>
      <c r="F1986" t="inlineStr">
        <is>
          <t>HALLANDS LÄN</t>
        </is>
      </c>
      <c r="G1986" t="inlineStr">
        <is>
          <t>FALKENBERG</t>
        </is>
      </c>
      <c r="I1986" t="n">
        <v>5.9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s="2" t="inlineStr"/>
    </row>
    <row r="1987" ht="15" customHeight="1">
      <c r="A1987" t="inlineStr">
        <is>
          <t>A 32987-2025</t>
        </is>
      </c>
      <c r="B1987" t="inlineStr">
        <is>
          <t>avverkningsanmälan</t>
        </is>
      </c>
      <c r="C1987" t="inlineStr">
        <is>
          <t>Föryngringsavverkning</t>
        </is>
      </c>
      <c r="D1987" s="1" t="n">
        <v>45840</v>
      </c>
      <c r="E1987" s="1" t="n">
        <v>46315</v>
      </c>
      <c r="F1987" t="inlineStr">
        <is>
          <t>HALLANDS LÄN</t>
        </is>
      </c>
      <c r="G1987" t="inlineStr">
        <is>
          <t>HYLTE</t>
        </is>
      </c>
      <c r="H1987" t="inlineStr">
        <is>
          <t>Bergvik skog väst AB</t>
        </is>
      </c>
      <c r="I1987" t="n">
        <v>3.1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s="2" t="inlineStr"/>
    </row>
    <row r="1988" ht="15" customHeight="1">
      <c r="A1988" t="inlineStr">
        <is>
          <t>A 15260-2024</t>
        </is>
      </c>
      <c r="B1988" t="inlineStr">
        <is>
          <t>avverkningsanmälan</t>
        </is>
      </c>
      <c r="C1988" t="inlineStr">
        <is>
          <t>Föryngringsavverkning</t>
        </is>
      </c>
      <c r="D1988" s="1" t="n">
        <v>45400</v>
      </c>
      <c r="E1988" s="1" t="n">
        <v>46315</v>
      </c>
      <c r="F1988" t="inlineStr">
        <is>
          <t>HALLANDS LÄN</t>
        </is>
      </c>
      <c r="G1988" t="inlineStr">
        <is>
          <t>VARBERG</t>
        </is>
      </c>
      <c r="H1988" t="inlineStr">
        <is>
          <t>Kyrkan</t>
        </is>
      </c>
      <c r="I1988" t="n">
        <v>6.7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s="2" t="inlineStr"/>
    </row>
    <row r="1989" ht="15" customHeight="1">
      <c r="A1989" t="inlineStr">
        <is>
          <t>A 12928-2024</t>
        </is>
      </c>
      <c r="B1989" t="inlineStr">
        <is>
          <t>avverkningsanmälan</t>
        </is>
      </c>
      <c r="C1989" t="inlineStr">
        <is>
          <t>Föryngringsavverkning</t>
        </is>
      </c>
      <c r="D1989" s="1" t="n">
        <v>45385</v>
      </c>
      <c r="E1989" s="1" t="n">
        <v>46315</v>
      </c>
      <c r="F1989" t="inlineStr">
        <is>
          <t>HALLANDS LÄN</t>
        </is>
      </c>
      <c r="G1989" t="inlineStr">
        <is>
          <t>LAHOLM</t>
        </is>
      </c>
      <c r="I1989" t="n">
        <v>0.5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s="2" t="inlineStr"/>
    </row>
    <row r="1990" ht="15" customHeight="1">
      <c r="A1990" t="inlineStr">
        <is>
          <t>A 11865-2023</t>
        </is>
      </c>
      <c r="B1990" t="inlineStr">
        <is>
          <t>avverkningsanmälan</t>
        </is>
      </c>
      <c r="C1990" t="inlineStr">
        <is>
          <t>Föryngringsavverkning</t>
        </is>
      </c>
      <c r="D1990" s="1" t="n">
        <v>44995</v>
      </c>
      <c r="E1990" s="1" t="n">
        <v>46315</v>
      </c>
      <c r="F1990" t="inlineStr">
        <is>
          <t>HALLANDS LÄN</t>
        </is>
      </c>
      <c r="G1990" t="inlineStr">
        <is>
          <t>HYLTE</t>
        </is>
      </c>
      <c r="I1990" t="n">
        <v>1.1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s="2" t="inlineStr"/>
    </row>
    <row r="1991" ht="15" customHeight="1">
      <c r="A1991" t="inlineStr">
        <is>
          <t>A 39107-2024</t>
        </is>
      </c>
      <c r="B1991" t="inlineStr">
        <is>
          <t>avverkningsanmälan</t>
        </is>
      </c>
      <c r="C1991" t="inlineStr">
        <is>
          <t>Föryngringsavverkning</t>
        </is>
      </c>
      <c r="D1991" s="1" t="n">
        <v>45548</v>
      </c>
      <c r="E1991" s="1" t="n">
        <v>46315</v>
      </c>
      <c r="F1991" t="inlineStr">
        <is>
          <t>HALLANDS LÄN</t>
        </is>
      </c>
      <c r="G1991" t="inlineStr">
        <is>
          <t>HYLTE</t>
        </is>
      </c>
      <c r="I1991" t="n">
        <v>2.1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s="2" t="inlineStr"/>
    </row>
    <row r="1992" ht="15" customHeight="1">
      <c r="A1992" t="inlineStr">
        <is>
          <t>A 34208-2025</t>
        </is>
      </c>
      <c r="B1992" t="inlineStr">
        <is>
          <t>avverkningsanmälan</t>
        </is>
      </c>
      <c r="C1992" t="inlineStr">
        <is>
          <t>Föryngringsavverkning</t>
        </is>
      </c>
      <c r="D1992" s="1" t="n">
        <v>45845</v>
      </c>
      <c r="E1992" s="1" t="n">
        <v>46315</v>
      </c>
      <c r="F1992" t="inlineStr">
        <is>
          <t>HALLANDS LÄN</t>
        </is>
      </c>
      <c r="G1992" t="inlineStr">
        <is>
          <t>LAHOLM</t>
        </is>
      </c>
      <c r="I1992" t="n">
        <v>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s="2" t="inlineStr"/>
    </row>
    <row r="1993" ht="15" customHeight="1">
      <c r="A1993" t="inlineStr">
        <is>
          <t>A 58558-2022</t>
        </is>
      </c>
      <c r="B1993" t="inlineStr">
        <is>
          <t>avverkningsanmälan</t>
        </is>
      </c>
      <c r="C1993" t="inlineStr">
        <is>
          <t>Föryngringsavverkning</t>
        </is>
      </c>
      <c r="D1993" s="1" t="n">
        <v>44902</v>
      </c>
      <c r="E1993" s="1" t="n">
        <v>46315</v>
      </c>
      <c r="F1993" t="inlineStr">
        <is>
          <t>HALLANDS LÄN</t>
        </is>
      </c>
      <c r="G1993" t="inlineStr">
        <is>
          <t>LAHOLM</t>
        </is>
      </c>
      <c r="I1993" t="n">
        <v>1.1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s="2" t="inlineStr"/>
    </row>
    <row r="1994" ht="15" customHeight="1">
      <c r="A1994" t="inlineStr">
        <is>
          <t>A 4886-2023</t>
        </is>
      </c>
      <c r="B1994" t="inlineStr">
        <is>
          <t>avverkningsanmälan</t>
        </is>
      </c>
      <c r="C1994" t="inlineStr">
        <is>
          <t>Föryngringsavverkning</t>
        </is>
      </c>
      <c r="D1994" s="1" t="n">
        <v>44958</v>
      </c>
      <c r="E1994" s="1" t="n">
        <v>46315</v>
      </c>
      <c r="F1994" t="inlineStr">
        <is>
          <t>HALLANDS LÄN</t>
        </is>
      </c>
      <c r="G1994" t="inlineStr">
        <is>
          <t>HYLTE</t>
        </is>
      </c>
      <c r="I1994" t="n">
        <v>0.9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s="2" t="inlineStr"/>
    </row>
    <row r="1995" ht="15" customHeight="1">
      <c r="A1995" t="inlineStr">
        <is>
          <t>A 10186-2022</t>
        </is>
      </c>
      <c r="B1995" t="inlineStr">
        <is>
          <t>avverkningsanmälan</t>
        </is>
      </c>
      <c r="C1995" t="inlineStr">
        <is>
          <t>Föryngringsavverkning</t>
        </is>
      </c>
      <c r="D1995" s="1" t="n">
        <v>44622</v>
      </c>
      <c r="E1995" s="1" t="n">
        <v>46315</v>
      </c>
      <c r="F1995" t="inlineStr">
        <is>
          <t>HALLANDS LÄN</t>
        </is>
      </c>
      <c r="G1995" t="inlineStr">
        <is>
          <t>VARBERG</t>
        </is>
      </c>
      <c r="I1995" t="n">
        <v>0.9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s="2" t="inlineStr"/>
    </row>
    <row r="1996" ht="15" customHeight="1">
      <c r="A1996" t="inlineStr">
        <is>
          <t>A 30603-2025</t>
        </is>
      </c>
      <c r="B1996" t="inlineStr">
        <is>
          <t>avverkningsanmälan</t>
        </is>
      </c>
      <c r="C1996" t="inlineStr">
        <is>
          <t>Föryngringsavverkning</t>
        </is>
      </c>
      <c r="D1996" s="1" t="n">
        <v>45831</v>
      </c>
      <c r="E1996" s="1" t="n">
        <v>46315</v>
      </c>
      <c r="F1996" t="inlineStr">
        <is>
          <t>HALLANDS LÄN</t>
        </is>
      </c>
      <c r="G1996" t="inlineStr">
        <is>
          <t>FALKENBERG</t>
        </is>
      </c>
      <c r="I1996" t="n">
        <v>0.9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s="2" t="inlineStr"/>
    </row>
    <row r="1997" ht="15" customHeight="1">
      <c r="A1997" t="inlineStr">
        <is>
          <t>A 9819-2022</t>
        </is>
      </c>
      <c r="B1997" t="inlineStr">
        <is>
          <t>avverkningsanmälan</t>
        </is>
      </c>
      <c r="C1997" t="inlineStr">
        <is>
          <t>Avverkning för annat ändamål</t>
        </is>
      </c>
      <c r="D1997" s="1" t="n">
        <v>44620</v>
      </c>
      <c r="E1997" s="1" t="n">
        <v>46315</v>
      </c>
      <c r="F1997" t="inlineStr">
        <is>
          <t>HALLANDS LÄN</t>
        </is>
      </c>
      <c r="G1997" t="inlineStr">
        <is>
          <t>VARBERG</t>
        </is>
      </c>
      <c r="I1997" t="n">
        <v>2.3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s="2" t="inlineStr"/>
    </row>
    <row r="1998" ht="15" customHeight="1">
      <c r="A1998" t="inlineStr">
        <is>
          <t>A 11204-2025</t>
        </is>
      </c>
      <c r="B1998" t="inlineStr">
        <is>
          <t>avverkningsanmälan</t>
        </is>
      </c>
      <c r="C1998" t="inlineStr">
        <is>
          <t>Föryngringsavverkning</t>
        </is>
      </c>
      <c r="D1998" s="1" t="n">
        <v>45726</v>
      </c>
      <c r="E1998" s="1" t="n">
        <v>46315</v>
      </c>
      <c r="F1998" t="inlineStr">
        <is>
          <t>HALLANDS LÄN</t>
        </is>
      </c>
      <c r="G1998" t="inlineStr">
        <is>
          <t>KUNGSBACKA</t>
        </is>
      </c>
      <c r="I1998" t="n">
        <v>1.5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s="2" t="inlineStr"/>
    </row>
    <row r="1999" ht="15" customHeight="1">
      <c r="A1999" t="inlineStr">
        <is>
          <t>A 15067-2022</t>
        </is>
      </c>
      <c r="B1999" t="inlineStr">
        <is>
          <t>avverkningsanmälan</t>
        </is>
      </c>
      <c r="C1999" t="inlineStr">
        <is>
          <t>Föryngringsavverkning</t>
        </is>
      </c>
      <c r="D1999" s="1" t="n">
        <v>44657</v>
      </c>
      <c r="E1999" s="1" t="n">
        <v>46315</v>
      </c>
      <c r="F1999" t="inlineStr">
        <is>
          <t>HALLANDS LÄN</t>
        </is>
      </c>
      <c r="G1999" t="inlineStr">
        <is>
          <t>VARBERG</t>
        </is>
      </c>
      <c r="I1999" t="n">
        <v>0.8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s="2" t="inlineStr"/>
    </row>
    <row r="2000" ht="15" customHeight="1">
      <c r="A2000" t="inlineStr">
        <is>
          <t>A 10748-2022</t>
        </is>
      </c>
      <c r="B2000" t="inlineStr">
        <is>
          <t>avverkningsanmälan</t>
        </is>
      </c>
      <c r="C2000" t="inlineStr">
        <is>
          <t>Föryngringsavverkning</t>
        </is>
      </c>
      <c r="D2000" s="1" t="n">
        <v>44627</v>
      </c>
      <c r="E2000" s="1" t="n">
        <v>46315</v>
      </c>
      <c r="F2000" t="inlineStr">
        <is>
          <t>HALLANDS LÄN</t>
        </is>
      </c>
      <c r="G2000" t="inlineStr">
        <is>
          <t>FALKENBERG</t>
        </is>
      </c>
      <c r="I2000" t="n">
        <v>0.6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s="2" t="inlineStr"/>
    </row>
    <row r="2001" ht="15" customHeight="1">
      <c r="A2001" t="inlineStr">
        <is>
          <t>A 6187-2023</t>
        </is>
      </c>
      <c r="B2001" t="inlineStr">
        <is>
          <t>avverkningsanmälan</t>
        </is>
      </c>
      <c r="C2001" t="inlineStr">
        <is>
          <t>Föryngringsavverkning</t>
        </is>
      </c>
      <c r="D2001" s="1" t="n">
        <v>44964</v>
      </c>
      <c r="E2001" s="1" t="n">
        <v>46315</v>
      </c>
      <c r="F2001" t="inlineStr">
        <is>
          <t>HALLANDS LÄN</t>
        </is>
      </c>
      <c r="G2001" t="inlineStr">
        <is>
          <t>LAHOLM</t>
        </is>
      </c>
      <c r="I2001" t="n">
        <v>1.8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s="2" t="inlineStr"/>
    </row>
    <row r="2002" ht="15" customHeight="1">
      <c r="A2002" t="inlineStr">
        <is>
          <t>A 1950-2022</t>
        </is>
      </c>
      <c r="B2002" t="inlineStr">
        <is>
          <t>avverkningsanmälan</t>
        </is>
      </c>
      <c r="C2002" t="inlineStr">
        <is>
          <t>Avverkning för annat ändamål</t>
        </is>
      </c>
      <c r="D2002" s="1" t="n">
        <v>44575</v>
      </c>
      <c r="E2002" s="1" t="n">
        <v>46315</v>
      </c>
      <c r="F2002" t="inlineStr">
        <is>
          <t>HALLANDS LÄN</t>
        </is>
      </c>
      <c r="G2002" t="inlineStr">
        <is>
          <t>HYLTE</t>
        </is>
      </c>
      <c r="I2002" t="n">
        <v>1.9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s="2" t="inlineStr"/>
    </row>
    <row r="2003" ht="15" customHeight="1">
      <c r="A2003" t="inlineStr">
        <is>
          <t>A 44131-2024</t>
        </is>
      </c>
      <c r="B2003" t="inlineStr">
        <is>
          <t>avverkningsanmälan</t>
        </is>
      </c>
      <c r="C2003" t="inlineStr">
        <is>
          <t>Föryngringsavverkning</t>
        </is>
      </c>
      <c r="D2003" s="1" t="n">
        <v>45572</v>
      </c>
      <c r="E2003" s="1" t="n">
        <v>46315</v>
      </c>
      <c r="F2003" t="inlineStr">
        <is>
          <t>HALLANDS LÄN</t>
        </is>
      </c>
      <c r="G2003" t="inlineStr">
        <is>
          <t>HYLTE</t>
        </is>
      </c>
      <c r="I2003" t="n">
        <v>1.9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s="2" t="inlineStr"/>
    </row>
    <row r="2004" ht="15" customHeight="1">
      <c r="A2004" t="inlineStr">
        <is>
          <t>A 4979-2022</t>
        </is>
      </c>
      <c r="B2004" t="inlineStr">
        <is>
          <t>avverkningsanmälan</t>
        </is>
      </c>
      <c r="C2004" t="inlineStr">
        <is>
          <t>Föryngringsavverkning</t>
        </is>
      </c>
      <c r="D2004" s="1" t="n">
        <v>44593</v>
      </c>
      <c r="E2004" s="1" t="n">
        <v>46315</v>
      </c>
      <c r="F2004" t="inlineStr">
        <is>
          <t>HALLANDS LÄN</t>
        </is>
      </c>
      <c r="G2004" t="inlineStr">
        <is>
          <t>KUNGSBACKA</t>
        </is>
      </c>
      <c r="I2004" t="n">
        <v>0.2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s="2" t="inlineStr"/>
    </row>
    <row r="2005" ht="15" customHeight="1">
      <c r="A2005" t="inlineStr">
        <is>
          <t>A 57557-2022</t>
        </is>
      </c>
      <c r="B2005" t="inlineStr">
        <is>
          <t>avverkningsanmälan</t>
        </is>
      </c>
      <c r="C2005" t="inlineStr">
        <is>
          <t>Föryngringsavverkning</t>
        </is>
      </c>
      <c r="D2005" s="1" t="n">
        <v>44896</v>
      </c>
      <c r="E2005" s="1" t="n">
        <v>46315</v>
      </c>
      <c r="F2005" t="inlineStr">
        <is>
          <t>HALLANDS LÄN</t>
        </is>
      </c>
      <c r="G2005" t="inlineStr">
        <is>
          <t>VARBERG</t>
        </is>
      </c>
      <c r="I2005" t="n">
        <v>5.6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s="2" t="inlineStr"/>
    </row>
    <row r="2006" ht="15" customHeight="1">
      <c r="A2006" t="inlineStr">
        <is>
          <t>A 55270-2022</t>
        </is>
      </c>
      <c r="B2006" t="inlineStr">
        <is>
          <t>avverkningsanmälan</t>
        </is>
      </c>
      <c r="C2006" t="inlineStr">
        <is>
          <t>Föryngringsavverkning</t>
        </is>
      </c>
      <c r="D2006" s="1" t="n">
        <v>44887</v>
      </c>
      <c r="E2006" s="1" t="n">
        <v>46315</v>
      </c>
      <c r="F2006" t="inlineStr">
        <is>
          <t>HALLANDS LÄN</t>
        </is>
      </c>
      <c r="G2006" t="inlineStr">
        <is>
          <t>FALKENBERG</t>
        </is>
      </c>
      <c r="I2006" t="n">
        <v>1.1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s="2" t="inlineStr"/>
    </row>
    <row r="2007" ht="15" customHeight="1">
      <c r="A2007" t="inlineStr">
        <is>
          <t>A 13621-2024</t>
        </is>
      </c>
      <c r="B2007" t="inlineStr">
        <is>
          <t>avverkningsanmälan</t>
        </is>
      </c>
      <c r="C2007" t="inlineStr">
        <is>
          <t>Föryngringsavverkning</t>
        </is>
      </c>
      <c r="D2007" s="1" t="n">
        <v>45390</v>
      </c>
      <c r="E2007" s="1" t="n">
        <v>46315</v>
      </c>
      <c r="F2007" t="inlineStr">
        <is>
          <t>HALLANDS LÄN</t>
        </is>
      </c>
      <c r="G2007" t="inlineStr">
        <is>
          <t>FALKENBERG</t>
        </is>
      </c>
      <c r="I2007" t="n">
        <v>2.2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s="2" t="inlineStr"/>
    </row>
    <row r="2008" ht="15" customHeight="1">
      <c r="A2008" t="inlineStr">
        <is>
          <t>A 5281-2025</t>
        </is>
      </c>
      <c r="B2008" t="inlineStr">
        <is>
          <t>avverkningsanmälan</t>
        </is>
      </c>
      <c r="C2008" t="inlineStr">
        <is>
          <t>Föryngringsavverkning</t>
        </is>
      </c>
      <c r="D2008" s="1" t="n">
        <v>45692</v>
      </c>
      <c r="E2008" s="1" t="n">
        <v>46315</v>
      </c>
      <c r="F2008" t="inlineStr">
        <is>
          <t>HALLANDS LÄN</t>
        </is>
      </c>
      <c r="G2008" t="inlineStr">
        <is>
          <t>HALMSTAD</t>
        </is>
      </c>
      <c r="I2008" t="n">
        <v>2.6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s="2" t="inlineStr"/>
    </row>
    <row r="2009" ht="15" customHeight="1">
      <c r="A2009" t="inlineStr">
        <is>
          <t>A 35059-2025</t>
        </is>
      </c>
      <c r="B2009" t="inlineStr">
        <is>
          <t>avverkningsanmälan</t>
        </is>
      </c>
      <c r="C2009" t="inlineStr">
        <is>
          <t>Föryngringsavverkning</t>
        </is>
      </c>
      <c r="D2009" s="1" t="n">
        <v>45852</v>
      </c>
      <c r="E2009" s="1" t="n">
        <v>46315</v>
      </c>
      <c r="F2009" t="inlineStr">
        <is>
          <t>HALLANDS LÄN</t>
        </is>
      </c>
      <c r="G2009" t="inlineStr">
        <is>
          <t>VARBERG</t>
        </is>
      </c>
      <c r="I2009" t="n">
        <v>1.1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s="2" t="inlineStr"/>
    </row>
    <row r="2010" ht="15" customHeight="1">
      <c r="A2010" t="inlineStr">
        <is>
          <t>A 20523-2025</t>
        </is>
      </c>
      <c r="B2010" t="inlineStr">
        <is>
          <t>avverkningsanmälan</t>
        </is>
      </c>
      <c r="C2010" t="inlineStr">
        <is>
          <t>Föryngringsavverkning</t>
        </is>
      </c>
      <c r="D2010" s="1" t="n">
        <v>45775</v>
      </c>
      <c r="E2010" s="1" t="n">
        <v>46315</v>
      </c>
      <c r="F2010" t="inlineStr">
        <is>
          <t>HALLANDS LÄN</t>
        </is>
      </c>
      <c r="G2010" t="inlineStr">
        <is>
          <t>HYLTE</t>
        </is>
      </c>
      <c r="I2010" t="n">
        <v>1.6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s="2" t="inlineStr"/>
    </row>
    <row r="2011" ht="15" customHeight="1">
      <c r="A2011" t="inlineStr">
        <is>
          <t>A 51535-2023</t>
        </is>
      </c>
      <c r="B2011" t="inlineStr">
        <is>
          <t>avverkningsanmälan</t>
        </is>
      </c>
      <c r="C2011" t="inlineStr">
        <is>
          <t>Föryngringsavverkning</t>
        </is>
      </c>
      <c r="D2011" s="1" t="n">
        <v>45222</v>
      </c>
      <c r="E2011" s="1" t="n">
        <v>46315</v>
      </c>
      <c r="F2011" t="inlineStr">
        <is>
          <t>HALLANDS LÄN</t>
        </is>
      </c>
      <c r="G2011" t="inlineStr">
        <is>
          <t>VARBERG</t>
        </is>
      </c>
      <c r="I2011" t="n">
        <v>1.1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s="2" t="inlineStr"/>
    </row>
    <row r="2012" ht="15" customHeight="1">
      <c r="A2012" t="inlineStr">
        <is>
          <t>A 19060-2025</t>
        </is>
      </c>
      <c r="B2012" t="inlineStr">
        <is>
          <t>avverkningsanmälan</t>
        </is>
      </c>
      <c r="C2012" t="inlineStr">
        <is>
          <t>Föryngringsavverkning</t>
        </is>
      </c>
      <c r="D2012" s="1" t="n">
        <v>45764</v>
      </c>
      <c r="E2012" s="1" t="n">
        <v>46315</v>
      </c>
      <c r="F2012" t="inlineStr">
        <is>
          <t>HALLANDS LÄN</t>
        </is>
      </c>
      <c r="G2012" t="inlineStr">
        <is>
          <t>FALKENBERG</t>
        </is>
      </c>
      <c r="I2012" t="n">
        <v>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s="2" t="inlineStr"/>
    </row>
    <row r="2013" ht="15" customHeight="1">
      <c r="A2013" t="inlineStr">
        <is>
          <t>A 35498-2025</t>
        </is>
      </c>
      <c r="B2013" t="inlineStr">
        <is>
          <t>avverkningsanmälan</t>
        </is>
      </c>
      <c r="C2013" t="inlineStr">
        <is>
          <t>Föryngringsavverkning</t>
        </is>
      </c>
      <c r="D2013" s="1" t="n">
        <v>45856</v>
      </c>
      <c r="E2013" s="1" t="n">
        <v>46315</v>
      </c>
      <c r="F2013" t="inlineStr">
        <is>
          <t>HALLANDS LÄN</t>
        </is>
      </c>
      <c r="G2013" t="inlineStr">
        <is>
          <t>FALKENBERG</t>
        </is>
      </c>
      <c r="I2013" t="n">
        <v>1.9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s="2" t="inlineStr"/>
    </row>
    <row r="2014" ht="15" customHeight="1">
      <c r="A2014" t="inlineStr">
        <is>
          <t>A 8406-2025</t>
        </is>
      </c>
      <c r="B2014" t="inlineStr">
        <is>
          <t>avverkningsanmälan</t>
        </is>
      </c>
      <c r="C2014" t="inlineStr">
        <is>
          <t>Föryngringsavverkning</t>
        </is>
      </c>
      <c r="D2014" s="1" t="n">
        <v>45709</v>
      </c>
      <c r="E2014" s="1" t="n">
        <v>46315</v>
      </c>
      <c r="F2014" t="inlineStr">
        <is>
          <t>HALLANDS LÄN</t>
        </is>
      </c>
      <c r="G2014" t="inlineStr">
        <is>
          <t>FALKENBERG</t>
        </is>
      </c>
      <c r="I2014" t="n">
        <v>2.9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s="2" t="inlineStr"/>
    </row>
    <row r="2015" ht="15" customHeight="1">
      <c r="A2015" t="inlineStr">
        <is>
          <t>A 6507-2025</t>
        </is>
      </c>
      <c r="B2015" t="inlineStr">
        <is>
          <t>avverkningsanmälan</t>
        </is>
      </c>
      <c r="C2015" t="inlineStr">
        <is>
          <t>Föryngringsavverkning</t>
        </is>
      </c>
      <c r="D2015" s="1" t="n">
        <v>45699</v>
      </c>
      <c r="E2015" s="1" t="n">
        <v>46315</v>
      </c>
      <c r="F2015" t="inlineStr">
        <is>
          <t>HALLANDS LÄN</t>
        </is>
      </c>
      <c r="G2015" t="inlineStr">
        <is>
          <t>KUNGSBACKA</t>
        </is>
      </c>
      <c r="I2015" t="n">
        <v>3.8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s="2" t="inlineStr"/>
    </row>
    <row r="2016" ht="15" customHeight="1">
      <c r="A2016" t="inlineStr">
        <is>
          <t>A 5812-2024</t>
        </is>
      </c>
      <c r="B2016" t="inlineStr">
        <is>
          <t>avverkningsanmälan</t>
        </is>
      </c>
      <c r="C2016" t="inlineStr">
        <is>
          <t>Föryngringsavverkning</t>
        </is>
      </c>
      <c r="D2016" s="1" t="n">
        <v>45335</v>
      </c>
      <c r="E2016" s="1" t="n">
        <v>46315</v>
      </c>
      <c r="F2016" t="inlineStr">
        <is>
          <t>HALLANDS LÄN</t>
        </is>
      </c>
      <c r="G2016" t="inlineStr">
        <is>
          <t>KUNGSBACKA</t>
        </is>
      </c>
      <c r="I2016" t="n">
        <v>1.8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s="2" t="inlineStr"/>
    </row>
    <row r="2017" ht="15" customHeight="1">
      <c r="A2017" t="inlineStr">
        <is>
          <t>A 16175-2023</t>
        </is>
      </c>
      <c r="B2017" t="inlineStr">
        <is>
          <t>avverkningsanmälan</t>
        </is>
      </c>
      <c r="C2017" t="inlineStr">
        <is>
          <t>Föryngringsavverkning</t>
        </is>
      </c>
      <c r="D2017" s="1" t="n">
        <v>45027</v>
      </c>
      <c r="E2017" s="1" t="n">
        <v>46315</v>
      </c>
      <c r="F2017" t="inlineStr">
        <is>
          <t>HALLANDS LÄN</t>
        </is>
      </c>
      <c r="G2017" t="inlineStr">
        <is>
          <t>LAHOLM</t>
        </is>
      </c>
      <c r="I2017" t="n">
        <v>3.6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s="2" t="inlineStr"/>
    </row>
    <row r="2018" ht="15" customHeight="1">
      <c r="A2018" t="inlineStr">
        <is>
          <t>A 19468-2024</t>
        </is>
      </c>
      <c r="B2018" t="inlineStr">
        <is>
          <t>avverkningsanmälan</t>
        </is>
      </c>
      <c r="C2018" t="inlineStr">
        <is>
          <t>Föryngringsavverkning</t>
        </is>
      </c>
      <c r="D2018" s="1" t="n">
        <v>45429</v>
      </c>
      <c r="E2018" s="1" t="n">
        <v>46315</v>
      </c>
      <c r="F2018" t="inlineStr">
        <is>
          <t>HALLANDS LÄN</t>
        </is>
      </c>
      <c r="G2018" t="inlineStr">
        <is>
          <t>HALMSTAD</t>
        </is>
      </c>
      <c r="I2018" t="n">
        <v>2.3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s="2" t="inlineStr"/>
    </row>
    <row r="2019" ht="15" customHeight="1">
      <c r="A2019" t="inlineStr">
        <is>
          <t>A 21330-2025</t>
        </is>
      </c>
      <c r="B2019" t="inlineStr">
        <is>
          <t>avverkningsanmälan</t>
        </is>
      </c>
      <c r="C2019" t="inlineStr">
        <is>
          <t>Föryngringsavverkning</t>
        </is>
      </c>
      <c r="D2019" s="1" t="n">
        <v>45782</v>
      </c>
      <c r="E2019" s="1" t="n">
        <v>46315</v>
      </c>
      <c r="F2019" t="inlineStr">
        <is>
          <t>HALLANDS LÄN</t>
        </is>
      </c>
      <c r="G2019" t="inlineStr">
        <is>
          <t>HYLTE</t>
        </is>
      </c>
      <c r="I2019" t="n">
        <v>8.4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s="2" t="inlineStr"/>
    </row>
    <row r="2020" ht="15" customHeight="1">
      <c r="A2020" t="inlineStr">
        <is>
          <t>A 15065-2025</t>
        </is>
      </c>
      <c r="B2020" t="inlineStr">
        <is>
          <t>avverkningsanmälan</t>
        </is>
      </c>
      <c r="C2020" t="inlineStr">
        <is>
          <t>Föryngringsavverkning</t>
        </is>
      </c>
      <c r="D2020" s="1" t="n">
        <v>45743</v>
      </c>
      <c r="E2020" s="1" t="n">
        <v>46315</v>
      </c>
      <c r="F2020" t="inlineStr">
        <is>
          <t>HALLANDS LÄN</t>
        </is>
      </c>
      <c r="G2020" t="inlineStr">
        <is>
          <t>VARBERG</t>
        </is>
      </c>
      <c r="I2020" t="n">
        <v>5.9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s="2" t="inlineStr"/>
    </row>
    <row r="2021" ht="15" customHeight="1">
      <c r="A2021" t="inlineStr">
        <is>
          <t>A 30386-2026</t>
        </is>
      </c>
      <c r="B2021" t="inlineStr">
        <is>
          <t>avverkningsanmälan</t>
        </is>
      </c>
      <c r="C2021" t="inlineStr">
        <is>
          <t>Föryngringsavverkning</t>
        </is>
      </c>
      <c r="D2021" s="1" t="n">
        <v>46209</v>
      </c>
      <c r="E2021" s="1" t="n">
        <v>46315</v>
      </c>
      <c r="F2021" t="inlineStr">
        <is>
          <t>HALLANDS LÄN</t>
        </is>
      </c>
      <c r="G2021" t="inlineStr">
        <is>
          <t>LAHOLM</t>
        </is>
      </c>
      <c r="H2021" t="inlineStr">
        <is>
          <t>Sveaskog</t>
        </is>
      </c>
      <c r="I2021" t="n">
        <v>0.9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s="2" t="inlineStr"/>
    </row>
    <row r="2022" ht="15" customHeight="1">
      <c r="A2022" t="inlineStr">
        <is>
          <t>A 3813-2023</t>
        </is>
      </c>
      <c r="B2022" t="inlineStr">
        <is>
          <t>avverkningsanmälan</t>
        </is>
      </c>
      <c r="C2022" t="inlineStr">
        <is>
          <t>Föryngringsavverkning</t>
        </is>
      </c>
      <c r="D2022" s="1" t="n">
        <v>44951</v>
      </c>
      <c r="E2022" s="1" t="n">
        <v>46315</v>
      </c>
      <c r="F2022" t="inlineStr">
        <is>
          <t>HALLANDS LÄN</t>
        </is>
      </c>
      <c r="G2022" t="inlineStr">
        <is>
          <t>HYLTE</t>
        </is>
      </c>
      <c r="I2022" t="n">
        <v>2.6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s="2" t="inlineStr"/>
    </row>
    <row r="2023" ht="15" customHeight="1">
      <c r="A2023" t="inlineStr">
        <is>
          <t>A 17259-2023</t>
        </is>
      </c>
      <c r="B2023" t="inlineStr">
        <is>
          <t>avverkningsanmälan</t>
        </is>
      </c>
      <c r="C2023" t="inlineStr">
        <is>
          <t>Föryngringsavverkning</t>
        </is>
      </c>
      <c r="D2023" s="1" t="n">
        <v>45035</v>
      </c>
      <c r="E2023" s="1" t="n">
        <v>46315</v>
      </c>
      <c r="F2023" t="inlineStr">
        <is>
          <t>HALLANDS LÄN</t>
        </is>
      </c>
      <c r="G2023" t="inlineStr">
        <is>
          <t>LAHOLM</t>
        </is>
      </c>
      <c r="I2023" t="n">
        <v>2.4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s="2" t="inlineStr"/>
    </row>
    <row r="2024" ht="15" customHeight="1">
      <c r="A2024" t="inlineStr">
        <is>
          <t>A 30032-2026</t>
        </is>
      </c>
      <c r="B2024" t="inlineStr">
        <is>
          <t>avverkningsanmälan</t>
        </is>
      </c>
      <c r="C2024" t="inlineStr">
        <is>
          <t>Föryngringsavverkning</t>
        </is>
      </c>
      <c r="D2024" s="1" t="n">
        <v>46206</v>
      </c>
      <c r="E2024" s="1" t="n">
        <v>46315</v>
      </c>
      <c r="F2024" t="inlineStr">
        <is>
          <t>HALLANDS LÄN</t>
        </is>
      </c>
      <c r="G2024" t="inlineStr">
        <is>
          <t>LAHOLM</t>
        </is>
      </c>
      <c r="I2024" t="n">
        <v>1.5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s="2" t="inlineStr"/>
    </row>
    <row r="2025" ht="15" customHeight="1">
      <c r="A2025" t="inlineStr">
        <is>
          <t>A 61683-2023</t>
        </is>
      </c>
      <c r="B2025" t="inlineStr">
        <is>
          <t>avverkningsanmälan</t>
        </is>
      </c>
      <c r="C2025" t="inlineStr">
        <is>
          <t>Föryngringsavverkning</t>
        </is>
      </c>
      <c r="D2025" s="1" t="n">
        <v>45265</v>
      </c>
      <c r="E2025" s="1" t="n">
        <v>46315</v>
      </c>
      <c r="F2025" t="inlineStr">
        <is>
          <t>HALLANDS LÄN</t>
        </is>
      </c>
      <c r="G2025" t="inlineStr">
        <is>
          <t>HYLTE</t>
        </is>
      </c>
      <c r="I2025" t="n">
        <v>1.3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s="2" t="inlineStr"/>
    </row>
    <row r="2026" ht="15" customHeight="1">
      <c r="A2026" t="inlineStr">
        <is>
          <t>A 62766-2023</t>
        </is>
      </c>
      <c r="B2026" t="inlineStr">
        <is>
          <t>avverkningsanmälan</t>
        </is>
      </c>
      <c r="C2026" t="inlineStr">
        <is>
          <t>Avverkning för att bevara och utveckla /försöksver</t>
        </is>
      </c>
      <c r="D2026" s="1" t="n">
        <v>45268</v>
      </c>
      <c r="E2026" s="1" t="n">
        <v>46315</v>
      </c>
      <c r="F2026" t="inlineStr">
        <is>
          <t>HALLANDS LÄN</t>
        </is>
      </c>
      <c r="G2026" t="inlineStr">
        <is>
          <t>HALMSTAD</t>
        </is>
      </c>
      <c r="H2026" t="inlineStr">
        <is>
          <t>Sveaskog</t>
        </is>
      </c>
      <c r="I2026" t="n">
        <v>7.8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s="2" t="inlineStr"/>
    </row>
    <row r="2027" ht="15" customHeight="1">
      <c r="A2027" t="inlineStr">
        <is>
          <t>A 25757-2025</t>
        </is>
      </c>
      <c r="B2027" t="inlineStr">
        <is>
          <t>avverkningsanmälan</t>
        </is>
      </c>
      <c r="C2027" t="inlineStr">
        <is>
          <t>Föryngringsavverkning</t>
        </is>
      </c>
      <c r="D2027" s="1" t="n">
        <v>45801</v>
      </c>
      <c r="E2027" s="1" t="n">
        <v>46315</v>
      </c>
      <c r="F2027" t="inlineStr">
        <is>
          <t>HALLANDS LÄN</t>
        </is>
      </c>
      <c r="G2027" t="inlineStr">
        <is>
          <t>KUNGSBACKA</t>
        </is>
      </c>
      <c r="I2027" t="n">
        <v>8.9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s="2" t="inlineStr"/>
    </row>
    <row r="2028" ht="15" customHeight="1">
      <c r="A2028" t="inlineStr">
        <is>
          <t>A 20473-2022</t>
        </is>
      </c>
      <c r="B2028" t="inlineStr">
        <is>
          <t>avverkningsanmälan</t>
        </is>
      </c>
      <c r="C2028" t="inlineStr">
        <is>
          <t>Föryngringsavverkning</t>
        </is>
      </c>
      <c r="D2028" s="1" t="n">
        <v>44699</v>
      </c>
      <c r="E2028" s="1" t="n">
        <v>46315</v>
      </c>
      <c r="F2028" t="inlineStr">
        <is>
          <t>HALLANDS LÄN</t>
        </is>
      </c>
      <c r="G2028" t="inlineStr">
        <is>
          <t>HYLTE</t>
        </is>
      </c>
      <c r="I2028" t="n">
        <v>1.4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s="2" t="inlineStr"/>
    </row>
    <row r="2029" ht="15" customHeight="1">
      <c r="A2029" t="inlineStr">
        <is>
          <t>A 19312-2022</t>
        </is>
      </c>
      <c r="B2029" t="inlineStr">
        <is>
          <t>avverkningsanmälan</t>
        </is>
      </c>
      <c r="C2029" t="inlineStr">
        <is>
          <t>Föryngringsavverkning</t>
        </is>
      </c>
      <c r="D2029" s="1" t="n">
        <v>44692</v>
      </c>
      <c r="E2029" s="1" t="n">
        <v>46315</v>
      </c>
      <c r="F2029" t="inlineStr">
        <is>
          <t>HALLANDS LÄN</t>
        </is>
      </c>
      <c r="G2029" t="inlineStr">
        <is>
          <t>FALKENBERG</t>
        </is>
      </c>
      <c r="I2029" t="n">
        <v>0.8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s="2" t="inlineStr"/>
    </row>
    <row r="2030" ht="15" customHeight="1">
      <c r="A2030" t="inlineStr">
        <is>
          <t>A 41702-2024</t>
        </is>
      </c>
      <c r="B2030" t="inlineStr">
        <is>
          <t>avverkningsanmälan</t>
        </is>
      </c>
      <c r="C2030" t="inlineStr">
        <is>
          <t>Föryngringsavverkning</t>
        </is>
      </c>
      <c r="D2030" s="1" t="n">
        <v>45560</v>
      </c>
      <c r="E2030" s="1" t="n">
        <v>46315</v>
      </c>
      <c r="F2030" t="inlineStr">
        <is>
          <t>HALLANDS LÄN</t>
        </is>
      </c>
      <c r="G2030" t="inlineStr">
        <is>
          <t>FALKENBERG</t>
        </is>
      </c>
      <c r="I2030" t="n">
        <v>0.6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s="2" t="inlineStr"/>
    </row>
    <row r="2031" ht="15" customHeight="1">
      <c r="A2031" t="inlineStr">
        <is>
          <t>A 19792-2024</t>
        </is>
      </c>
      <c r="B2031" t="inlineStr">
        <is>
          <t>avverkningsanmälan</t>
        </is>
      </c>
      <c r="C2031" t="inlineStr">
        <is>
          <t>Föryngringsavverkning</t>
        </is>
      </c>
      <c r="D2031" s="1" t="n">
        <v>45432</v>
      </c>
      <c r="E2031" s="1" t="n">
        <v>46315</v>
      </c>
      <c r="F2031" t="inlineStr">
        <is>
          <t>HALLANDS LÄN</t>
        </is>
      </c>
      <c r="G2031" t="inlineStr">
        <is>
          <t>HYLTE</t>
        </is>
      </c>
      <c r="I2031" t="n">
        <v>3.9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s="2" t="inlineStr"/>
    </row>
    <row r="2032" ht="15" customHeight="1">
      <c r="A2032" t="inlineStr">
        <is>
          <t>A 30385-2026</t>
        </is>
      </c>
      <c r="B2032" t="inlineStr">
        <is>
          <t>avverkningsanmälan</t>
        </is>
      </c>
      <c r="C2032" t="inlineStr">
        <is>
          <t>Föryngringsavverkning</t>
        </is>
      </c>
      <c r="D2032" s="1" t="n">
        <v>46209</v>
      </c>
      <c r="E2032" s="1" t="n">
        <v>46315</v>
      </c>
      <c r="F2032" t="inlineStr">
        <is>
          <t>HALLANDS LÄN</t>
        </is>
      </c>
      <c r="G2032" t="inlineStr">
        <is>
          <t>LAHOLM</t>
        </is>
      </c>
      <c r="H2032" t="inlineStr">
        <is>
          <t>Sveaskog</t>
        </is>
      </c>
      <c r="I2032" t="n">
        <v>1.1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s="2" t="inlineStr"/>
    </row>
    <row r="2033" ht="15" customHeight="1">
      <c r="A2033" t="inlineStr">
        <is>
          <t>A 49609-2023</t>
        </is>
      </c>
      <c r="B2033" t="inlineStr">
        <is>
          <t>avverkningsanmälan</t>
        </is>
      </c>
      <c r="C2033" t="inlineStr">
        <is>
          <t>Föryngringsavverkning</t>
        </is>
      </c>
      <c r="D2033" s="1" t="n">
        <v>45211</v>
      </c>
      <c r="E2033" s="1" t="n">
        <v>46315</v>
      </c>
      <c r="F2033" t="inlineStr">
        <is>
          <t>HALLANDS LÄN</t>
        </is>
      </c>
      <c r="G2033" t="inlineStr">
        <is>
          <t>FALKENBERG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s="2" t="inlineStr"/>
    </row>
    <row r="2034" ht="15" customHeight="1">
      <c r="A2034" t="inlineStr">
        <is>
          <t>A 34197-2024</t>
        </is>
      </c>
      <c r="B2034" t="inlineStr">
        <is>
          <t>avverkningsanmälan</t>
        </is>
      </c>
      <c r="C2034" t="inlineStr">
        <is>
          <t>Föryngringsavverkning</t>
        </is>
      </c>
      <c r="D2034" s="1" t="n">
        <v>45524</v>
      </c>
      <c r="E2034" s="1" t="n">
        <v>46315</v>
      </c>
      <c r="F2034" t="inlineStr">
        <is>
          <t>HALLANDS LÄN</t>
        </is>
      </c>
      <c r="G2034" t="inlineStr">
        <is>
          <t>HYLTE</t>
        </is>
      </c>
      <c r="I2034" t="n">
        <v>2.6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s="2" t="inlineStr"/>
    </row>
    <row r="2035" ht="15" customHeight="1">
      <c r="A2035" t="inlineStr">
        <is>
          <t>A 31617-2022</t>
        </is>
      </c>
      <c r="B2035" t="inlineStr">
        <is>
          <t>avverkningsanmälan</t>
        </is>
      </c>
      <c r="C2035" t="inlineStr">
        <is>
          <t>Föryngringsavverkning</t>
        </is>
      </c>
      <c r="D2035" s="1" t="n">
        <v>44775</v>
      </c>
      <c r="E2035" s="1" t="n">
        <v>46315</v>
      </c>
      <c r="F2035" t="inlineStr">
        <is>
          <t>HALLANDS LÄN</t>
        </is>
      </c>
      <c r="G2035" t="inlineStr">
        <is>
          <t>KUNGSBACKA</t>
        </is>
      </c>
      <c r="I2035" t="n">
        <v>1.3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s="2" t="inlineStr"/>
    </row>
    <row r="2036" ht="15" customHeight="1">
      <c r="A2036" t="inlineStr">
        <is>
          <t>A 41425-2023</t>
        </is>
      </c>
      <c r="B2036" t="inlineStr">
        <is>
          <t>avverkningsanmälan</t>
        </is>
      </c>
      <c r="C2036" t="inlineStr">
        <is>
          <t>Föryngringsavverkning</t>
        </is>
      </c>
      <c r="D2036" s="1" t="n">
        <v>45175</v>
      </c>
      <c r="E2036" s="1" t="n">
        <v>46315</v>
      </c>
      <c r="F2036" t="inlineStr">
        <is>
          <t>HALLANDS LÄN</t>
        </is>
      </c>
      <c r="G2036" t="inlineStr">
        <is>
          <t>FALKENBERG</t>
        </is>
      </c>
      <c r="I2036" t="n">
        <v>0.6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s="2" t="inlineStr"/>
    </row>
    <row r="2037" ht="15" customHeight="1">
      <c r="A2037" t="inlineStr">
        <is>
          <t>A 57056-2022</t>
        </is>
      </c>
      <c r="B2037" t="inlineStr">
        <is>
          <t>avverkningsanmälan</t>
        </is>
      </c>
      <c r="C2037" t="inlineStr">
        <is>
          <t>Föryngringsavverkning</t>
        </is>
      </c>
      <c r="D2037" s="1" t="n">
        <v>44895</v>
      </c>
      <c r="E2037" s="1" t="n">
        <v>46315</v>
      </c>
      <c r="F2037" t="inlineStr">
        <is>
          <t>HALLANDS LÄN</t>
        </is>
      </c>
      <c r="G2037" t="inlineStr">
        <is>
          <t>KUNGSBACKA</t>
        </is>
      </c>
      <c r="I2037" t="n">
        <v>4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s="2" t="inlineStr"/>
    </row>
    <row r="2038" ht="15" customHeight="1">
      <c r="A2038" t="inlineStr">
        <is>
          <t>A 28843-2023</t>
        </is>
      </c>
      <c r="B2038" t="inlineStr">
        <is>
          <t>avverkningsanmälan</t>
        </is>
      </c>
      <c r="C2038" t="inlineStr">
        <is>
          <t>Föryngringsavverkning</t>
        </is>
      </c>
      <c r="D2038" s="1" t="n">
        <v>45104</v>
      </c>
      <c r="E2038" s="1" t="n">
        <v>46315</v>
      </c>
      <c r="F2038" t="inlineStr">
        <is>
          <t>HALLANDS LÄN</t>
        </is>
      </c>
      <c r="G2038" t="inlineStr">
        <is>
          <t>VARBERG</t>
        </is>
      </c>
      <c r="I2038" t="n">
        <v>4.4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s="2" t="inlineStr"/>
    </row>
    <row r="2039" ht="15" customHeight="1">
      <c r="A2039" t="inlineStr">
        <is>
          <t>A 7291-2023</t>
        </is>
      </c>
      <c r="B2039" t="inlineStr">
        <is>
          <t>avverkningsanmälan</t>
        </is>
      </c>
      <c r="C2039" t="inlineStr">
        <is>
          <t>Föryngringsavverkning</t>
        </is>
      </c>
      <c r="D2039" s="1" t="n">
        <v>44970</v>
      </c>
      <c r="E2039" s="1" t="n">
        <v>46315</v>
      </c>
      <c r="F2039" t="inlineStr">
        <is>
          <t>HALLANDS LÄN</t>
        </is>
      </c>
      <c r="G2039" t="inlineStr">
        <is>
          <t>FALKENBERG</t>
        </is>
      </c>
      <c r="I2039" t="n">
        <v>0.1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s="2" t="inlineStr"/>
    </row>
    <row r="2040" ht="15" customHeight="1">
      <c r="A2040" t="inlineStr">
        <is>
          <t>A 59432-2025</t>
        </is>
      </c>
      <c r="B2040" t="inlineStr">
        <is>
          <t>avverkningsanmälan</t>
        </is>
      </c>
      <c r="C2040" t="inlineStr">
        <is>
          <t>Föryngringsavverkning</t>
        </is>
      </c>
      <c r="D2040" s="1" t="n">
        <v>45989</v>
      </c>
      <c r="E2040" s="1" t="n">
        <v>46315</v>
      </c>
      <c r="F2040" t="inlineStr">
        <is>
          <t>HALLANDS LÄN</t>
        </is>
      </c>
      <c r="G2040" t="inlineStr">
        <is>
          <t>HYLTE</t>
        </is>
      </c>
      <c r="I2040" t="n">
        <v>1.9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s="2" t="inlineStr"/>
    </row>
    <row r="2041" ht="15" customHeight="1">
      <c r="A2041" t="inlineStr">
        <is>
          <t>A 11694-2026</t>
        </is>
      </c>
      <c r="B2041" t="inlineStr">
        <is>
          <t>avverkningsanmälan</t>
        </is>
      </c>
      <c r="C2041" t="inlineStr">
        <is>
          <t>Föryngringsavverkning</t>
        </is>
      </c>
      <c r="D2041" s="1" t="n">
        <v>46084</v>
      </c>
      <c r="E2041" s="1" t="n">
        <v>46315</v>
      </c>
      <c r="F2041" t="inlineStr">
        <is>
          <t>HALLANDS LÄN</t>
        </is>
      </c>
      <c r="G2041" t="inlineStr">
        <is>
          <t>HYLTE</t>
        </is>
      </c>
      <c r="I2041" t="n">
        <v>0.9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s="2" t="inlineStr"/>
    </row>
    <row r="2042" ht="15" customHeight="1">
      <c r="A2042" t="inlineStr">
        <is>
          <t>A 27036-2025</t>
        </is>
      </c>
      <c r="B2042" t="inlineStr">
        <is>
          <t>avverkningsanmälan</t>
        </is>
      </c>
      <c r="C2042" t="inlineStr">
        <is>
          <t>Föryngringsavverkning</t>
        </is>
      </c>
      <c r="D2042" s="1" t="n">
        <v>45811</v>
      </c>
      <c r="E2042" s="1" t="n">
        <v>46315</v>
      </c>
      <c r="F2042" t="inlineStr">
        <is>
          <t>HALLANDS LÄN</t>
        </is>
      </c>
      <c r="G2042" t="inlineStr">
        <is>
          <t>FALKENBERG</t>
        </is>
      </c>
      <c r="I2042" t="n">
        <v>4.3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s="2" t="inlineStr"/>
    </row>
    <row r="2043" ht="15" customHeight="1">
      <c r="A2043" t="inlineStr">
        <is>
          <t>A 53763-2022</t>
        </is>
      </c>
      <c r="B2043" t="inlineStr">
        <is>
          <t>avverkningsanmälan</t>
        </is>
      </c>
      <c r="C2043" t="inlineStr">
        <is>
          <t>Avverkning för annat ändamål</t>
        </is>
      </c>
      <c r="D2043" s="1" t="n">
        <v>44875</v>
      </c>
      <c r="E2043" s="1" t="n">
        <v>46315</v>
      </c>
      <c r="F2043" t="inlineStr">
        <is>
          <t>HALLANDS LÄN</t>
        </is>
      </c>
      <c r="G2043" t="inlineStr">
        <is>
          <t>HALMSTAD</t>
        </is>
      </c>
      <c r="I2043" t="n">
        <v>0.9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s="2" t="inlineStr"/>
    </row>
    <row r="2044" ht="15" customHeight="1">
      <c r="A2044" t="inlineStr">
        <is>
          <t>A 5522-2022</t>
        </is>
      </c>
      <c r="B2044" t="inlineStr">
        <is>
          <t>avverkningsanmälan</t>
        </is>
      </c>
      <c r="C2044" t="inlineStr">
        <is>
          <t>Föryngringsavverkning</t>
        </is>
      </c>
      <c r="D2044" s="1" t="n">
        <v>44595</v>
      </c>
      <c r="E2044" s="1" t="n">
        <v>46315</v>
      </c>
      <c r="F2044" t="inlineStr">
        <is>
          <t>HALLANDS LÄN</t>
        </is>
      </c>
      <c r="G2044" t="inlineStr">
        <is>
          <t>HALMSTAD</t>
        </is>
      </c>
      <c r="I2044" t="n">
        <v>3.4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s="2" t="inlineStr"/>
    </row>
    <row r="2045" ht="15" customHeight="1">
      <c r="A2045" t="inlineStr">
        <is>
          <t>A 30028-2026</t>
        </is>
      </c>
      <c r="B2045" t="inlineStr">
        <is>
          <t>avverkningsanmälan</t>
        </is>
      </c>
      <c r="C2045" t="inlineStr">
        <is>
          <t>Föryngringsavverkning</t>
        </is>
      </c>
      <c r="D2045" s="1" t="n">
        <v>46206</v>
      </c>
      <c r="E2045" s="1" t="n">
        <v>46315</v>
      </c>
      <c r="F2045" t="inlineStr">
        <is>
          <t>HALLANDS LÄN</t>
        </is>
      </c>
      <c r="G2045" t="inlineStr">
        <is>
          <t>HALMSTAD</t>
        </is>
      </c>
      <c r="I2045" t="n">
        <v>1.1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s="2" t="inlineStr"/>
    </row>
    <row r="2046" ht="15" customHeight="1">
      <c r="A2046" t="inlineStr">
        <is>
          <t>A 30030-2026</t>
        </is>
      </c>
      <c r="B2046" t="inlineStr">
        <is>
          <t>avverkningsanmälan</t>
        </is>
      </c>
      <c r="C2046" t="inlineStr">
        <is>
          <t>Föryngringsavverkning</t>
        </is>
      </c>
      <c r="D2046" s="1" t="n">
        <v>46206</v>
      </c>
      <c r="E2046" s="1" t="n">
        <v>46315</v>
      </c>
      <c r="F2046" t="inlineStr">
        <is>
          <t>HALLANDS LÄN</t>
        </is>
      </c>
      <c r="G2046" t="inlineStr">
        <is>
          <t>LAHOLM</t>
        </is>
      </c>
      <c r="I2046" t="n">
        <v>0.6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s="2" t="inlineStr"/>
    </row>
    <row r="2047" ht="15" customHeight="1">
      <c r="A2047" t="inlineStr">
        <is>
          <t>A 11310-2024</t>
        </is>
      </c>
      <c r="B2047" t="inlineStr">
        <is>
          <t>avverkningsanmälan</t>
        </is>
      </c>
      <c r="C2047" t="inlineStr">
        <is>
          <t>Föryngringsavverkning</t>
        </is>
      </c>
      <c r="D2047" s="1" t="n">
        <v>45371</v>
      </c>
      <c r="E2047" s="1" t="n">
        <v>46315</v>
      </c>
      <c r="F2047" t="inlineStr">
        <is>
          <t>HALLANDS LÄN</t>
        </is>
      </c>
      <c r="G2047" t="inlineStr">
        <is>
          <t>KUNGSBACKA</t>
        </is>
      </c>
      <c r="I2047" t="n">
        <v>2.1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s="2" t="inlineStr"/>
    </row>
    <row r="2048" ht="15" customHeight="1">
      <c r="A2048" t="inlineStr">
        <is>
          <t>A 48019-2022</t>
        </is>
      </c>
      <c r="B2048" t="inlineStr">
        <is>
          <t>avverkningsanmälan</t>
        </is>
      </c>
      <c r="C2048" t="inlineStr">
        <is>
          <t>Föryngringsavverkning</t>
        </is>
      </c>
      <c r="D2048" s="1" t="n">
        <v>44855</v>
      </c>
      <c r="E2048" s="1" t="n">
        <v>46315</v>
      </c>
      <c r="F2048" t="inlineStr">
        <is>
          <t>HALLANDS LÄN</t>
        </is>
      </c>
      <c r="G2048" t="inlineStr">
        <is>
          <t>VARBERG</t>
        </is>
      </c>
      <c r="I2048" t="n">
        <v>8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s="2" t="inlineStr"/>
    </row>
    <row r="2049" ht="15" customHeight="1">
      <c r="A2049" t="inlineStr">
        <is>
          <t>A 1076-2024</t>
        </is>
      </c>
      <c r="B2049" t="inlineStr">
        <is>
          <t>avverkningsanmälan</t>
        </is>
      </c>
      <c r="C2049" t="inlineStr">
        <is>
          <t>Föryngringsavverkning</t>
        </is>
      </c>
      <c r="D2049" s="1" t="n">
        <v>45302</v>
      </c>
      <c r="E2049" s="1" t="n">
        <v>46315</v>
      </c>
      <c r="F2049" t="inlineStr">
        <is>
          <t>HALLANDS LÄN</t>
        </is>
      </c>
      <c r="G2049" t="inlineStr">
        <is>
          <t>VARBERG</t>
        </is>
      </c>
      <c r="I2049" t="n">
        <v>2.2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s="2" t="inlineStr"/>
    </row>
    <row r="2050" ht="15" customHeight="1">
      <c r="A2050" t="inlineStr">
        <is>
          <t>A 31168-2026</t>
        </is>
      </c>
      <c r="B2050" t="inlineStr">
        <is>
          <t>avverkningsanmälan</t>
        </is>
      </c>
      <c r="C2050" t="inlineStr">
        <is>
          <t>Avverkning för annat ändamål</t>
        </is>
      </c>
      <c r="D2050" s="1" t="n">
        <v>46209</v>
      </c>
      <c r="E2050" s="1" t="n">
        <v>46315</v>
      </c>
      <c r="F2050" t="inlineStr">
        <is>
          <t>HALLANDS LÄN</t>
        </is>
      </c>
      <c r="G2050" t="inlineStr">
        <is>
          <t>HYLTE</t>
        </is>
      </c>
      <c r="I2050" t="n">
        <v>2.1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s="2" t="inlineStr"/>
    </row>
    <row r="2051" ht="15" customHeight="1">
      <c r="A2051" t="inlineStr">
        <is>
          <t>A 31198-2022</t>
        </is>
      </c>
      <c r="B2051" t="inlineStr">
        <is>
          <t>avverkningsanmälan</t>
        </is>
      </c>
      <c r="C2051" t="inlineStr">
        <is>
          <t>Föryngringsavverkning</t>
        </is>
      </c>
      <c r="D2051" s="1" t="n">
        <v>44770</v>
      </c>
      <c r="E2051" s="1" t="n">
        <v>46315</v>
      </c>
      <c r="F2051" t="inlineStr">
        <is>
          <t>HALLANDS LÄN</t>
        </is>
      </c>
      <c r="G2051" t="inlineStr">
        <is>
          <t>VARBERG</t>
        </is>
      </c>
      <c r="I2051" t="n">
        <v>5.9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s="2" t="inlineStr"/>
    </row>
    <row r="2052" ht="15" customHeight="1">
      <c r="A2052" t="inlineStr">
        <is>
          <t>A 15678-2024</t>
        </is>
      </c>
      <c r="B2052" t="inlineStr">
        <is>
          <t>avverkningsanmälan</t>
        </is>
      </c>
      <c r="C2052" t="inlineStr">
        <is>
          <t>Föryngringsavverkning</t>
        </is>
      </c>
      <c r="D2052" s="1" t="n">
        <v>45404</v>
      </c>
      <c r="E2052" s="1" t="n">
        <v>46315</v>
      </c>
      <c r="F2052" t="inlineStr">
        <is>
          <t>HALLANDS LÄN</t>
        </is>
      </c>
      <c r="G2052" t="inlineStr">
        <is>
          <t>HALMSTAD</t>
        </is>
      </c>
      <c r="I2052" t="n">
        <v>2.4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s="2" t="inlineStr"/>
    </row>
    <row r="2053" ht="15" customHeight="1">
      <c r="A2053" t="inlineStr">
        <is>
          <t>A 33613-2023</t>
        </is>
      </c>
      <c r="B2053" t="inlineStr">
        <is>
          <t>avverkningsanmälan</t>
        </is>
      </c>
      <c r="C2053" t="inlineStr">
        <is>
          <t>Föryngringsavverkning</t>
        </is>
      </c>
      <c r="D2053" s="1" t="n">
        <v>45132</v>
      </c>
      <c r="E2053" s="1" t="n">
        <v>46315</v>
      </c>
      <c r="F2053" t="inlineStr">
        <is>
          <t>HALLANDS LÄN</t>
        </is>
      </c>
      <c r="G2053" t="inlineStr">
        <is>
          <t>HYLTE</t>
        </is>
      </c>
      <c r="I2053" t="n">
        <v>3.9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s="2" t="inlineStr"/>
    </row>
    <row r="2054" ht="15" customHeight="1">
      <c r="A2054" t="inlineStr">
        <is>
          <t>A 64231-2023</t>
        </is>
      </c>
      <c r="B2054" t="inlineStr">
        <is>
          <t>avverkningsanmälan</t>
        </is>
      </c>
      <c r="C2054" t="inlineStr">
        <is>
          <t>Föryngringsavverkning</t>
        </is>
      </c>
      <c r="D2054" s="1" t="n">
        <v>45279</v>
      </c>
      <c r="E2054" s="1" t="n">
        <v>46315</v>
      </c>
      <c r="F2054" t="inlineStr">
        <is>
          <t>HALLANDS LÄN</t>
        </is>
      </c>
      <c r="G2054" t="inlineStr">
        <is>
          <t>HALMSTAD</t>
        </is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s="2" t="inlineStr"/>
    </row>
    <row r="2055" ht="15" customHeight="1">
      <c r="A2055" t="inlineStr">
        <is>
          <t>A 30151-2026</t>
        </is>
      </c>
      <c r="B2055" t="inlineStr">
        <is>
          <t>avverkningsanmälan</t>
        </is>
      </c>
      <c r="C2055" t="inlineStr">
        <is>
          <t>Föryngringsavverkning</t>
        </is>
      </c>
      <c r="D2055" s="1" t="n">
        <v>46206</v>
      </c>
      <c r="E2055" s="1" t="n">
        <v>46315</v>
      </c>
      <c r="F2055" t="inlineStr">
        <is>
          <t>HALLANDS LÄN</t>
        </is>
      </c>
      <c r="G2055" t="inlineStr">
        <is>
          <t>HYLTE</t>
        </is>
      </c>
      <c r="I2055" t="n">
        <v>1.5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s="2" t="inlineStr"/>
    </row>
    <row r="2056" ht="15" customHeight="1">
      <c r="A2056" t="inlineStr">
        <is>
          <t>A 41612-2022</t>
        </is>
      </c>
      <c r="B2056" t="inlineStr">
        <is>
          <t>avverkningsanmälan</t>
        </is>
      </c>
      <c r="C2056" t="inlineStr">
        <is>
          <t>Föryngringsavverkning</t>
        </is>
      </c>
      <c r="D2056" s="1" t="n">
        <v>44827</v>
      </c>
      <c r="E2056" s="1" t="n">
        <v>46315</v>
      </c>
      <c r="F2056" t="inlineStr">
        <is>
          <t>HALLANDS LÄN</t>
        </is>
      </c>
      <c r="G2056" t="inlineStr">
        <is>
          <t>HALMSTAD</t>
        </is>
      </c>
      <c r="I2056" t="n">
        <v>1.7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s="2" t="inlineStr"/>
    </row>
    <row r="2057" ht="15" customHeight="1">
      <c r="A2057" t="inlineStr">
        <is>
          <t>A 57459-2023</t>
        </is>
      </c>
      <c r="B2057" t="inlineStr">
        <is>
          <t>avverkningsanmälan</t>
        </is>
      </c>
      <c r="C2057" t="inlineStr">
        <is>
          <t>Föryngringsavverkning</t>
        </is>
      </c>
      <c r="D2057" s="1" t="n">
        <v>45246</v>
      </c>
      <c r="E2057" s="1" t="n">
        <v>46315</v>
      </c>
      <c r="F2057" t="inlineStr">
        <is>
          <t>HALLANDS LÄN</t>
        </is>
      </c>
      <c r="G2057" t="inlineStr">
        <is>
          <t>HYLTE</t>
        </is>
      </c>
      <c r="I2057" t="n">
        <v>3.8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s="2" t="inlineStr"/>
    </row>
    <row r="2058" ht="15" customHeight="1">
      <c r="A2058" t="inlineStr">
        <is>
          <t>A 57466-2023</t>
        </is>
      </c>
      <c r="B2058" t="inlineStr">
        <is>
          <t>avverkningsanmälan</t>
        </is>
      </c>
      <c r="C2058" t="inlineStr">
        <is>
          <t>Föryngringsavverkning</t>
        </is>
      </c>
      <c r="D2058" s="1" t="n">
        <v>45246</v>
      </c>
      <c r="E2058" s="1" t="n">
        <v>46315</v>
      </c>
      <c r="F2058" t="inlineStr">
        <is>
          <t>HALLANDS LÄN</t>
        </is>
      </c>
      <c r="G2058" t="inlineStr">
        <is>
          <t>HYLTE</t>
        </is>
      </c>
      <c r="I2058" t="n">
        <v>0.6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s="2" t="inlineStr"/>
    </row>
    <row r="2059" ht="15" customHeight="1">
      <c r="A2059" t="inlineStr">
        <is>
          <t>A 45838-2024</t>
        </is>
      </c>
      <c r="B2059" t="inlineStr">
        <is>
          <t>avverkningsanmälan</t>
        </is>
      </c>
      <c r="C2059" t="inlineStr">
        <is>
          <t>Föryngringsavverkning</t>
        </is>
      </c>
      <c r="D2059" s="1" t="n">
        <v>45580</v>
      </c>
      <c r="E2059" s="1" t="n">
        <v>46315</v>
      </c>
      <c r="F2059" t="inlineStr">
        <is>
          <t>HALLANDS LÄN</t>
        </is>
      </c>
      <c r="G2059" t="inlineStr">
        <is>
          <t>FALKENBERG</t>
        </is>
      </c>
      <c r="I2059" t="n">
        <v>0.8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s="2" t="inlineStr"/>
    </row>
    <row r="2060" ht="15" customHeight="1">
      <c r="A2060" t="inlineStr">
        <is>
          <t>A 18840-2024</t>
        </is>
      </c>
      <c r="B2060" t="inlineStr">
        <is>
          <t>avverkningsanmälan</t>
        </is>
      </c>
      <c r="C2060" t="inlineStr">
        <is>
          <t>Föryngringsavverkning</t>
        </is>
      </c>
      <c r="D2060" s="1" t="n">
        <v>45426</v>
      </c>
      <c r="E2060" s="1" t="n">
        <v>46315</v>
      </c>
      <c r="F2060" t="inlineStr">
        <is>
          <t>HALLANDS LÄN</t>
        </is>
      </c>
      <c r="G2060" t="inlineStr">
        <is>
          <t>HYLTE</t>
        </is>
      </c>
      <c r="I2060" t="n">
        <v>1.3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s="2" t="inlineStr"/>
    </row>
    <row r="2061" ht="15" customHeight="1">
      <c r="A2061" t="inlineStr">
        <is>
          <t>A 59297-2022</t>
        </is>
      </c>
      <c r="B2061" t="inlineStr">
        <is>
          <t>avverkningsanmälan</t>
        </is>
      </c>
      <c r="C2061" t="inlineStr">
        <is>
          <t>Föryngringsavverkning</t>
        </is>
      </c>
      <c r="D2061" s="1" t="n">
        <v>44904</v>
      </c>
      <c r="E2061" s="1" t="n">
        <v>46315</v>
      </c>
      <c r="F2061" t="inlineStr">
        <is>
          <t>HALLANDS LÄN</t>
        </is>
      </c>
      <c r="G2061" t="inlineStr">
        <is>
          <t>VARBERG</t>
        </is>
      </c>
      <c r="I2061" t="n">
        <v>1.1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s="2" t="inlineStr"/>
    </row>
    <row r="2062" ht="15" customHeight="1">
      <c r="A2062" t="inlineStr">
        <is>
          <t>A 7314-2024</t>
        </is>
      </c>
      <c r="B2062" t="inlineStr">
        <is>
          <t>avverkningsanmälan</t>
        </is>
      </c>
      <c r="C2062" t="inlineStr">
        <is>
          <t>Föryngringsavverkning</t>
        </is>
      </c>
      <c r="D2062" s="1" t="n">
        <v>45345</v>
      </c>
      <c r="E2062" s="1" t="n">
        <v>46315</v>
      </c>
      <c r="F2062" t="inlineStr">
        <is>
          <t>HALLANDS LÄN</t>
        </is>
      </c>
      <c r="G2062" t="inlineStr">
        <is>
          <t>FALKENBERG</t>
        </is>
      </c>
      <c r="I2062" t="n">
        <v>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s="2" t="inlineStr"/>
    </row>
    <row r="2063" ht="15" customHeight="1">
      <c r="A2063" t="inlineStr">
        <is>
          <t>A 34558-2023</t>
        </is>
      </c>
      <c r="B2063" t="inlineStr">
        <is>
          <t>avverkningsanmälan</t>
        </is>
      </c>
      <c r="C2063" t="inlineStr">
        <is>
          <t>Föryngringsavverkning</t>
        </is>
      </c>
      <c r="D2063" s="1" t="n">
        <v>45140</v>
      </c>
      <c r="E2063" s="1" t="n">
        <v>46315</v>
      </c>
      <c r="F2063" t="inlineStr">
        <is>
          <t>HALLANDS LÄN</t>
        </is>
      </c>
      <c r="G2063" t="inlineStr">
        <is>
          <t>VARBERG</t>
        </is>
      </c>
      <c r="I2063" t="n">
        <v>1.4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s="2" t="inlineStr"/>
    </row>
    <row r="2064" ht="15" customHeight="1">
      <c r="A2064" t="inlineStr">
        <is>
          <t>A 30489-2026</t>
        </is>
      </c>
      <c r="B2064" t="inlineStr">
        <is>
          <t>avverkningsanmälan</t>
        </is>
      </c>
      <c r="C2064" t="inlineStr">
        <is>
          <t>Föryngringsavverkning</t>
        </is>
      </c>
      <c r="D2064" s="1" t="n">
        <v>46210</v>
      </c>
      <c r="E2064" s="1" t="n">
        <v>46315</v>
      </c>
      <c r="F2064" t="inlineStr">
        <is>
          <t>HALLANDS LÄN</t>
        </is>
      </c>
      <c r="G2064" t="inlineStr">
        <is>
          <t>HALMSTAD</t>
        </is>
      </c>
      <c r="I2064" t="n">
        <v>1.6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s="2" t="inlineStr"/>
    </row>
    <row r="2065" ht="15" customHeight="1">
      <c r="A2065" t="inlineStr">
        <is>
          <t>A 30503-2026</t>
        </is>
      </c>
      <c r="B2065" t="inlineStr">
        <is>
          <t>avverkningsanmälan</t>
        </is>
      </c>
      <c r="C2065" t="inlineStr">
        <is>
          <t>Föryngringsavverkning</t>
        </is>
      </c>
      <c r="D2065" s="1" t="n">
        <v>46210</v>
      </c>
      <c r="E2065" s="1" t="n">
        <v>46315</v>
      </c>
      <c r="F2065" t="inlineStr">
        <is>
          <t>HALLANDS LÄN</t>
        </is>
      </c>
      <c r="G2065" t="inlineStr">
        <is>
          <t>HALMSTAD</t>
        </is>
      </c>
      <c r="I2065" t="n">
        <v>0.6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s="2" t="inlineStr"/>
    </row>
    <row r="2066" ht="15" customHeight="1">
      <c r="A2066" t="inlineStr">
        <is>
          <t>A 31358-2022</t>
        </is>
      </c>
      <c r="B2066" t="inlineStr">
        <is>
          <t>avverkningsanmälan</t>
        </is>
      </c>
      <c r="C2066" t="inlineStr">
        <is>
          <t>Föryngringsavverkning</t>
        </is>
      </c>
      <c r="D2066" s="1" t="n">
        <v>44774</v>
      </c>
      <c r="E2066" s="1" t="n">
        <v>46315</v>
      </c>
      <c r="F2066" t="inlineStr">
        <is>
          <t>HALLANDS LÄN</t>
        </is>
      </c>
      <c r="G2066" t="inlineStr">
        <is>
          <t>LAHOLM</t>
        </is>
      </c>
      <c r="I2066" t="n">
        <v>1.5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s="2" t="inlineStr"/>
    </row>
    <row r="2067" ht="15" customHeight="1">
      <c r="A2067" t="inlineStr">
        <is>
          <t>A 11170-2024</t>
        </is>
      </c>
      <c r="B2067" t="inlineStr">
        <is>
          <t>avverkningsanmälan</t>
        </is>
      </c>
      <c r="C2067" t="inlineStr">
        <is>
          <t>Föryngringsavverkning</t>
        </is>
      </c>
      <c r="D2067" s="1" t="n">
        <v>45371</v>
      </c>
      <c r="E2067" s="1" t="n">
        <v>46315</v>
      </c>
      <c r="F2067" t="inlineStr">
        <is>
          <t>HALLANDS LÄN</t>
        </is>
      </c>
      <c r="G2067" t="inlineStr">
        <is>
          <t>HYLTE</t>
        </is>
      </c>
      <c r="I2067" t="n">
        <v>2.5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s="2" t="inlineStr"/>
    </row>
    <row r="2068" ht="15" customHeight="1">
      <c r="A2068" t="inlineStr">
        <is>
          <t>A 30729-2026</t>
        </is>
      </c>
      <c r="B2068" t="inlineStr">
        <is>
          <t>avverkningsanmälan</t>
        </is>
      </c>
      <c r="C2068" t="inlineStr">
        <is>
          <t>Föryngringsavverkning</t>
        </is>
      </c>
      <c r="D2068" s="1" t="n">
        <v>46211</v>
      </c>
      <c r="E2068" s="1" t="n">
        <v>46315</v>
      </c>
      <c r="F2068" t="inlineStr">
        <is>
          <t>HALLANDS LÄN</t>
        </is>
      </c>
      <c r="G2068" t="inlineStr">
        <is>
          <t>LAHOLM</t>
        </is>
      </c>
      <c r="I2068" t="n">
        <v>1.1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s="2" t="inlineStr"/>
    </row>
    <row r="2069" ht="15" customHeight="1">
      <c r="A2069" t="inlineStr">
        <is>
          <t>A 30715-2026</t>
        </is>
      </c>
      <c r="B2069" t="inlineStr">
        <is>
          <t>avverkningsanmälan</t>
        </is>
      </c>
      <c r="C2069" t="inlineStr">
        <is>
          <t>Avverkning för att bevara och utveckla /försöksver</t>
        </is>
      </c>
      <c r="D2069" s="1" t="n">
        <v>46211</v>
      </c>
      <c r="E2069" s="1" t="n">
        <v>46315</v>
      </c>
      <c r="F2069" t="inlineStr">
        <is>
          <t>HALLANDS LÄN</t>
        </is>
      </c>
      <c r="G2069" t="inlineStr">
        <is>
          <t>FALKENBERG</t>
        </is>
      </c>
      <c r="I2069" t="n">
        <v>1.3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s="2" t="inlineStr"/>
    </row>
    <row r="2070" ht="15" customHeight="1">
      <c r="A2070" t="inlineStr">
        <is>
          <t>A 19304-2023</t>
        </is>
      </c>
      <c r="B2070" t="inlineStr">
        <is>
          <t>avverkningsanmälan</t>
        </is>
      </c>
      <c r="C2070" t="inlineStr">
        <is>
          <t>Föryngringsavverkning</t>
        </is>
      </c>
      <c r="D2070" s="1" t="n">
        <v>45049</v>
      </c>
      <c r="E2070" s="1" t="n">
        <v>46315</v>
      </c>
      <c r="F2070" t="inlineStr">
        <is>
          <t>HALLANDS LÄN</t>
        </is>
      </c>
      <c r="G2070" t="inlineStr">
        <is>
          <t>HALMSTAD</t>
        </is>
      </c>
      <c r="I2070" t="n">
        <v>2.7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s="2" t="inlineStr"/>
    </row>
    <row r="2071" ht="15" customHeight="1">
      <c r="A2071" t="inlineStr">
        <is>
          <t>A 30499-2026</t>
        </is>
      </c>
      <c r="B2071" t="inlineStr">
        <is>
          <t>avverkningsanmälan</t>
        </is>
      </c>
      <c r="C2071" t="inlineStr">
        <is>
          <t>Föryngringsavverkning</t>
        </is>
      </c>
      <c r="D2071" s="1" t="n">
        <v>46210</v>
      </c>
      <c r="E2071" s="1" t="n">
        <v>46315</v>
      </c>
      <c r="F2071" t="inlineStr">
        <is>
          <t>HALLANDS LÄN</t>
        </is>
      </c>
      <c r="G2071" t="inlineStr">
        <is>
          <t>HALMSTAD</t>
        </is>
      </c>
      <c r="I2071" t="n">
        <v>1.2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s="2" t="inlineStr"/>
    </row>
    <row r="2072" ht="15" customHeight="1">
      <c r="A2072" t="inlineStr">
        <is>
          <t>A 30508-2026</t>
        </is>
      </c>
      <c r="B2072" t="inlineStr">
        <is>
          <t>avverkningsanmälan</t>
        </is>
      </c>
      <c r="C2072" t="inlineStr">
        <is>
          <t>Föryngringsavverkning</t>
        </is>
      </c>
      <c r="D2072" s="1" t="n">
        <v>46210</v>
      </c>
      <c r="E2072" s="1" t="n">
        <v>46315</v>
      </c>
      <c r="F2072" t="inlineStr">
        <is>
          <t>HALLANDS LÄN</t>
        </is>
      </c>
      <c r="G2072" t="inlineStr">
        <is>
          <t>HALMSTAD</t>
        </is>
      </c>
      <c r="I2072" t="n">
        <v>1.9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s="2" t="inlineStr"/>
    </row>
    <row r="2073" ht="15" customHeight="1">
      <c r="A2073" t="inlineStr">
        <is>
          <t>A 30510-2026</t>
        </is>
      </c>
      <c r="B2073" t="inlineStr">
        <is>
          <t>avverkningsanmälan</t>
        </is>
      </c>
      <c r="C2073" t="inlineStr">
        <is>
          <t>Föryngringsavverkning</t>
        </is>
      </c>
      <c r="D2073" s="1" t="n">
        <v>46210</v>
      </c>
      <c r="E2073" s="1" t="n">
        <v>46315</v>
      </c>
      <c r="F2073" t="inlineStr">
        <is>
          <t>HALLANDS LÄN</t>
        </is>
      </c>
      <c r="G2073" t="inlineStr">
        <is>
          <t>HALMSTAD</t>
        </is>
      </c>
      <c r="I2073" t="n">
        <v>1.6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s="2" t="inlineStr"/>
    </row>
    <row r="2074" ht="15" customHeight="1">
      <c r="A2074" t="inlineStr">
        <is>
          <t>A 30493-2026</t>
        </is>
      </c>
      <c r="B2074" t="inlineStr">
        <is>
          <t>avverkningsanmälan</t>
        </is>
      </c>
      <c r="C2074" t="inlineStr">
        <is>
          <t>Föryngringsavverkning</t>
        </is>
      </c>
      <c r="D2074" s="1" t="n">
        <v>46210</v>
      </c>
      <c r="E2074" s="1" t="n">
        <v>46315</v>
      </c>
      <c r="F2074" t="inlineStr">
        <is>
          <t>HALLANDS LÄN</t>
        </is>
      </c>
      <c r="G2074" t="inlineStr">
        <is>
          <t>HALMSTAD</t>
        </is>
      </c>
      <c r="I2074" t="n">
        <v>0.9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s="2" t="inlineStr"/>
    </row>
    <row r="2075" ht="15" customHeight="1">
      <c r="A2075" t="inlineStr">
        <is>
          <t>A 37223-2023</t>
        </is>
      </c>
      <c r="B2075" t="inlineStr">
        <is>
          <t>avverkningsanmälan</t>
        </is>
      </c>
      <c r="C2075" t="inlineStr">
        <is>
          <t>Föryngringsavverkning</t>
        </is>
      </c>
      <c r="D2075" s="1" t="n">
        <v>45155</v>
      </c>
      <c r="E2075" s="1" t="n">
        <v>46315</v>
      </c>
      <c r="F2075" t="inlineStr">
        <is>
          <t>HALLANDS LÄN</t>
        </is>
      </c>
      <c r="G2075" t="inlineStr">
        <is>
          <t>VARBERG</t>
        </is>
      </c>
      <c r="I2075" t="n">
        <v>1.8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s="2" t="inlineStr"/>
    </row>
    <row r="2076" ht="15" customHeight="1">
      <c r="A2076" t="inlineStr">
        <is>
          <t>A 44532-2023</t>
        </is>
      </c>
      <c r="B2076" t="inlineStr">
        <is>
          <t>avverkningsanmälan</t>
        </is>
      </c>
      <c r="C2076" t="inlineStr">
        <is>
          <t>Föryngringsavverkning</t>
        </is>
      </c>
      <c r="D2076" s="1" t="n">
        <v>45189</v>
      </c>
      <c r="E2076" s="1" t="n">
        <v>46315</v>
      </c>
      <c r="F2076" t="inlineStr">
        <is>
          <t>HALLANDS LÄN</t>
        </is>
      </c>
      <c r="G2076" t="inlineStr">
        <is>
          <t>FALKENBERG</t>
        </is>
      </c>
      <c r="I2076" t="n">
        <v>5.9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s="2" t="inlineStr"/>
    </row>
    <row r="2077" ht="15" customHeight="1">
      <c r="A2077" t="inlineStr">
        <is>
          <t>A 3171-2023</t>
        </is>
      </c>
      <c r="B2077" t="inlineStr">
        <is>
          <t>avverkningsanmälan</t>
        </is>
      </c>
      <c r="C2077" t="inlineStr">
        <is>
          <t>Föryngringsavverkning</t>
        </is>
      </c>
      <c r="D2077" s="1" t="n">
        <v>44946</v>
      </c>
      <c r="E2077" s="1" t="n">
        <v>46315</v>
      </c>
      <c r="F2077" t="inlineStr">
        <is>
          <t>HALLANDS LÄN</t>
        </is>
      </c>
      <c r="G2077" t="inlineStr">
        <is>
          <t>FALKENBERG</t>
        </is>
      </c>
      <c r="I2077" t="n">
        <v>0.6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s="2" t="inlineStr"/>
    </row>
    <row r="2078" ht="15" customHeight="1">
      <c r="A2078" t="inlineStr">
        <is>
          <t>A 3175-2023</t>
        </is>
      </c>
      <c r="B2078" t="inlineStr">
        <is>
          <t>avverkningsanmälan</t>
        </is>
      </c>
      <c r="C2078" t="inlineStr">
        <is>
          <t>Föryngringsavverkning</t>
        </is>
      </c>
      <c r="D2078" s="1" t="n">
        <v>44946</v>
      </c>
      <c r="E2078" s="1" t="n">
        <v>46315</v>
      </c>
      <c r="F2078" t="inlineStr">
        <is>
          <t>HALLANDS LÄN</t>
        </is>
      </c>
      <c r="G2078" t="inlineStr">
        <is>
          <t>FALKENBERG</t>
        </is>
      </c>
      <c r="I2078" t="n">
        <v>2.3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s="2" t="inlineStr"/>
    </row>
    <row r="2079" ht="15" customHeight="1">
      <c r="A2079" t="inlineStr">
        <is>
          <t>A 30496-2026</t>
        </is>
      </c>
      <c r="B2079" t="inlineStr">
        <is>
          <t>avverkningsanmälan</t>
        </is>
      </c>
      <c r="C2079" t="inlineStr">
        <is>
          <t>Föryngringsavverkning</t>
        </is>
      </c>
      <c r="D2079" s="1" t="n">
        <v>46210</v>
      </c>
      <c r="E2079" s="1" t="n">
        <v>46315</v>
      </c>
      <c r="F2079" t="inlineStr">
        <is>
          <t>HALLANDS LÄN</t>
        </is>
      </c>
      <c r="G2079" t="inlineStr">
        <is>
          <t>HALMSTAD</t>
        </is>
      </c>
      <c r="I2079" t="n">
        <v>0.7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s="2" t="inlineStr"/>
    </row>
    <row r="2080" ht="15" customHeight="1">
      <c r="A2080" t="inlineStr">
        <is>
          <t>A 30498-2026</t>
        </is>
      </c>
      <c r="B2080" t="inlineStr">
        <is>
          <t>avverkningsanmälan</t>
        </is>
      </c>
      <c r="C2080" t="inlineStr">
        <is>
          <t>Föryngringsavverkning</t>
        </is>
      </c>
      <c r="D2080" s="1" t="n">
        <v>46210</v>
      </c>
      <c r="E2080" s="1" t="n">
        <v>46315</v>
      </c>
      <c r="F2080" t="inlineStr">
        <is>
          <t>HALLANDS LÄN</t>
        </is>
      </c>
      <c r="G2080" t="inlineStr">
        <is>
          <t>HALMSTAD</t>
        </is>
      </c>
      <c r="I2080" t="n">
        <v>1.1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s="2" t="inlineStr"/>
    </row>
    <row r="2081" ht="15" customHeight="1">
      <c r="A2081" t="inlineStr">
        <is>
          <t>A 620-2023</t>
        </is>
      </c>
      <c r="B2081" t="inlineStr">
        <is>
          <t>avverkningsanmälan</t>
        </is>
      </c>
      <c r="C2081" t="inlineStr">
        <is>
          <t>Föryngringsavverkning</t>
        </is>
      </c>
      <c r="D2081" s="1" t="n">
        <v>44930</v>
      </c>
      <c r="E2081" s="1" t="n">
        <v>46315</v>
      </c>
      <c r="F2081" t="inlineStr">
        <is>
          <t>HALLANDS LÄN</t>
        </is>
      </c>
      <c r="G2081" t="inlineStr">
        <is>
          <t>LAHOLM</t>
        </is>
      </c>
      <c r="I2081" t="n">
        <v>1.4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s="2" t="inlineStr"/>
    </row>
    <row r="2082" ht="15" customHeight="1">
      <c r="A2082" t="inlineStr">
        <is>
          <t>A 30525-2026</t>
        </is>
      </c>
      <c r="B2082" t="inlineStr">
        <is>
          <t>avverkningsanmälan</t>
        </is>
      </c>
      <c r="C2082" t="inlineStr">
        <is>
          <t>Föryngringsavverkning</t>
        </is>
      </c>
      <c r="D2082" s="1" t="n">
        <v>46210</v>
      </c>
      <c r="E2082" s="1" t="n">
        <v>46315</v>
      </c>
      <c r="F2082" t="inlineStr">
        <is>
          <t>HALLANDS LÄN</t>
        </is>
      </c>
      <c r="G2082" t="inlineStr">
        <is>
          <t>VARBERG</t>
        </is>
      </c>
      <c r="I2082" t="n">
        <v>2.6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s="2" t="inlineStr"/>
    </row>
    <row r="2083" ht="15" customHeight="1">
      <c r="A2083" t="inlineStr">
        <is>
          <t>A 8891-2024</t>
        </is>
      </c>
      <c r="B2083" t="inlineStr">
        <is>
          <t>avverkningsanmälan</t>
        </is>
      </c>
      <c r="C2083" t="inlineStr">
        <is>
          <t>Föryngringsavverkning</t>
        </is>
      </c>
      <c r="D2083" s="1" t="n">
        <v>45357</v>
      </c>
      <c r="E2083" s="1" t="n">
        <v>46315</v>
      </c>
      <c r="F2083" t="inlineStr">
        <is>
          <t>HALLANDS LÄN</t>
        </is>
      </c>
      <c r="G2083" t="inlineStr">
        <is>
          <t>LAHOLM</t>
        </is>
      </c>
      <c r="I2083" t="n">
        <v>4.2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s="2" t="inlineStr"/>
    </row>
    <row r="2084" ht="15" customHeight="1">
      <c r="A2084" t="inlineStr">
        <is>
          <t>A 8892-2024</t>
        </is>
      </c>
      <c r="B2084" t="inlineStr">
        <is>
          <t>avverkningsanmälan</t>
        </is>
      </c>
      <c r="C2084" t="inlineStr">
        <is>
          <t>Föryngringsavverkning</t>
        </is>
      </c>
      <c r="D2084" s="1" t="n">
        <v>45357</v>
      </c>
      <c r="E2084" s="1" t="n">
        <v>46315</v>
      </c>
      <c r="F2084" t="inlineStr">
        <is>
          <t>HALLANDS LÄN</t>
        </is>
      </c>
      <c r="G2084" t="inlineStr">
        <is>
          <t>FALKENBERG</t>
        </is>
      </c>
      <c r="I2084" t="n">
        <v>5.1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s="2" t="inlineStr"/>
    </row>
    <row r="2085" ht="15" customHeight="1">
      <c r="A2085" t="inlineStr">
        <is>
          <t>A 61711-2021</t>
        </is>
      </c>
      <c r="B2085" t="inlineStr">
        <is>
          <t>avverkningsanmälan</t>
        </is>
      </c>
      <c r="C2085" t="inlineStr">
        <is>
          <t>Föryngringsavverkning</t>
        </is>
      </c>
      <c r="D2085" s="1" t="n">
        <v>44501</v>
      </c>
      <c r="E2085" s="1" t="n">
        <v>46315</v>
      </c>
      <c r="F2085" t="inlineStr">
        <is>
          <t>HALLANDS LÄN</t>
        </is>
      </c>
      <c r="G2085" t="inlineStr">
        <is>
          <t>LAHOLM</t>
        </is>
      </c>
      <c r="I2085" t="n">
        <v>0.9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s="2" t="inlineStr"/>
    </row>
    <row r="2086" ht="15" customHeight="1">
      <c r="A2086" t="inlineStr">
        <is>
          <t>A 30574-2026</t>
        </is>
      </c>
      <c r="B2086" t="inlineStr">
        <is>
          <t>avverkningsanmälan</t>
        </is>
      </c>
      <c r="C2086" t="inlineStr">
        <is>
          <t>Föryngringsavverkning</t>
        </is>
      </c>
      <c r="D2086" s="1" t="n">
        <v>46210</v>
      </c>
      <c r="E2086" s="1" t="n">
        <v>46315</v>
      </c>
      <c r="F2086" t="inlineStr">
        <is>
          <t>HALLANDS LÄN</t>
        </is>
      </c>
      <c r="G2086" t="inlineStr">
        <is>
          <t>VARBERG</t>
        </is>
      </c>
      <c r="I2086" t="n">
        <v>2.9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s="2" t="inlineStr"/>
    </row>
    <row r="2087" ht="15" customHeight="1">
      <c r="A2087" t="inlineStr">
        <is>
          <t>A 30577-2026</t>
        </is>
      </c>
      <c r="B2087" t="inlineStr">
        <is>
          <t>avverkningsanmälan</t>
        </is>
      </c>
      <c r="C2087" t="inlineStr">
        <is>
          <t>Föryngringsavverkning</t>
        </is>
      </c>
      <c r="D2087" s="1" t="n">
        <v>46210</v>
      </c>
      <c r="E2087" s="1" t="n">
        <v>46315</v>
      </c>
      <c r="F2087" t="inlineStr">
        <is>
          <t>HALLANDS LÄN</t>
        </is>
      </c>
      <c r="G2087" t="inlineStr">
        <is>
          <t>VARBERG</t>
        </is>
      </c>
      <c r="I2087" t="n">
        <v>3.3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s="2" t="inlineStr"/>
    </row>
    <row r="2088" ht="15" customHeight="1">
      <c r="A2088" t="inlineStr">
        <is>
          <t>A 14710-2023</t>
        </is>
      </c>
      <c r="B2088" t="inlineStr">
        <is>
          <t>avverkningsanmälan</t>
        </is>
      </c>
      <c r="C2088" t="inlineStr">
        <is>
          <t>Föryngringsavverkning</t>
        </is>
      </c>
      <c r="D2088" s="1" t="n">
        <v>45014</v>
      </c>
      <c r="E2088" s="1" t="n">
        <v>46315</v>
      </c>
      <c r="F2088" t="inlineStr">
        <is>
          <t>HALLANDS LÄN</t>
        </is>
      </c>
      <c r="G2088" t="inlineStr">
        <is>
          <t>VARBERG</t>
        </is>
      </c>
      <c r="I2088" t="n">
        <v>0.7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s="2" t="inlineStr"/>
    </row>
    <row r="2089" ht="15" customHeight="1">
      <c r="A2089" t="inlineStr">
        <is>
          <t>A 30566-2026</t>
        </is>
      </c>
      <c r="B2089" t="inlineStr">
        <is>
          <t>avverkningsanmälan</t>
        </is>
      </c>
      <c r="C2089" t="inlineStr">
        <is>
          <t>Föryngringsavverkning</t>
        </is>
      </c>
      <c r="D2089" s="1" t="n">
        <v>46210</v>
      </c>
      <c r="E2089" s="1" t="n">
        <v>46315</v>
      </c>
      <c r="F2089" t="inlineStr">
        <is>
          <t>HALLANDS LÄN</t>
        </is>
      </c>
      <c r="G2089" t="inlineStr">
        <is>
          <t>VARBERG</t>
        </is>
      </c>
      <c r="I2089" t="n">
        <v>1.2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s="2" t="inlineStr"/>
    </row>
    <row r="2090" ht="15" customHeight="1">
      <c r="A2090" t="inlineStr">
        <is>
          <t>A 55038-2022</t>
        </is>
      </c>
      <c r="B2090" t="inlineStr">
        <is>
          <t>avverkningsanmälan</t>
        </is>
      </c>
      <c r="C2090" t="inlineStr">
        <is>
          <t>Föryngringsavverkning</t>
        </is>
      </c>
      <c r="D2090" s="1" t="n">
        <v>44886</v>
      </c>
      <c r="E2090" s="1" t="n">
        <v>46315</v>
      </c>
      <c r="F2090" t="inlineStr">
        <is>
          <t>HALLANDS LÄN</t>
        </is>
      </c>
      <c r="G2090" t="inlineStr">
        <is>
          <t>VARBERG</t>
        </is>
      </c>
      <c r="I2090" t="n">
        <v>1.5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s="2" t="inlineStr"/>
    </row>
    <row r="2091" ht="15" customHeight="1">
      <c r="A2091" t="inlineStr">
        <is>
          <t>A 8266-2023</t>
        </is>
      </c>
      <c r="B2091" t="inlineStr">
        <is>
          <t>avverkningsanmälan</t>
        </is>
      </c>
      <c r="C2091" t="inlineStr">
        <is>
          <t>Föryngringsavverkning</t>
        </is>
      </c>
      <c r="D2091" s="1" t="n">
        <v>44974</v>
      </c>
      <c r="E2091" s="1" t="n">
        <v>46315</v>
      </c>
      <c r="F2091" t="inlineStr">
        <is>
          <t>HALLANDS LÄN</t>
        </is>
      </c>
      <c r="G2091" t="inlineStr">
        <is>
          <t>FALKENBERG</t>
        </is>
      </c>
      <c r="I2091" t="n">
        <v>1.4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s="2" t="inlineStr"/>
    </row>
    <row r="2092" ht="15" customHeight="1">
      <c r="A2092" t="inlineStr">
        <is>
          <t>A 42656-2024</t>
        </is>
      </c>
      <c r="B2092" t="inlineStr">
        <is>
          <t>avverkningsanmälan</t>
        </is>
      </c>
      <c r="C2092" t="inlineStr">
        <is>
          <t>Föryngringsavverkning</t>
        </is>
      </c>
      <c r="D2092" s="1" t="n">
        <v>45566</v>
      </c>
      <c r="E2092" s="1" t="n">
        <v>46315</v>
      </c>
      <c r="F2092" t="inlineStr">
        <is>
          <t>HALLANDS LÄN</t>
        </is>
      </c>
      <c r="G2092" t="inlineStr">
        <is>
          <t>FALKENBERG</t>
        </is>
      </c>
      <c r="I2092" t="n">
        <v>0.3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s="2" t="inlineStr"/>
    </row>
    <row r="2093" ht="15" customHeight="1">
      <c r="A2093" t="inlineStr">
        <is>
          <t>A 16778-2024</t>
        </is>
      </c>
      <c r="B2093" t="inlineStr">
        <is>
          <t>avverkningsanmälan</t>
        </is>
      </c>
      <c r="C2093" t="inlineStr">
        <is>
          <t>Föryngringsavverkning</t>
        </is>
      </c>
      <c r="D2093" s="1" t="n">
        <v>45411</v>
      </c>
      <c r="E2093" s="1" t="n">
        <v>46315</v>
      </c>
      <c r="F2093" t="inlineStr">
        <is>
          <t>HALLANDS LÄN</t>
        </is>
      </c>
      <c r="G2093" t="inlineStr">
        <is>
          <t>HYLTE</t>
        </is>
      </c>
      <c r="I2093" t="n">
        <v>7.8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s="2" t="inlineStr"/>
    </row>
    <row r="2094" ht="15" customHeight="1">
      <c r="A2094" t="inlineStr">
        <is>
          <t>A 44223-2025</t>
        </is>
      </c>
      <c r="B2094" t="inlineStr">
        <is>
          <t>avverkningsanmälan</t>
        </is>
      </c>
      <c r="C2094" t="inlineStr">
        <is>
          <t>Föryngringsavverkning</t>
        </is>
      </c>
      <c r="D2094" s="1" t="n">
        <v>45915</v>
      </c>
      <c r="E2094" s="1" t="n">
        <v>46315</v>
      </c>
      <c r="F2094" t="inlineStr">
        <is>
          <t>HALLANDS LÄN</t>
        </is>
      </c>
      <c r="G2094" t="inlineStr">
        <is>
          <t>VARBERG</t>
        </is>
      </c>
      <c r="I2094" t="n">
        <v>0.8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s="2" t="inlineStr"/>
    </row>
    <row r="2095" ht="15" customHeight="1">
      <c r="A2095" t="inlineStr">
        <is>
          <t>A 59762-2023</t>
        </is>
      </c>
      <c r="B2095" t="inlineStr">
        <is>
          <t>avverkningsanmälan</t>
        </is>
      </c>
      <c r="C2095" t="inlineStr">
        <is>
          <t>Föryngringsavverkning</t>
        </is>
      </c>
      <c r="D2095" s="1" t="n">
        <v>45257</v>
      </c>
      <c r="E2095" s="1" t="n">
        <v>46315</v>
      </c>
      <c r="F2095" t="inlineStr">
        <is>
          <t>HALLANDS LÄN</t>
        </is>
      </c>
      <c r="G2095" t="inlineStr">
        <is>
          <t>HALMSTAD</t>
        </is>
      </c>
      <c r="I2095" t="n">
        <v>0.5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s="2" t="inlineStr"/>
    </row>
    <row r="2096" ht="15" customHeight="1">
      <c r="A2096" t="inlineStr">
        <is>
          <t>A 11790-2025</t>
        </is>
      </c>
      <c r="B2096" t="inlineStr">
        <is>
          <t>avverkningsanmälan</t>
        </is>
      </c>
      <c r="C2096" t="inlineStr">
        <is>
          <t>Föryngringsavverkning</t>
        </is>
      </c>
      <c r="D2096" s="1" t="n">
        <v>45727</v>
      </c>
      <c r="E2096" s="1" t="n">
        <v>46315</v>
      </c>
      <c r="F2096" t="inlineStr">
        <is>
          <t>HALLANDS LÄN</t>
        </is>
      </c>
      <c r="G2096" t="inlineStr">
        <is>
          <t>HALMSTAD</t>
        </is>
      </c>
      <c r="I2096" t="n">
        <v>2.1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s="2" t="inlineStr"/>
    </row>
    <row r="2097" ht="15" customHeight="1">
      <c r="A2097" t="inlineStr">
        <is>
          <t>A 37150-2022</t>
        </is>
      </c>
      <c r="B2097" t="inlineStr">
        <is>
          <t>avverkningsanmälan</t>
        </is>
      </c>
      <c r="C2097" t="inlineStr">
        <is>
          <t>Föryngringsavverkning</t>
        </is>
      </c>
      <c r="D2097" s="1" t="n">
        <v>44806</v>
      </c>
      <c r="E2097" s="1" t="n">
        <v>46315</v>
      </c>
      <c r="F2097" t="inlineStr">
        <is>
          <t>HALLANDS LÄN</t>
        </is>
      </c>
      <c r="G2097" t="inlineStr">
        <is>
          <t>FALKENBERG</t>
        </is>
      </c>
      <c r="I2097" t="n">
        <v>4.6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s="2" t="inlineStr"/>
    </row>
    <row r="2098" ht="15" customHeight="1">
      <c r="A2098" t="inlineStr">
        <is>
          <t>A 66135-2021</t>
        </is>
      </c>
      <c r="B2098" t="inlineStr">
        <is>
          <t>avverkningsanmälan</t>
        </is>
      </c>
      <c r="C2098" t="inlineStr">
        <is>
          <t>Föryngringsavverkning</t>
        </is>
      </c>
      <c r="D2098" s="1" t="n">
        <v>44517</v>
      </c>
      <c r="E2098" s="1" t="n">
        <v>46315</v>
      </c>
      <c r="F2098" t="inlineStr">
        <is>
          <t>HALLANDS LÄN</t>
        </is>
      </c>
      <c r="G2098" t="inlineStr">
        <is>
          <t>FALKENBERG</t>
        </is>
      </c>
      <c r="I2098" t="n">
        <v>2.8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s="2" t="inlineStr"/>
    </row>
    <row r="2099" ht="15" customHeight="1">
      <c r="A2099" t="inlineStr">
        <is>
          <t>A 37161-2022</t>
        </is>
      </c>
      <c r="B2099" t="inlineStr">
        <is>
          <t>avverkningsanmälan</t>
        </is>
      </c>
      <c r="C2099" t="inlineStr">
        <is>
          <t>Föryngringsavverkning</t>
        </is>
      </c>
      <c r="D2099" s="1" t="n">
        <v>44806</v>
      </c>
      <c r="E2099" s="1" t="n">
        <v>46315</v>
      </c>
      <c r="F2099" t="inlineStr">
        <is>
          <t>HALLANDS LÄN</t>
        </is>
      </c>
      <c r="G2099" t="inlineStr">
        <is>
          <t>HALMSTAD</t>
        </is>
      </c>
      <c r="I2099" t="n">
        <v>1.3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s="2" t="inlineStr"/>
    </row>
    <row r="2100" ht="15" customHeight="1">
      <c r="A2100" t="inlineStr">
        <is>
          <t>A 14536-2023</t>
        </is>
      </c>
      <c r="B2100" t="inlineStr">
        <is>
          <t>avverkningsanmälan</t>
        </is>
      </c>
      <c r="C2100" t="inlineStr">
        <is>
          <t>Föryngringsavverkning</t>
        </is>
      </c>
      <c r="D2100" s="1" t="n">
        <v>45013</v>
      </c>
      <c r="E2100" s="1" t="n">
        <v>46315</v>
      </c>
      <c r="F2100" t="inlineStr">
        <is>
          <t>HALLANDS LÄN</t>
        </is>
      </c>
      <c r="G2100" t="inlineStr">
        <is>
          <t>VARBERG</t>
        </is>
      </c>
      <c r="I2100" t="n">
        <v>0.5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s="2" t="inlineStr"/>
    </row>
    <row r="2101" ht="15" customHeight="1">
      <c r="A2101" t="inlineStr">
        <is>
          <t>A 19087-2022</t>
        </is>
      </c>
      <c r="B2101" t="inlineStr">
        <is>
          <t>avverkningsanmälan</t>
        </is>
      </c>
      <c r="C2101" t="inlineStr">
        <is>
          <t>Föryngringsavverkning</t>
        </is>
      </c>
      <c r="D2101" s="1" t="n">
        <v>44691</v>
      </c>
      <c r="E2101" s="1" t="n">
        <v>46315</v>
      </c>
      <c r="F2101" t="inlineStr">
        <is>
          <t>HALLANDS LÄN</t>
        </is>
      </c>
      <c r="G2101" t="inlineStr">
        <is>
          <t>HALMSTAD</t>
        </is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s="2" t="inlineStr"/>
    </row>
    <row r="2102" ht="15" customHeight="1">
      <c r="A2102" t="inlineStr">
        <is>
          <t>A 44040-2023</t>
        </is>
      </c>
      <c r="B2102" t="inlineStr">
        <is>
          <t>avverkningsanmälan</t>
        </is>
      </c>
      <c r="C2102" t="inlineStr">
        <is>
          <t>Föryngringsavverkning</t>
        </is>
      </c>
      <c r="D2102" s="1" t="n">
        <v>45188</v>
      </c>
      <c r="E2102" s="1" t="n">
        <v>46315</v>
      </c>
      <c r="F2102" t="inlineStr">
        <is>
          <t>HALLANDS LÄN</t>
        </is>
      </c>
      <c r="G2102" t="inlineStr">
        <is>
          <t>FALKENBERG</t>
        </is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s="2" t="inlineStr"/>
    </row>
    <row r="2103" ht="15" customHeight="1">
      <c r="A2103" t="inlineStr">
        <is>
          <t>A 43046-2023</t>
        </is>
      </c>
      <c r="B2103" t="inlineStr">
        <is>
          <t>avverkningsanmälan</t>
        </is>
      </c>
      <c r="C2103" t="inlineStr">
        <is>
          <t>Föryngringsavverkning</t>
        </is>
      </c>
      <c r="D2103" s="1" t="n">
        <v>45182</v>
      </c>
      <c r="E2103" s="1" t="n">
        <v>46315</v>
      </c>
      <c r="F2103" t="inlineStr">
        <is>
          <t>HALLANDS LÄN</t>
        </is>
      </c>
      <c r="G2103" t="inlineStr">
        <is>
          <t>FALKENBERG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s="2" t="inlineStr"/>
    </row>
    <row r="2104" ht="15" customHeight="1">
      <c r="A2104" t="inlineStr">
        <is>
          <t>A 6198-2024</t>
        </is>
      </c>
      <c r="B2104" t="inlineStr">
        <is>
          <t>avverkningsanmälan</t>
        </is>
      </c>
      <c r="C2104" t="inlineStr">
        <is>
          <t>Föryngringsavverkning</t>
        </is>
      </c>
      <c r="D2104" s="1" t="n">
        <v>45337</v>
      </c>
      <c r="E2104" s="1" t="n">
        <v>46315</v>
      </c>
      <c r="F2104" t="inlineStr">
        <is>
          <t>HALLANDS LÄN</t>
        </is>
      </c>
      <c r="G2104" t="inlineStr">
        <is>
          <t>LAHOLM</t>
        </is>
      </c>
      <c r="I2104" t="n">
        <v>1.5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s="2" t="inlineStr"/>
    </row>
    <row r="2105" ht="15" customHeight="1">
      <c r="A2105" t="inlineStr">
        <is>
          <t>A 20044-2025</t>
        </is>
      </c>
      <c r="B2105" t="inlineStr">
        <is>
          <t>avverkningsanmälan</t>
        </is>
      </c>
      <c r="C2105" t="inlineStr">
        <is>
          <t>Föryngringsavverkning</t>
        </is>
      </c>
      <c r="D2105" s="1" t="n">
        <v>45772</v>
      </c>
      <c r="E2105" s="1" t="n">
        <v>46315</v>
      </c>
      <c r="F2105" t="inlineStr">
        <is>
          <t>HALLANDS LÄN</t>
        </is>
      </c>
      <c r="G2105" t="inlineStr">
        <is>
          <t>FALKENBERG</t>
        </is>
      </c>
      <c r="I2105" t="n">
        <v>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s="2" t="inlineStr"/>
    </row>
    <row r="2106" ht="15" customHeight="1">
      <c r="A2106" t="inlineStr">
        <is>
          <t>A 8825-2026</t>
        </is>
      </c>
      <c r="B2106" t="inlineStr">
        <is>
          <t>avverkningsanmälan</t>
        </is>
      </c>
      <c r="C2106" t="inlineStr">
        <is>
          <t>Föryngringsavverkning</t>
        </is>
      </c>
      <c r="D2106" s="1" t="n">
        <v>46066</v>
      </c>
      <c r="E2106" s="1" t="n">
        <v>46315</v>
      </c>
      <c r="F2106" t="inlineStr">
        <is>
          <t>HALLANDS LÄN</t>
        </is>
      </c>
      <c r="G2106" t="inlineStr">
        <is>
          <t>LAHOLM</t>
        </is>
      </c>
      <c r="I2106" t="n">
        <v>3.7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s="2" t="inlineStr"/>
    </row>
    <row r="2107" ht="15" customHeight="1">
      <c r="A2107" t="inlineStr">
        <is>
          <t>A 13845-2024</t>
        </is>
      </c>
      <c r="B2107" t="inlineStr">
        <is>
          <t>avverkningsanmälan</t>
        </is>
      </c>
      <c r="C2107" t="inlineStr">
        <is>
          <t>Föryngringsavverkning</t>
        </is>
      </c>
      <c r="D2107" s="1" t="n">
        <v>45391</v>
      </c>
      <c r="E2107" s="1" t="n">
        <v>46315</v>
      </c>
      <c r="F2107" t="inlineStr">
        <is>
          <t>HALLANDS LÄN</t>
        </is>
      </c>
      <c r="G2107" t="inlineStr">
        <is>
          <t>FALKENBERG</t>
        </is>
      </c>
      <c r="I2107" t="n">
        <v>7.3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s="2" t="inlineStr"/>
    </row>
    <row r="2108" ht="15" customHeight="1">
      <c r="A2108" t="inlineStr">
        <is>
          <t>A 9423-2024</t>
        </is>
      </c>
      <c r="B2108" t="inlineStr">
        <is>
          <t>avverkningsanmälan</t>
        </is>
      </c>
      <c r="C2108" t="inlineStr">
        <is>
          <t>Föryngringsavverkning</t>
        </is>
      </c>
      <c r="D2108" s="1" t="n">
        <v>45359</v>
      </c>
      <c r="E2108" s="1" t="n">
        <v>46315</v>
      </c>
      <c r="F2108" t="inlineStr">
        <is>
          <t>HALLANDS LÄN</t>
        </is>
      </c>
      <c r="G2108" t="inlineStr">
        <is>
          <t>KUNGSBACKA</t>
        </is>
      </c>
      <c r="I2108" t="n">
        <v>0.7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s="2" t="inlineStr"/>
    </row>
    <row r="2109" ht="15" customHeight="1">
      <c r="A2109" t="inlineStr">
        <is>
          <t>A 22710-2023</t>
        </is>
      </c>
      <c r="B2109" t="inlineStr">
        <is>
          <t>avverkningsanmälan</t>
        </is>
      </c>
      <c r="C2109" t="inlineStr">
        <is>
          <t>Föryngringsavverkning</t>
        </is>
      </c>
      <c r="D2109" s="1" t="n">
        <v>45071</v>
      </c>
      <c r="E2109" s="1" t="n">
        <v>46315</v>
      </c>
      <c r="F2109" t="inlineStr">
        <is>
          <t>HALLANDS LÄN</t>
        </is>
      </c>
      <c r="G2109" t="inlineStr">
        <is>
          <t>HALMSTAD</t>
        </is>
      </c>
      <c r="I2109" t="n">
        <v>2.7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s="2" t="inlineStr"/>
    </row>
    <row r="2110" ht="15" customHeight="1">
      <c r="A2110" t="inlineStr">
        <is>
          <t>A 30783-2026</t>
        </is>
      </c>
      <c r="B2110" t="inlineStr">
        <is>
          <t>avverkningsanmälan</t>
        </is>
      </c>
      <c r="C2110" t="inlineStr">
        <is>
          <t>Föryngringsavverkning</t>
        </is>
      </c>
      <c r="D2110" s="1" t="n">
        <v>46212</v>
      </c>
      <c r="E2110" s="1" t="n">
        <v>46315</v>
      </c>
      <c r="F2110" t="inlineStr">
        <is>
          <t>HALLANDS LÄN</t>
        </is>
      </c>
      <c r="G2110" t="inlineStr">
        <is>
          <t>FALKENBERG</t>
        </is>
      </c>
      <c r="I2110" t="n">
        <v>0.5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s="2" t="inlineStr"/>
    </row>
    <row r="2111" ht="15" customHeight="1">
      <c r="A2111" t="inlineStr">
        <is>
          <t>A 30790-2026</t>
        </is>
      </c>
      <c r="B2111" t="inlineStr">
        <is>
          <t>avverkningsanmälan</t>
        </is>
      </c>
      <c r="C2111" t="inlineStr">
        <is>
          <t>Avverkning för att bevara och utveckla /försöksver</t>
        </is>
      </c>
      <c r="D2111" s="1" t="n">
        <v>46212</v>
      </c>
      <c r="E2111" s="1" t="n">
        <v>46315</v>
      </c>
      <c r="F2111" t="inlineStr">
        <is>
          <t>HALLANDS LÄN</t>
        </is>
      </c>
      <c r="G2111" t="inlineStr">
        <is>
          <t>FALKENBERG</t>
        </is>
      </c>
      <c r="I2111" t="n">
        <v>0.8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s="2" t="inlineStr"/>
    </row>
    <row r="2112" ht="15" customHeight="1">
      <c r="A2112" t="inlineStr">
        <is>
          <t>A 51021-2024</t>
        </is>
      </c>
      <c r="B2112" t="inlineStr">
        <is>
          <t>avverkningsanmälan</t>
        </is>
      </c>
      <c r="C2112" t="inlineStr">
        <is>
          <t>Föryngringsavverkning</t>
        </is>
      </c>
      <c r="D2112" s="1" t="n">
        <v>45603</v>
      </c>
      <c r="E2112" s="1" t="n">
        <v>46315</v>
      </c>
      <c r="F2112" t="inlineStr">
        <is>
          <t>HALLANDS LÄN</t>
        </is>
      </c>
      <c r="G2112" t="inlineStr">
        <is>
          <t>LAHOLM</t>
        </is>
      </c>
      <c r="I2112" t="n">
        <v>6.2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s="2" t="inlineStr"/>
    </row>
    <row r="2113" ht="15" customHeight="1">
      <c r="A2113" t="inlineStr">
        <is>
          <t>A 31189-2026</t>
        </is>
      </c>
      <c r="B2113" t="inlineStr">
        <is>
          <t>avverkningsanmälan</t>
        </is>
      </c>
      <c r="C2113" t="inlineStr">
        <is>
          <t>Föryngringsavverkning</t>
        </is>
      </c>
      <c r="D2113" s="1" t="n">
        <v>46217</v>
      </c>
      <c r="E2113" s="1" t="n">
        <v>46315</v>
      </c>
      <c r="F2113" t="inlineStr">
        <is>
          <t>HALLANDS LÄN</t>
        </is>
      </c>
      <c r="G2113" t="inlineStr">
        <is>
          <t>FALKENBERG</t>
        </is>
      </c>
      <c r="I2113" t="n">
        <v>6.7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s="2" t="inlineStr"/>
    </row>
    <row r="2114" ht="15" customHeight="1">
      <c r="A2114" t="inlineStr">
        <is>
          <t>A 21433-2024</t>
        </is>
      </c>
      <c r="B2114" t="inlineStr">
        <is>
          <t>avverkningsanmälan</t>
        </is>
      </c>
      <c r="C2114" t="inlineStr">
        <is>
          <t>Föryngringsavverkning</t>
        </is>
      </c>
      <c r="D2114" s="1" t="n">
        <v>45441</v>
      </c>
      <c r="E2114" s="1" t="n">
        <v>46315</v>
      </c>
      <c r="F2114" t="inlineStr">
        <is>
          <t>HALLANDS LÄN</t>
        </is>
      </c>
      <c r="G2114" t="inlineStr">
        <is>
          <t>HYLTE</t>
        </is>
      </c>
      <c r="H2114" t="inlineStr">
        <is>
          <t>Kyrkan</t>
        </is>
      </c>
      <c r="I2114" t="n">
        <v>0.6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s="2" t="inlineStr"/>
    </row>
    <row r="2115" ht="15" customHeight="1">
      <c r="A2115" t="inlineStr">
        <is>
          <t>A 12606-2024</t>
        </is>
      </c>
      <c r="B2115" t="inlineStr">
        <is>
          <t>avverkningsanmälan</t>
        </is>
      </c>
      <c r="C2115" t="inlineStr">
        <is>
          <t>Föryngringsavverkning</t>
        </is>
      </c>
      <c r="D2115" s="1" t="n">
        <v>45381</v>
      </c>
      <c r="E2115" s="1" t="n">
        <v>46315</v>
      </c>
      <c r="F2115" t="inlineStr">
        <is>
          <t>HALLANDS LÄN</t>
        </is>
      </c>
      <c r="G2115" t="inlineStr">
        <is>
          <t>FALKENBERG</t>
        </is>
      </c>
      <c r="I2115" t="n">
        <v>14.4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s="2" t="inlineStr"/>
    </row>
    <row r="2116" ht="15" customHeight="1">
      <c r="A2116" t="inlineStr">
        <is>
          <t>A 12680-2024</t>
        </is>
      </c>
      <c r="B2116" t="inlineStr">
        <is>
          <t>avverkningsanmälan</t>
        </is>
      </c>
      <c r="C2116" t="inlineStr">
        <is>
          <t>Föryngringsavverkning</t>
        </is>
      </c>
      <c r="D2116" s="1" t="n">
        <v>45384</v>
      </c>
      <c r="E2116" s="1" t="n">
        <v>46315</v>
      </c>
      <c r="F2116" t="inlineStr">
        <is>
          <t>HALLANDS LÄN</t>
        </is>
      </c>
      <c r="G2116" t="inlineStr">
        <is>
          <t>FALKENBERG</t>
        </is>
      </c>
      <c r="I2116" t="n">
        <v>1.5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s="2" t="inlineStr"/>
    </row>
    <row r="2117" ht="15" customHeight="1">
      <c r="A2117" t="inlineStr">
        <is>
          <t>A 4144-2024</t>
        </is>
      </c>
      <c r="B2117" t="inlineStr">
        <is>
          <t>avverkningsanmälan</t>
        </is>
      </c>
      <c r="C2117" t="inlineStr">
        <is>
          <t>Föryngringsavverkning</t>
        </is>
      </c>
      <c r="D2117" s="1" t="n">
        <v>45323</v>
      </c>
      <c r="E2117" s="1" t="n">
        <v>46315</v>
      </c>
      <c r="F2117" t="inlineStr">
        <is>
          <t>HALLANDS LÄN</t>
        </is>
      </c>
      <c r="G2117" t="inlineStr">
        <is>
          <t>KUNGSBACKA</t>
        </is>
      </c>
      <c r="I2117" t="n">
        <v>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s="2" t="inlineStr"/>
    </row>
    <row r="2118" ht="15" customHeight="1">
      <c r="A2118" t="inlineStr">
        <is>
          <t>A 8789-2024</t>
        </is>
      </c>
      <c r="B2118" t="inlineStr">
        <is>
          <t>avverkningsanmälan</t>
        </is>
      </c>
      <c r="C2118" t="inlineStr">
        <is>
          <t>Föryngringsavverkning</t>
        </is>
      </c>
      <c r="D2118" s="1" t="n">
        <v>45356</v>
      </c>
      <c r="E2118" s="1" t="n">
        <v>46315</v>
      </c>
      <c r="F2118" t="inlineStr">
        <is>
          <t>HALLANDS LÄN</t>
        </is>
      </c>
      <c r="G2118" t="inlineStr">
        <is>
          <t>KUNGSBACKA</t>
        </is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s="2" t="inlineStr"/>
    </row>
    <row r="2119" ht="15" customHeight="1">
      <c r="A2119" t="inlineStr">
        <is>
          <t>A 51932-2024</t>
        </is>
      </c>
      <c r="B2119" t="inlineStr">
        <is>
          <t>avverkningsanmälan</t>
        </is>
      </c>
      <c r="C2119" t="inlineStr">
        <is>
          <t>Avverkning för annat ändamål</t>
        </is>
      </c>
      <c r="D2119" s="1" t="n">
        <v>45607</v>
      </c>
      <c r="E2119" s="1" t="n">
        <v>46315</v>
      </c>
      <c r="F2119" t="inlineStr">
        <is>
          <t>HALLANDS LÄN</t>
        </is>
      </c>
      <c r="G2119" t="inlineStr">
        <is>
          <t>VARBERG</t>
        </is>
      </c>
      <c r="I2119" t="n">
        <v>0.9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s="2" t="inlineStr"/>
    </row>
    <row r="2120" ht="15" customHeight="1">
      <c r="A2120" t="inlineStr">
        <is>
          <t>A 56310-2024</t>
        </is>
      </c>
      <c r="B2120" t="inlineStr">
        <is>
          <t>avverkningsanmälan</t>
        </is>
      </c>
      <c r="C2120" t="inlineStr">
        <is>
          <t>Föryngringsavverkning</t>
        </is>
      </c>
      <c r="D2120" s="1" t="n">
        <v>45624</v>
      </c>
      <c r="E2120" s="1" t="n">
        <v>46315</v>
      </c>
      <c r="F2120" t="inlineStr">
        <is>
          <t>HALLANDS LÄN</t>
        </is>
      </c>
      <c r="G2120" t="inlineStr">
        <is>
          <t>HYLTE</t>
        </is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s="2" t="inlineStr"/>
    </row>
    <row r="2121" ht="15" customHeight="1">
      <c r="A2121" t="inlineStr">
        <is>
          <t>A 9614-2024</t>
        </is>
      </c>
      <c r="B2121" t="inlineStr">
        <is>
          <t>avverkningsanmälan</t>
        </is>
      </c>
      <c r="C2121" t="inlineStr">
        <is>
          <t>Avverkning för annat ändamål</t>
        </is>
      </c>
      <c r="D2121" s="1" t="n">
        <v>45361</v>
      </c>
      <c r="E2121" s="1" t="n">
        <v>46315</v>
      </c>
      <c r="F2121" t="inlineStr">
        <is>
          <t>HALLANDS LÄN</t>
        </is>
      </c>
      <c r="G2121" t="inlineStr">
        <is>
          <t>VARBERG</t>
        </is>
      </c>
      <c r="I2121" t="n">
        <v>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s="2" t="inlineStr"/>
    </row>
    <row r="2122" ht="15" customHeight="1">
      <c r="A2122" t="inlineStr">
        <is>
          <t>A 35140-2022</t>
        </is>
      </c>
      <c r="B2122" t="inlineStr">
        <is>
          <t>avverkningsanmälan</t>
        </is>
      </c>
      <c r="C2122" t="inlineStr">
        <is>
          <t>Föryngringsavverkning</t>
        </is>
      </c>
      <c r="D2122" s="1" t="n">
        <v>44797</v>
      </c>
      <c r="E2122" s="1" t="n">
        <v>46315</v>
      </c>
      <c r="F2122" t="inlineStr">
        <is>
          <t>HALLANDS LÄN</t>
        </is>
      </c>
      <c r="G2122" t="inlineStr">
        <is>
          <t>VARBERG</t>
        </is>
      </c>
      <c r="I2122" t="n">
        <v>1.6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s="2" t="inlineStr"/>
    </row>
    <row r="2123" ht="15" customHeight="1">
      <c r="A2123" t="inlineStr">
        <is>
          <t>A 28529-2022</t>
        </is>
      </c>
      <c r="B2123" t="inlineStr">
        <is>
          <t>avverkningsanmälan</t>
        </is>
      </c>
      <c r="C2123" t="inlineStr">
        <is>
          <t>Föryngringsavverkning</t>
        </is>
      </c>
      <c r="D2123" s="1" t="n">
        <v>44748</v>
      </c>
      <c r="E2123" s="1" t="n">
        <v>46315</v>
      </c>
      <c r="F2123" t="inlineStr">
        <is>
          <t>HALLANDS LÄN</t>
        </is>
      </c>
      <c r="G2123" t="inlineStr">
        <is>
          <t>KUNGSBACKA</t>
        </is>
      </c>
      <c r="I2123" t="n">
        <v>7.2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s="2" t="inlineStr"/>
    </row>
    <row r="2124" ht="15" customHeight="1">
      <c r="A2124" t="inlineStr">
        <is>
          <t>A 24390-2022</t>
        </is>
      </c>
      <c r="B2124" t="inlineStr">
        <is>
          <t>avverkningsanmälan</t>
        </is>
      </c>
      <c r="C2124" t="inlineStr">
        <is>
          <t>Föryngringsavverkning</t>
        </is>
      </c>
      <c r="D2124" s="1" t="n">
        <v>44726</v>
      </c>
      <c r="E2124" s="1" t="n">
        <v>46315</v>
      </c>
      <c r="F2124" t="inlineStr">
        <is>
          <t>HALLANDS LÄN</t>
        </is>
      </c>
      <c r="G2124" t="inlineStr">
        <is>
          <t>LAHOLM</t>
        </is>
      </c>
      <c r="I2124" t="n">
        <v>1.4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s="2" t="inlineStr"/>
    </row>
    <row r="2125" ht="15" customHeight="1">
      <c r="A2125" t="inlineStr">
        <is>
          <t>A 24395-2022</t>
        </is>
      </c>
      <c r="B2125" t="inlineStr">
        <is>
          <t>avverkningsanmälan</t>
        </is>
      </c>
      <c r="C2125" t="inlineStr">
        <is>
          <t>Föryngringsavverkning</t>
        </is>
      </c>
      <c r="D2125" s="1" t="n">
        <v>44726</v>
      </c>
      <c r="E2125" s="1" t="n">
        <v>46315</v>
      </c>
      <c r="F2125" t="inlineStr">
        <is>
          <t>HALLANDS LÄN</t>
        </is>
      </c>
      <c r="G2125" t="inlineStr">
        <is>
          <t>LAHOLM</t>
        </is>
      </c>
      <c r="I2125" t="n">
        <v>0.7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s="2" t="inlineStr"/>
    </row>
    <row r="2126" ht="15" customHeight="1">
      <c r="A2126" t="inlineStr">
        <is>
          <t>A 9999-2024</t>
        </is>
      </c>
      <c r="B2126" t="inlineStr">
        <is>
          <t>avverkningsanmälan</t>
        </is>
      </c>
      <c r="C2126" t="inlineStr">
        <is>
          <t>Föryngringsavverkning</t>
        </is>
      </c>
      <c r="D2126" s="1" t="n">
        <v>45363</v>
      </c>
      <c r="E2126" s="1" t="n">
        <v>46315</v>
      </c>
      <c r="F2126" t="inlineStr">
        <is>
          <t>HALLANDS LÄN</t>
        </is>
      </c>
      <c r="G2126" t="inlineStr">
        <is>
          <t>FALKENBERG</t>
        </is>
      </c>
      <c r="I2126" t="n">
        <v>3.2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s="2" t="inlineStr"/>
    </row>
    <row r="2127" ht="15" customHeight="1">
      <c r="A2127" t="inlineStr">
        <is>
          <t>A 51331-2022</t>
        </is>
      </c>
      <c r="B2127" t="inlineStr">
        <is>
          <t>avverkningsanmälan</t>
        </is>
      </c>
      <c r="C2127" t="inlineStr">
        <is>
          <t>Föryngringsavverkning</t>
        </is>
      </c>
      <c r="D2127" s="1" t="n">
        <v>44869</v>
      </c>
      <c r="E2127" s="1" t="n">
        <v>46315</v>
      </c>
      <c r="F2127" t="inlineStr">
        <is>
          <t>HALLANDS LÄN</t>
        </is>
      </c>
      <c r="G2127" t="inlineStr">
        <is>
          <t>KUNGSBACKA</t>
        </is>
      </c>
      <c r="I2127" t="n">
        <v>1.7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s="2" t="inlineStr"/>
    </row>
    <row r="2128" ht="15" customHeight="1">
      <c r="A2128" t="inlineStr">
        <is>
          <t>A 17450-2023</t>
        </is>
      </c>
      <c r="B2128" t="inlineStr">
        <is>
          <t>avverkningsanmälan</t>
        </is>
      </c>
      <c r="C2128" t="inlineStr">
        <is>
          <t>Föryngringsavverkning</t>
        </is>
      </c>
      <c r="D2128" s="1" t="n">
        <v>45036</v>
      </c>
      <c r="E2128" s="1" t="n">
        <v>46315</v>
      </c>
      <c r="F2128" t="inlineStr">
        <is>
          <t>HALLANDS LÄN</t>
        </is>
      </c>
      <c r="G2128" t="inlineStr">
        <is>
          <t>FALKENBERG</t>
        </is>
      </c>
      <c r="I2128" t="n">
        <v>1.7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s="2" t="inlineStr"/>
    </row>
    <row r="2129" ht="15" customHeight="1">
      <c r="A2129" t="inlineStr">
        <is>
          <t>A 45916-2024</t>
        </is>
      </c>
      <c r="B2129" t="inlineStr">
        <is>
          <t>avverkningsanmälan</t>
        </is>
      </c>
      <c r="C2129" t="inlineStr">
        <is>
          <t>Föryngringsavverkning</t>
        </is>
      </c>
      <c r="D2129" s="1" t="n">
        <v>45580</v>
      </c>
      <c r="E2129" s="1" t="n">
        <v>46315</v>
      </c>
      <c r="F2129" t="inlineStr">
        <is>
          <t>HALLANDS LÄN</t>
        </is>
      </c>
      <c r="G2129" t="inlineStr">
        <is>
          <t>HYLTE</t>
        </is>
      </c>
      <c r="I2129" t="n">
        <v>1.2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s="2" t="inlineStr"/>
    </row>
    <row r="2130" ht="15" customHeight="1">
      <c r="A2130" t="inlineStr">
        <is>
          <t>A 63793-2023</t>
        </is>
      </c>
      <c r="B2130" t="inlineStr">
        <is>
          <t>avverkningsanmälan</t>
        </is>
      </c>
      <c r="C2130" t="inlineStr">
        <is>
          <t>Föryngringsavverkning</t>
        </is>
      </c>
      <c r="D2130" s="1" t="n">
        <v>45278</v>
      </c>
      <c r="E2130" s="1" t="n">
        <v>46315</v>
      </c>
      <c r="F2130" t="inlineStr">
        <is>
          <t>HALLANDS LÄN</t>
        </is>
      </c>
      <c r="G2130" t="inlineStr">
        <is>
          <t>LAHOLM</t>
        </is>
      </c>
      <c r="I2130" t="n">
        <v>6.2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s="2" t="inlineStr"/>
    </row>
    <row r="2131" ht="15" customHeight="1">
      <c r="A2131" t="inlineStr">
        <is>
          <t>A 43402-2024</t>
        </is>
      </c>
      <c r="B2131" t="inlineStr">
        <is>
          <t>avverkningsanmälan</t>
        </is>
      </c>
      <c r="C2131" t="inlineStr">
        <is>
          <t>Föryngringsavverkning</t>
        </is>
      </c>
      <c r="D2131" s="1" t="n">
        <v>45568</v>
      </c>
      <c r="E2131" s="1" t="n">
        <v>46315</v>
      </c>
      <c r="F2131" t="inlineStr">
        <is>
          <t>HALLANDS LÄN</t>
        </is>
      </c>
      <c r="G2131" t="inlineStr">
        <is>
          <t>HYLTE</t>
        </is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s="2" t="inlineStr"/>
    </row>
    <row r="2132" ht="15" customHeight="1">
      <c r="A2132" t="inlineStr">
        <is>
          <t>A 63486-2023</t>
        </is>
      </c>
      <c r="B2132" t="inlineStr">
        <is>
          <t>avverkningsanmälan</t>
        </is>
      </c>
      <c r="C2132" t="inlineStr">
        <is>
          <t>Föryngringsavverkning</t>
        </is>
      </c>
      <c r="D2132" s="1" t="n">
        <v>45274</v>
      </c>
      <c r="E2132" s="1" t="n">
        <v>46315</v>
      </c>
      <c r="F2132" t="inlineStr">
        <is>
          <t>HALLANDS LÄN</t>
        </is>
      </c>
      <c r="G2132" t="inlineStr">
        <is>
          <t>LAHOLM</t>
        </is>
      </c>
      <c r="I2132" t="n">
        <v>1.4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s="2" t="inlineStr"/>
    </row>
    <row r="2133" ht="15" customHeight="1">
      <c r="A2133" t="inlineStr">
        <is>
          <t>A 20353-2024</t>
        </is>
      </c>
      <c r="B2133" t="inlineStr">
        <is>
          <t>avverkningsanmälan</t>
        </is>
      </c>
      <c r="C2133" t="inlineStr">
        <is>
          <t>Föryngringsavverkning</t>
        </is>
      </c>
      <c r="D2133" s="1" t="n">
        <v>45435</v>
      </c>
      <c r="E2133" s="1" t="n">
        <v>46315</v>
      </c>
      <c r="F2133" t="inlineStr">
        <is>
          <t>HALLANDS LÄN</t>
        </is>
      </c>
      <c r="G2133" t="inlineStr">
        <is>
          <t>FALKENBERG</t>
        </is>
      </c>
      <c r="I2133" t="n">
        <v>0.4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s="2" t="inlineStr"/>
    </row>
    <row r="2134" ht="15" customHeight="1">
      <c r="A2134" t="inlineStr">
        <is>
          <t>A 9798-2023</t>
        </is>
      </c>
      <c r="B2134" t="inlineStr">
        <is>
          <t>avverkningsanmälan</t>
        </is>
      </c>
      <c r="C2134" t="inlineStr">
        <is>
          <t>Föryngringsavverkning</t>
        </is>
      </c>
      <c r="D2134" s="1" t="n">
        <v>44984</v>
      </c>
      <c r="E2134" s="1" t="n">
        <v>46315</v>
      </c>
      <c r="F2134" t="inlineStr">
        <is>
          <t>HALLANDS LÄN</t>
        </is>
      </c>
      <c r="G2134" t="inlineStr">
        <is>
          <t>FALKENBERG</t>
        </is>
      </c>
      <c r="I2134" t="n">
        <v>1.4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s="2" t="inlineStr"/>
    </row>
    <row r="2135" ht="15" customHeight="1">
      <c r="A2135" t="inlineStr">
        <is>
          <t>A 9519-2023</t>
        </is>
      </c>
      <c r="B2135" t="inlineStr">
        <is>
          <t>avverkningsanmälan</t>
        </is>
      </c>
      <c r="C2135" t="inlineStr">
        <is>
          <t>Föryngringsavverkning</t>
        </is>
      </c>
      <c r="D2135" s="1" t="n">
        <v>44981</v>
      </c>
      <c r="E2135" s="1" t="n">
        <v>46315</v>
      </c>
      <c r="F2135" t="inlineStr">
        <is>
          <t>HALLANDS LÄN</t>
        </is>
      </c>
      <c r="G2135" t="inlineStr">
        <is>
          <t>VARBERG</t>
        </is>
      </c>
      <c r="I2135" t="n">
        <v>1.4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s="2" t="inlineStr"/>
    </row>
    <row r="2136" ht="15" customHeight="1">
      <c r="A2136" t="inlineStr">
        <is>
          <t>A 6947-2023</t>
        </is>
      </c>
      <c r="B2136" t="inlineStr">
        <is>
          <t>avverkningsanmälan</t>
        </is>
      </c>
      <c r="C2136" t="inlineStr">
        <is>
          <t>Föryngringsavverkning</t>
        </is>
      </c>
      <c r="D2136" s="1" t="n">
        <v>44964</v>
      </c>
      <c r="E2136" s="1" t="n">
        <v>46315</v>
      </c>
      <c r="F2136" t="inlineStr">
        <is>
          <t>HALLANDS LÄN</t>
        </is>
      </c>
      <c r="G2136" t="inlineStr">
        <is>
          <t>HALMSTAD</t>
        </is>
      </c>
      <c r="H2136" t="inlineStr">
        <is>
          <t>Bergvik skog väst AB</t>
        </is>
      </c>
      <c r="I2136" t="n">
        <v>1.1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s="2" t="inlineStr"/>
    </row>
    <row r="2137" ht="15" customHeight="1">
      <c r="A2137" t="inlineStr">
        <is>
          <t>A 6951-2023</t>
        </is>
      </c>
      <c r="B2137" t="inlineStr">
        <is>
          <t>avverkningsanmälan</t>
        </is>
      </c>
      <c r="C2137" t="inlineStr">
        <is>
          <t>Föryngringsavverkning</t>
        </is>
      </c>
      <c r="D2137" s="1" t="n">
        <v>44964</v>
      </c>
      <c r="E2137" s="1" t="n">
        <v>46315</v>
      </c>
      <c r="F2137" t="inlineStr">
        <is>
          <t>HALLANDS LÄN</t>
        </is>
      </c>
      <c r="G2137" t="inlineStr">
        <is>
          <t>HALMSTAD</t>
        </is>
      </c>
      <c r="H2137" t="inlineStr">
        <is>
          <t>Bergvik skog väst AB</t>
        </is>
      </c>
      <c r="I2137" t="n">
        <v>0.7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s="2" t="inlineStr"/>
    </row>
    <row r="2138" ht="15" customHeight="1">
      <c r="A2138" t="inlineStr">
        <is>
          <t>A 2626-2023</t>
        </is>
      </c>
      <c r="B2138" t="inlineStr">
        <is>
          <t>avverkningsanmälan</t>
        </is>
      </c>
      <c r="C2138" t="inlineStr">
        <is>
          <t>Föryngringsavverkning</t>
        </is>
      </c>
      <c r="D2138" s="1" t="n">
        <v>44942</v>
      </c>
      <c r="E2138" s="1" t="n">
        <v>46315</v>
      </c>
      <c r="F2138" t="inlineStr">
        <is>
          <t>HALLANDS LÄN</t>
        </is>
      </c>
      <c r="G2138" t="inlineStr">
        <is>
          <t>LAHOLM</t>
        </is>
      </c>
      <c r="I2138" t="n">
        <v>2.1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s="2" t="inlineStr"/>
    </row>
    <row r="2139" ht="15" customHeight="1">
      <c r="A2139" t="inlineStr">
        <is>
          <t>A 20348-2024</t>
        </is>
      </c>
      <c r="B2139" t="inlineStr">
        <is>
          <t>avverkningsanmälan</t>
        </is>
      </c>
      <c r="C2139" t="inlineStr">
        <is>
          <t>Föryngringsavverkning</t>
        </is>
      </c>
      <c r="D2139" s="1" t="n">
        <v>45435</v>
      </c>
      <c r="E2139" s="1" t="n">
        <v>46315</v>
      </c>
      <c r="F2139" t="inlineStr">
        <is>
          <t>HALLANDS LÄN</t>
        </is>
      </c>
      <c r="G2139" t="inlineStr">
        <is>
          <t>FALKENBERG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s="2" t="inlineStr"/>
    </row>
    <row r="2140" ht="15" customHeight="1">
      <c r="A2140" t="inlineStr">
        <is>
          <t>A 31471-2026</t>
        </is>
      </c>
      <c r="B2140" t="inlineStr">
        <is>
          <t>avverkningsanmälan</t>
        </is>
      </c>
      <c r="C2140" t="inlineStr">
        <is>
          <t>Föryngringsavverkning</t>
        </is>
      </c>
      <c r="D2140" s="1" t="n">
        <v>46222</v>
      </c>
      <c r="E2140" s="1" t="n">
        <v>46315</v>
      </c>
      <c r="F2140" t="inlineStr">
        <is>
          <t>HALLANDS LÄN</t>
        </is>
      </c>
      <c r="G2140" t="inlineStr">
        <is>
          <t>LAHOLM</t>
        </is>
      </c>
      <c r="I2140" t="n">
        <v>0.7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s="2" t="inlineStr"/>
    </row>
    <row r="2141" ht="15" customHeight="1">
      <c r="A2141" t="inlineStr">
        <is>
          <t>A 31623-2026</t>
        </is>
      </c>
      <c r="B2141" t="inlineStr">
        <is>
          <t>avverkningsanmälan</t>
        </is>
      </c>
      <c r="C2141" t="inlineStr">
        <is>
          <t>Föryngringsavverkning</t>
        </is>
      </c>
      <c r="D2141" s="1" t="n">
        <v>46224</v>
      </c>
      <c r="E2141" s="1" t="n">
        <v>46315</v>
      </c>
      <c r="F2141" t="inlineStr">
        <is>
          <t>HALLANDS LÄN</t>
        </is>
      </c>
      <c r="G2141" t="inlineStr">
        <is>
          <t>HYLTE</t>
        </is>
      </c>
      <c r="H2141" t="inlineStr">
        <is>
          <t>Kyrkan</t>
        </is>
      </c>
      <c r="I2141" t="n">
        <v>1.4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s="2" t="inlineStr"/>
    </row>
    <row r="2142" ht="15" customHeight="1">
      <c r="A2142" t="inlineStr">
        <is>
          <t>A 65199-2023</t>
        </is>
      </c>
      <c r="B2142" t="inlineStr">
        <is>
          <t>avverkningsanmälan</t>
        </is>
      </c>
      <c r="C2142" t="inlineStr">
        <is>
          <t>Föryngringsavverkning</t>
        </is>
      </c>
      <c r="D2142" s="1" t="n">
        <v>45288</v>
      </c>
      <c r="E2142" s="1" t="n">
        <v>46315</v>
      </c>
      <c r="F2142" t="inlineStr">
        <is>
          <t>HALLANDS LÄN</t>
        </is>
      </c>
      <c r="G2142" t="inlineStr">
        <is>
          <t>KUNGSBACKA</t>
        </is>
      </c>
      <c r="I2142" t="n">
        <v>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s="2" t="inlineStr"/>
    </row>
    <row r="2143" ht="15" customHeight="1">
      <c r="A2143" t="inlineStr">
        <is>
          <t>A 16646-2024</t>
        </is>
      </c>
      <c r="B2143" t="inlineStr">
        <is>
          <t>avverkningsanmälan</t>
        </is>
      </c>
      <c r="C2143" t="inlineStr">
        <is>
          <t>Föryngringsavverkning</t>
        </is>
      </c>
      <c r="D2143" s="1" t="n">
        <v>45408</v>
      </c>
      <c r="E2143" s="1" t="n">
        <v>46315</v>
      </c>
      <c r="F2143" t="inlineStr">
        <is>
          <t>HALLANDS LÄN</t>
        </is>
      </c>
      <c r="G2143" t="inlineStr">
        <is>
          <t>HALMSTAD</t>
        </is>
      </c>
      <c r="I2143" t="n">
        <v>5.8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s="2" t="inlineStr"/>
    </row>
    <row r="2144" ht="15" customHeight="1">
      <c r="A2144" t="inlineStr">
        <is>
          <t>A 31654-2026</t>
        </is>
      </c>
      <c r="B2144" t="inlineStr">
        <is>
          <t>avverkningsanmälan</t>
        </is>
      </c>
      <c r="C2144" t="inlineStr">
        <is>
          <t>Föryngringsavverkning</t>
        </is>
      </c>
      <c r="D2144" s="1" t="n">
        <v>46225</v>
      </c>
      <c r="E2144" s="1" t="n">
        <v>46315</v>
      </c>
      <c r="F2144" t="inlineStr">
        <is>
          <t>HALLANDS LÄN</t>
        </is>
      </c>
      <c r="G2144" t="inlineStr">
        <is>
          <t>FALKENBERG</t>
        </is>
      </c>
      <c r="I2144" t="n">
        <v>4.1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s="2" t="inlineStr"/>
    </row>
    <row r="2145" ht="15" customHeight="1">
      <c r="A2145" t="inlineStr">
        <is>
          <t>A 10-2025</t>
        </is>
      </c>
      <c r="B2145" t="inlineStr">
        <is>
          <t>avverkningsanmälan</t>
        </is>
      </c>
      <c r="C2145" t="inlineStr">
        <is>
          <t>Föryngringsavverkning</t>
        </is>
      </c>
      <c r="D2145" s="1" t="n">
        <v>45658</v>
      </c>
      <c r="E2145" s="1" t="n">
        <v>46315</v>
      </c>
      <c r="F2145" t="inlineStr">
        <is>
          <t>HALLANDS LÄN</t>
        </is>
      </c>
      <c r="G2145" t="inlineStr">
        <is>
          <t>LAHOLM</t>
        </is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s="2" t="inlineStr"/>
    </row>
    <row r="2146" ht="15" customHeight="1">
      <c r="A2146" t="inlineStr">
        <is>
          <t>A 5308-2026</t>
        </is>
      </c>
      <c r="B2146" t="inlineStr">
        <is>
          <t>avverkningsanmälan</t>
        </is>
      </c>
      <c r="C2146" t="inlineStr">
        <is>
          <t>Föryngringsavverkning</t>
        </is>
      </c>
      <c r="D2146" s="1" t="n">
        <v>46050</v>
      </c>
      <c r="E2146" s="1" t="n">
        <v>46315</v>
      </c>
      <c r="F2146" t="inlineStr">
        <is>
          <t>HALLANDS LÄN</t>
        </is>
      </c>
      <c r="G2146" t="inlineStr">
        <is>
          <t>LAHOLM</t>
        </is>
      </c>
      <c r="I2146" t="n">
        <v>6.9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s="2" t="inlineStr"/>
    </row>
    <row r="2147" ht="15" customHeight="1">
      <c r="A2147" t="inlineStr">
        <is>
          <t>A 50387-2023</t>
        </is>
      </c>
      <c r="B2147" t="inlineStr">
        <is>
          <t>avverkningsanmälan</t>
        </is>
      </c>
      <c r="C2147" t="inlineStr">
        <is>
          <t>Föryngringsavverkning</t>
        </is>
      </c>
      <c r="D2147" s="1" t="n">
        <v>45216</v>
      </c>
      <c r="E2147" s="1" t="n">
        <v>46315</v>
      </c>
      <c r="F2147" t="inlineStr">
        <is>
          <t>HALLANDS LÄN</t>
        </is>
      </c>
      <c r="G2147" t="inlineStr">
        <is>
          <t>HALMSTAD</t>
        </is>
      </c>
      <c r="I2147" t="n">
        <v>0.6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s="2" t="inlineStr"/>
    </row>
    <row r="2148" ht="15" customHeight="1">
      <c r="A2148" t="inlineStr">
        <is>
          <t>A 17227-2023</t>
        </is>
      </c>
      <c r="B2148" t="inlineStr">
        <is>
          <t>avverkningsanmälan</t>
        </is>
      </c>
      <c r="C2148" t="inlineStr">
        <is>
          <t>Föryngringsavverkning</t>
        </is>
      </c>
      <c r="D2148" s="1" t="n">
        <v>45035</v>
      </c>
      <c r="E2148" s="1" t="n">
        <v>46315</v>
      </c>
      <c r="F2148" t="inlineStr">
        <is>
          <t>HALLANDS LÄN</t>
        </is>
      </c>
      <c r="G2148" t="inlineStr">
        <is>
          <t>LAHOLM</t>
        </is>
      </c>
      <c r="I2148" t="n">
        <v>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s="2" t="inlineStr"/>
    </row>
    <row r="2149" ht="15" customHeight="1">
      <c r="A2149" t="inlineStr">
        <is>
          <t>A 33494-2023</t>
        </is>
      </c>
      <c r="B2149" t="inlineStr">
        <is>
          <t>avverkningsanmälan</t>
        </is>
      </c>
      <c r="C2149" t="inlineStr">
        <is>
          <t>Föryngringsavverkning</t>
        </is>
      </c>
      <c r="D2149" s="1" t="n">
        <v>45131</v>
      </c>
      <c r="E2149" s="1" t="n">
        <v>46315</v>
      </c>
      <c r="F2149" t="inlineStr">
        <is>
          <t>HALLANDS LÄN</t>
        </is>
      </c>
      <c r="G2149" t="inlineStr">
        <is>
          <t>KUNGSBACKA</t>
        </is>
      </c>
      <c r="I2149" t="n">
        <v>0.7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s="2" t="inlineStr"/>
    </row>
    <row r="2150" ht="15" customHeight="1">
      <c r="A2150" t="inlineStr">
        <is>
          <t>A 33496-2023</t>
        </is>
      </c>
      <c r="B2150" t="inlineStr">
        <is>
          <t>avverkningsanmälan</t>
        </is>
      </c>
      <c r="C2150" t="inlineStr">
        <is>
          <t>Föryngringsavverkning</t>
        </is>
      </c>
      <c r="D2150" s="1" t="n">
        <v>45131</v>
      </c>
      <c r="E2150" s="1" t="n">
        <v>46315</v>
      </c>
      <c r="F2150" t="inlineStr">
        <is>
          <t>HALLANDS LÄN</t>
        </is>
      </c>
      <c r="G2150" t="inlineStr">
        <is>
          <t>KUNGSBACKA</t>
        </is>
      </c>
      <c r="I2150" t="n">
        <v>0.4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s="2" t="inlineStr"/>
    </row>
    <row r="2151" ht="15" customHeight="1">
      <c r="A2151" t="inlineStr">
        <is>
          <t>A 46581-2024</t>
        </is>
      </c>
      <c r="B2151" t="inlineStr">
        <is>
          <t>avverkningsanmälan</t>
        </is>
      </c>
      <c r="C2151" t="inlineStr">
        <is>
          <t>Föryngringsavverkning</t>
        </is>
      </c>
      <c r="D2151" s="1" t="n">
        <v>45582</v>
      </c>
      <c r="E2151" s="1" t="n">
        <v>46315</v>
      </c>
      <c r="F2151" t="inlineStr">
        <is>
          <t>HALLANDS LÄN</t>
        </is>
      </c>
      <c r="G2151" t="inlineStr">
        <is>
          <t>VARBERG</t>
        </is>
      </c>
      <c r="I2151" t="n">
        <v>2.6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s="2" t="inlineStr"/>
    </row>
    <row r="2152" ht="15" customHeight="1">
      <c r="A2152" t="inlineStr">
        <is>
          <t>A 40601-2023</t>
        </is>
      </c>
      <c r="B2152" t="inlineStr">
        <is>
          <t>avverkningsanmälan</t>
        </is>
      </c>
      <c r="C2152" t="inlineStr">
        <is>
          <t>Föryngringsavverkning</t>
        </is>
      </c>
      <c r="D2152" s="1" t="n">
        <v>45168</v>
      </c>
      <c r="E2152" s="1" t="n">
        <v>46315</v>
      </c>
      <c r="F2152" t="inlineStr">
        <is>
          <t>HALLANDS LÄN</t>
        </is>
      </c>
      <c r="G2152" t="inlineStr">
        <is>
          <t>HALMSTAD</t>
        </is>
      </c>
      <c r="H2152" t="inlineStr">
        <is>
          <t>Kommuner</t>
        </is>
      </c>
      <c r="I2152" t="n">
        <v>3.1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s="2" t="inlineStr"/>
    </row>
    <row r="2153" ht="15" customHeight="1">
      <c r="A2153" t="inlineStr">
        <is>
          <t>A 2552-2023</t>
        </is>
      </c>
      <c r="B2153" t="inlineStr">
        <is>
          <t>avverkningsanmälan</t>
        </is>
      </c>
      <c r="C2153" t="inlineStr">
        <is>
          <t>Föryngringsavverkning</t>
        </is>
      </c>
      <c r="D2153" s="1" t="n">
        <v>44943</v>
      </c>
      <c r="E2153" s="1" t="n">
        <v>46315</v>
      </c>
      <c r="F2153" t="inlineStr">
        <is>
          <t>HALLANDS LÄN</t>
        </is>
      </c>
      <c r="G2153" t="inlineStr">
        <is>
          <t>LAHOLM</t>
        </is>
      </c>
      <c r="H2153" t="inlineStr">
        <is>
          <t>Kommuner</t>
        </is>
      </c>
      <c r="I2153" t="n">
        <v>5.5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s="2" t="inlineStr"/>
    </row>
    <row r="2154" ht="15" customHeight="1">
      <c r="A2154" t="inlineStr">
        <is>
          <t>A 23455-2023</t>
        </is>
      </c>
      <c r="B2154" t="inlineStr">
        <is>
          <t>avverkningsanmälan</t>
        </is>
      </c>
      <c r="C2154" t="inlineStr">
        <is>
          <t>Föryngringsavverkning</t>
        </is>
      </c>
      <c r="D2154" s="1" t="n">
        <v>45076</v>
      </c>
      <c r="E2154" s="1" t="n">
        <v>46315</v>
      </c>
      <c r="F2154" t="inlineStr">
        <is>
          <t>HALLANDS LÄN</t>
        </is>
      </c>
      <c r="G2154" t="inlineStr">
        <is>
          <t>FALKENBERG</t>
        </is>
      </c>
      <c r="I2154" t="n">
        <v>1.2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s="2" t="inlineStr"/>
    </row>
    <row r="2155" ht="15" customHeight="1">
      <c r="A2155" t="inlineStr">
        <is>
          <t>A 23912-2022</t>
        </is>
      </c>
      <c r="B2155" t="inlineStr">
        <is>
          <t>avverkningsanmälan</t>
        </is>
      </c>
      <c r="C2155" t="inlineStr">
        <is>
          <t>Föryngringsavverkning</t>
        </is>
      </c>
      <c r="D2155" s="1" t="n">
        <v>44722</v>
      </c>
      <c r="E2155" s="1" t="n">
        <v>46315</v>
      </c>
      <c r="F2155" t="inlineStr">
        <is>
          <t>HALLANDS LÄN</t>
        </is>
      </c>
      <c r="G2155" t="inlineStr">
        <is>
          <t>VARBERG</t>
        </is>
      </c>
      <c r="I2155" t="n">
        <v>6.2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s="2" t="inlineStr"/>
    </row>
    <row r="2156" ht="15" customHeight="1">
      <c r="A2156" t="inlineStr">
        <is>
          <t>A 22656-2022</t>
        </is>
      </c>
      <c r="B2156" t="inlineStr">
        <is>
          <t>avverkningsanmälan</t>
        </is>
      </c>
      <c r="C2156" t="inlineStr">
        <is>
          <t>Föryngringsavverkning</t>
        </is>
      </c>
      <c r="D2156" s="1" t="n">
        <v>44714</v>
      </c>
      <c r="E2156" s="1" t="n">
        <v>46315</v>
      </c>
      <c r="F2156" t="inlineStr">
        <is>
          <t>HALLANDS LÄN</t>
        </is>
      </c>
      <c r="G2156" t="inlineStr">
        <is>
          <t>HYLTE</t>
        </is>
      </c>
      <c r="H2156" t="inlineStr">
        <is>
          <t>Bergvik skog väst AB</t>
        </is>
      </c>
      <c r="I2156" t="n">
        <v>5.5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s="2" t="inlineStr"/>
    </row>
    <row r="2157" ht="15" customHeight="1">
      <c r="A2157" t="inlineStr">
        <is>
          <t>A 38602-2022</t>
        </is>
      </c>
      <c r="B2157" t="inlineStr">
        <is>
          <t>avverkningsanmälan</t>
        </is>
      </c>
      <c r="C2157" t="inlineStr">
        <is>
          <t>Föryngringsavverkning</t>
        </is>
      </c>
      <c r="D2157" s="1" t="n">
        <v>44813</v>
      </c>
      <c r="E2157" s="1" t="n">
        <v>46315</v>
      </c>
      <c r="F2157" t="inlineStr">
        <is>
          <t>HALLANDS LÄN</t>
        </is>
      </c>
      <c r="G2157" t="inlineStr">
        <is>
          <t>HYLTE</t>
        </is>
      </c>
      <c r="I2157" t="n">
        <v>2.6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s="2" t="inlineStr"/>
    </row>
    <row r="2158" ht="15" customHeight="1">
      <c r="A2158" t="inlineStr">
        <is>
          <t>A 22419-2022</t>
        </is>
      </c>
      <c r="B2158" t="inlineStr">
        <is>
          <t>avverkningsanmälan</t>
        </is>
      </c>
      <c r="C2158" t="inlineStr">
        <is>
          <t>Föryngringsavverkning</t>
        </is>
      </c>
      <c r="D2158" s="1" t="n">
        <v>44713</v>
      </c>
      <c r="E2158" s="1" t="n">
        <v>46315</v>
      </c>
      <c r="F2158" t="inlineStr">
        <is>
          <t>HALLANDS LÄN</t>
        </is>
      </c>
      <c r="G2158" t="inlineStr">
        <is>
          <t>HALMSTAD</t>
        </is>
      </c>
      <c r="I2158" t="n">
        <v>2.2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s="2" t="inlineStr"/>
    </row>
    <row r="2159" ht="15" customHeight="1">
      <c r="A2159" t="inlineStr">
        <is>
          <t>A 37038-2026</t>
        </is>
      </c>
      <c r="B2159" t="inlineStr">
        <is>
          <t>avverkningsanmälan</t>
        </is>
      </c>
      <c r="C2159" t="inlineStr">
        <is>
          <t>Föryngringsavverkning</t>
        </is>
      </c>
      <c r="D2159" s="1" t="n">
        <v>46273</v>
      </c>
      <c r="E2159" s="1" t="n">
        <v>46315</v>
      </c>
      <c r="F2159" t="inlineStr">
        <is>
          <t>HALLANDS LÄN</t>
        </is>
      </c>
      <c r="G2159" t="inlineStr">
        <is>
          <t>HYLTE</t>
        </is>
      </c>
      <c r="I2159" t="n">
        <v>0.7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s="2" t="inlineStr"/>
    </row>
    <row r="2160" ht="15" customHeight="1">
      <c r="A2160" t="inlineStr">
        <is>
          <t>A 37065-2026</t>
        </is>
      </c>
      <c r="B2160" t="inlineStr">
        <is>
          <t>avverkningsanmälan</t>
        </is>
      </c>
      <c r="C2160" t="inlineStr">
        <is>
          <t>Föryngringsavverkning</t>
        </is>
      </c>
      <c r="D2160" s="1" t="n">
        <v>46273</v>
      </c>
      <c r="E2160" s="1" t="n">
        <v>46315</v>
      </c>
      <c r="F2160" t="inlineStr">
        <is>
          <t>HALLANDS LÄN</t>
        </is>
      </c>
      <c r="G2160" t="inlineStr">
        <is>
          <t>VARBERG</t>
        </is>
      </c>
      <c r="I2160" t="n">
        <v>5.2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s="2" t="inlineStr"/>
    </row>
    <row r="2161" ht="15" customHeight="1">
      <c r="A2161" t="inlineStr">
        <is>
          <t>A 38825-2023</t>
        </is>
      </c>
      <c r="B2161" t="inlineStr">
        <is>
          <t>avverkningsanmälan</t>
        </is>
      </c>
      <c r="C2161" t="inlineStr">
        <is>
          <t>Föryngringsavverkning</t>
        </is>
      </c>
      <c r="D2161" s="1" t="n">
        <v>45163</v>
      </c>
      <c r="E2161" s="1" t="n">
        <v>46315</v>
      </c>
      <c r="F2161" t="inlineStr">
        <is>
          <t>HALLANDS LÄN</t>
        </is>
      </c>
      <c r="G2161" t="inlineStr">
        <is>
          <t>HYLTE</t>
        </is>
      </c>
      <c r="I2161" t="n">
        <v>2.2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s="2" t="inlineStr"/>
    </row>
    <row r="2162" ht="15" customHeight="1">
      <c r="A2162" t="inlineStr">
        <is>
          <t>A 32989-2025</t>
        </is>
      </c>
      <c r="B2162" t="inlineStr">
        <is>
          <t>avverkningsanmälan</t>
        </is>
      </c>
      <c r="C2162" t="inlineStr">
        <is>
          <t>Föryngringsavverkning</t>
        </is>
      </c>
      <c r="D2162" s="1" t="n">
        <v>45840</v>
      </c>
      <c r="E2162" s="1" t="n">
        <v>46315</v>
      </c>
      <c r="F2162" t="inlineStr">
        <is>
          <t>HALLANDS LÄN</t>
        </is>
      </c>
      <c r="G2162" t="inlineStr">
        <is>
          <t>HYLTE</t>
        </is>
      </c>
      <c r="H2162" t="inlineStr">
        <is>
          <t>Bergvik skog väst AB</t>
        </is>
      </c>
      <c r="I2162" t="n">
        <v>2.1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s="2" t="inlineStr"/>
    </row>
    <row r="2163" ht="15" customHeight="1">
      <c r="A2163" t="inlineStr">
        <is>
          <t>A 46946-2022</t>
        </is>
      </c>
      <c r="B2163" t="inlineStr">
        <is>
          <t>avverkningsanmälan</t>
        </is>
      </c>
      <c r="C2163" t="inlineStr">
        <is>
          <t>Föryngringsavverkning</t>
        </is>
      </c>
      <c r="D2163" s="1" t="n">
        <v>44851</v>
      </c>
      <c r="E2163" s="1" t="n">
        <v>46315</v>
      </c>
      <c r="F2163" t="inlineStr">
        <is>
          <t>HALLANDS LÄN</t>
        </is>
      </c>
      <c r="G2163" t="inlineStr">
        <is>
          <t>HYLTE</t>
        </is>
      </c>
      <c r="I2163" t="n">
        <v>4.9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s="2" t="inlineStr"/>
    </row>
    <row r="2164" ht="15" customHeight="1">
      <c r="A2164" t="inlineStr">
        <is>
          <t>A 46948-2022</t>
        </is>
      </c>
      <c r="B2164" t="inlineStr">
        <is>
          <t>avverkningsanmälan</t>
        </is>
      </c>
      <c r="C2164" t="inlineStr">
        <is>
          <t>Föryngringsavverkning</t>
        </is>
      </c>
      <c r="D2164" s="1" t="n">
        <v>44851</v>
      </c>
      <c r="E2164" s="1" t="n">
        <v>46315</v>
      </c>
      <c r="F2164" t="inlineStr">
        <is>
          <t>HALLANDS LÄN</t>
        </is>
      </c>
      <c r="G2164" t="inlineStr">
        <is>
          <t>HYLTE</t>
        </is>
      </c>
      <c r="I2164" t="n">
        <v>1.5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s="2" t="inlineStr"/>
    </row>
    <row r="2165" ht="15" customHeight="1">
      <c r="A2165" t="inlineStr">
        <is>
          <t>A 21190-2024</t>
        </is>
      </c>
      <c r="B2165" t="inlineStr">
        <is>
          <t>avverkningsanmälan</t>
        </is>
      </c>
      <c r="C2165" t="inlineStr">
        <is>
          <t>Föryngringsavverkning</t>
        </is>
      </c>
      <c r="D2165" s="1" t="n">
        <v>45440</v>
      </c>
      <c r="E2165" s="1" t="n">
        <v>46315</v>
      </c>
      <c r="F2165" t="inlineStr">
        <is>
          <t>HALLANDS LÄN</t>
        </is>
      </c>
      <c r="G2165" t="inlineStr">
        <is>
          <t>LAHOLM</t>
        </is>
      </c>
      <c r="I2165" t="n">
        <v>2.3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s="2" t="inlineStr"/>
    </row>
    <row r="2166" ht="15" customHeight="1">
      <c r="A2166" t="inlineStr">
        <is>
          <t>A 17379-2023</t>
        </is>
      </c>
      <c r="B2166" t="inlineStr">
        <is>
          <t>avverkningsanmälan</t>
        </is>
      </c>
      <c r="C2166" t="inlineStr">
        <is>
          <t>Föryngringsavverkning</t>
        </is>
      </c>
      <c r="D2166" s="1" t="n">
        <v>45035</v>
      </c>
      <c r="E2166" s="1" t="n">
        <v>46315</v>
      </c>
      <c r="F2166" t="inlineStr">
        <is>
          <t>HALLANDS LÄN</t>
        </is>
      </c>
      <c r="G2166" t="inlineStr">
        <is>
          <t>HYLTE</t>
        </is>
      </c>
      <c r="I2166" t="n">
        <v>1.3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s="2" t="inlineStr"/>
    </row>
    <row r="2167" ht="15" customHeight="1">
      <c r="A2167" t="inlineStr">
        <is>
          <t>A 17401-2023</t>
        </is>
      </c>
      <c r="B2167" t="inlineStr">
        <is>
          <t>avverkningsanmälan</t>
        </is>
      </c>
      <c r="C2167" t="inlineStr">
        <is>
          <t>Föryngringsavverkning</t>
        </is>
      </c>
      <c r="D2167" s="1" t="n">
        <v>45035</v>
      </c>
      <c r="E2167" s="1" t="n">
        <v>46315</v>
      </c>
      <c r="F2167" t="inlineStr">
        <is>
          <t>HALLANDS LÄN</t>
        </is>
      </c>
      <c r="G2167" t="inlineStr">
        <is>
          <t>KUNGSBACKA</t>
        </is>
      </c>
      <c r="I2167" t="n">
        <v>0.5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s="2" t="inlineStr"/>
    </row>
    <row r="2168" ht="15" customHeight="1">
      <c r="A2168" t="inlineStr">
        <is>
          <t>A 3463-2024</t>
        </is>
      </c>
      <c r="B2168" t="inlineStr">
        <is>
          <t>avverkningsanmälan</t>
        </is>
      </c>
      <c r="C2168" t="inlineStr">
        <is>
          <t>Föryngringsavverkning</t>
        </is>
      </c>
      <c r="D2168" s="1" t="n">
        <v>45320</v>
      </c>
      <c r="E2168" s="1" t="n">
        <v>46315</v>
      </c>
      <c r="F2168" t="inlineStr">
        <is>
          <t>HALLANDS LÄN</t>
        </is>
      </c>
      <c r="G2168" t="inlineStr">
        <is>
          <t>LAHOLM</t>
        </is>
      </c>
      <c r="I2168" t="n">
        <v>0.5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s="2" t="inlineStr"/>
    </row>
    <row r="2169" ht="15" customHeight="1">
      <c r="A2169" t="inlineStr">
        <is>
          <t>A 40639-2023</t>
        </is>
      </c>
      <c r="B2169" t="inlineStr">
        <is>
          <t>avverkningsanmälan</t>
        </is>
      </c>
      <c r="C2169" t="inlineStr">
        <is>
          <t>Föryngringsavverkning</t>
        </is>
      </c>
      <c r="D2169" s="1" t="n">
        <v>45168</v>
      </c>
      <c r="E2169" s="1" t="n">
        <v>46315</v>
      </c>
      <c r="F2169" t="inlineStr">
        <is>
          <t>HALLANDS LÄN</t>
        </is>
      </c>
      <c r="G2169" t="inlineStr">
        <is>
          <t>HALMSTAD</t>
        </is>
      </c>
      <c r="H2169" t="inlineStr">
        <is>
          <t>Kommuner</t>
        </is>
      </c>
      <c r="I2169" t="n">
        <v>4.8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s="2" t="inlineStr"/>
    </row>
    <row r="2170" ht="15" customHeight="1">
      <c r="A2170" t="inlineStr">
        <is>
          <t>A 24481-2022</t>
        </is>
      </c>
      <c r="B2170" t="inlineStr">
        <is>
          <t>avverkningsanmälan</t>
        </is>
      </c>
      <c r="C2170" t="inlineStr">
        <is>
          <t>Föryngringsavverkning</t>
        </is>
      </c>
      <c r="D2170" s="1" t="n">
        <v>44726</v>
      </c>
      <c r="E2170" s="1" t="n">
        <v>46315</v>
      </c>
      <c r="F2170" t="inlineStr">
        <is>
          <t>HALLANDS LÄN</t>
        </is>
      </c>
      <c r="G2170" t="inlineStr">
        <is>
          <t>HYLTE</t>
        </is>
      </c>
      <c r="I2170" t="n">
        <v>1.1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s="2" t="inlineStr"/>
    </row>
    <row r="2171" ht="15" customHeight="1">
      <c r="A2171" t="inlineStr">
        <is>
          <t>A 2821-2025</t>
        </is>
      </c>
      <c r="B2171" t="inlineStr">
        <is>
          <t>avverkningsanmälan</t>
        </is>
      </c>
      <c r="C2171" t="inlineStr">
        <is>
          <t>Föryngringsavverkning</t>
        </is>
      </c>
      <c r="D2171" s="1" t="n">
        <v>45677</v>
      </c>
      <c r="E2171" s="1" t="n">
        <v>46315</v>
      </c>
      <c r="F2171" t="inlineStr">
        <is>
          <t>HALLANDS LÄN</t>
        </is>
      </c>
      <c r="G2171" t="inlineStr">
        <is>
          <t>HALMSTAD</t>
        </is>
      </c>
      <c r="I2171" t="n">
        <v>5.5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s="2" t="inlineStr"/>
    </row>
    <row r="2172" ht="15" customHeight="1">
      <c r="A2172" t="inlineStr">
        <is>
          <t>A 28855-2022</t>
        </is>
      </c>
      <c r="B2172" t="inlineStr">
        <is>
          <t>avverkningsanmälan</t>
        </is>
      </c>
      <c r="C2172" t="inlineStr">
        <is>
          <t>Föryngringsavverkning</t>
        </is>
      </c>
      <c r="D2172" s="1" t="n">
        <v>44749</v>
      </c>
      <c r="E2172" s="1" t="n">
        <v>46315</v>
      </c>
      <c r="F2172" t="inlineStr">
        <is>
          <t>HALLANDS LÄN</t>
        </is>
      </c>
      <c r="G2172" t="inlineStr">
        <is>
          <t>VARBERG</t>
        </is>
      </c>
      <c r="I2172" t="n">
        <v>2.3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s="2" t="inlineStr"/>
    </row>
    <row r="2173" ht="15" customHeight="1">
      <c r="A2173" t="inlineStr">
        <is>
          <t>A 36937-2026</t>
        </is>
      </c>
      <c r="B2173" t="inlineStr">
        <is>
          <t>avverkningsanmälan</t>
        </is>
      </c>
      <c r="C2173" t="inlineStr">
        <is>
          <t>Föryngringsavverkning</t>
        </is>
      </c>
      <c r="D2173" s="1" t="n">
        <v>46273</v>
      </c>
      <c r="E2173" s="1" t="n">
        <v>46315</v>
      </c>
      <c r="F2173" t="inlineStr">
        <is>
          <t>HALLANDS LÄN</t>
        </is>
      </c>
      <c r="G2173" t="inlineStr">
        <is>
          <t>HYLTE</t>
        </is>
      </c>
      <c r="I2173" t="n">
        <v>1.9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s="2" t="inlineStr"/>
    </row>
    <row r="2174" ht="15" customHeight="1">
      <c r="A2174" t="inlineStr">
        <is>
          <t>A 36900-2026</t>
        </is>
      </c>
      <c r="B2174" t="inlineStr">
        <is>
          <t>avverkningsanmälan</t>
        </is>
      </c>
      <c r="C2174" t="inlineStr">
        <is>
          <t>Föryngringsavverkning</t>
        </is>
      </c>
      <c r="D2174" s="1" t="n">
        <v>46273</v>
      </c>
      <c r="E2174" s="1" t="n">
        <v>46315</v>
      </c>
      <c r="F2174" t="inlineStr">
        <is>
          <t>HALLANDS LÄN</t>
        </is>
      </c>
      <c r="G2174" t="inlineStr">
        <is>
          <t>HALMSTAD</t>
        </is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s="2" t="inlineStr"/>
    </row>
    <row r="2175" ht="15" customHeight="1">
      <c r="A2175" t="inlineStr">
        <is>
          <t>A 10940-2022</t>
        </is>
      </c>
      <c r="B2175" t="inlineStr">
        <is>
          <t>avverkningsanmälan</t>
        </is>
      </c>
      <c r="C2175" t="inlineStr">
        <is>
          <t>Föryngringsavverkning</t>
        </is>
      </c>
      <c r="D2175" s="1" t="n">
        <v>44628</v>
      </c>
      <c r="E2175" s="1" t="n">
        <v>46315</v>
      </c>
      <c r="F2175" t="inlineStr">
        <is>
          <t>HALLANDS LÄN</t>
        </is>
      </c>
      <c r="G2175" t="inlineStr">
        <is>
          <t>VARBERG</t>
        </is>
      </c>
      <c r="I2175" t="n">
        <v>1.6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s="2" t="inlineStr"/>
    </row>
    <row r="2176" ht="15" customHeight="1">
      <c r="A2176" t="inlineStr">
        <is>
          <t>A 37097-2026</t>
        </is>
      </c>
      <c r="B2176" t="inlineStr">
        <is>
          <t>avverkningsanmälan</t>
        </is>
      </c>
      <c r="C2176" t="inlineStr">
        <is>
          <t>Föryngringsavverkning</t>
        </is>
      </c>
      <c r="D2176" s="1" t="n">
        <v>46274</v>
      </c>
      <c r="E2176" s="1" t="n">
        <v>46315</v>
      </c>
      <c r="F2176" t="inlineStr">
        <is>
          <t>HALLANDS LÄN</t>
        </is>
      </c>
      <c r="G2176" t="inlineStr">
        <is>
          <t>HALMSTAD</t>
        </is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s="2" t="inlineStr"/>
    </row>
    <row r="2177" ht="15" customHeight="1">
      <c r="A2177" t="inlineStr">
        <is>
          <t>A 47953-2024</t>
        </is>
      </c>
      <c r="B2177" t="inlineStr">
        <is>
          <t>avverkningsanmälan</t>
        </is>
      </c>
      <c r="C2177" t="inlineStr">
        <is>
          <t>Föryngringsavverkning</t>
        </is>
      </c>
      <c r="D2177" s="1" t="n">
        <v>45589</v>
      </c>
      <c r="E2177" s="1" t="n">
        <v>46315</v>
      </c>
      <c r="F2177" t="inlineStr">
        <is>
          <t>HALLANDS LÄN</t>
        </is>
      </c>
      <c r="G2177" t="inlineStr">
        <is>
          <t>LAHOLM</t>
        </is>
      </c>
      <c r="I2177" t="n">
        <v>2.8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s="2" t="inlineStr"/>
    </row>
    <row r="2178" ht="15" customHeight="1">
      <c r="A2178" t="inlineStr">
        <is>
          <t>A 37088-2026</t>
        </is>
      </c>
      <c r="B2178" t="inlineStr">
        <is>
          <t>avverkningsanmälan</t>
        </is>
      </c>
      <c r="C2178" t="inlineStr">
        <is>
          <t>Föryngringsavverkning</t>
        </is>
      </c>
      <c r="D2178" s="1" t="n">
        <v>46273</v>
      </c>
      <c r="E2178" s="1" t="n">
        <v>46315</v>
      </c>
      <c r="F2178" t="inlineStr">
        <is>
          <t>HALLANDS LÄN</t>
        </is>
      </c>
      <c r="G2178" t="inlineStr">
        <is>
          <t>VARBERG</t>
        </is>
      </c>
      <c r="I2178" t="n">
        <v>2.2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s="2" t="inlineStr"/>
    </row>
    <row r="2179" ht="15" customHeight="1">
      <c r="A2179" t="inlineStr">
        <is>
          <t>A 30797-2023</t>
        </is>
      </c>
      <c r="B2179" t="inlineStr">
        <is>
          <t>avverkningsanmälan</t>
        </is>
      </c>
      <c r="C2179" t="inlineStr">
        <is>
          <t>Föryngringsavverkning</t>
        </is>
      </c>
      <c r="D2179" s="1" t="n">
        <v>45112</v>
      </c>
      <c r="E2179" s="1" t="n">
        <v>46315</v>
      </c>
      <c r="F2179" t="inlineStr">
        <is>
          <t>HALLANDS LÄN</t>
        </is>
      </c>
      <c r="G2179" t="inlineStr">
        <is>
          <t>LAHOLM</t>
        </is>
      </c>
      <c r="I2179" t="n">
        <v>1.1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s="2" t="inlineStr"/>
    </row>
    <row r="2180" ht="15" customHeight="1">
      <c r="A2180" t="inlineStr">
        <is>
          <t>A 30798-2023</t>
        </is>
      </c>
      <c r="B2180" t="inlineStr">
        <is>
          <t>avverkningsanmälan</t>
        </is>
      </c>
      <c r="C2180" t="inlineStr">
        <is>
          <t>Föryngringsavverkning</t>
        </is>
      </c>
      <c r="D2180" s="1" t="n">
        <v>45112</v>
      </c>
      <c r="E2180" s="1" t="n">
        <v>46315</v>
      </c>
      <c r="F2180" t="inlineStr">
        <is>
          <t>HALLANDS LÄN</t>
        </is>
      </c>
      <c r="G2180" t="inlineStr">
        <is>
          <t>LAHOLM</t>
        </is>
      </c>
      <c r="I2180" t="n">
        <v>0.5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s="2" t="inlineStr"/>
    </row>
    <row r="2181" ht="15" customHeight="1">
      <c r="A2181" t="inlineStr">
        <is>
          <t>A 15313-2023</t>
        </is>
      </c>
      <c r="B2181" t="inlineStr">
        <is>
          <t>avverkningsanmälan</t>
        </is>
      </c>
      <c r="C2181" t="inlineStr">
        <is>
          <t>Föryngringsavverkning</t>
        </is>
      </c>
      <c r="D2181" s="1" t="n">
        <v>45019</v>
      </c>
      <c r="E2181" s="1" t="n">
        <v>46315</v>
      </c>
      <c r="F2181" t="inlineStr">
        <is>
          <t>HALLANDS LÄN</t>
        </is>
      </c>
      <c r="G2181" t="inlineStr">
        <is>
          <t>HYLTE</t>
        </is>
      </c>
      <c r="I2181" t="n">
        <v>5.9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s="2" t="inlineStr"/>
    </row>
    <row r="2182" ht="15" customHeight="1">
      <c r="A2182" t="inlineStr">
        <is>
          <t>A 37186-2026</t>
        </is>
      </c>
      <c r="B2182" t="inlineStr">
        <is>
          <t>avverkningsanmälan</t>
        </is>
      </c>
      <c r="C2182" t="inlineStr">
        <is>
          <t>Föryngringsavverkning</t>
        </is>
      </c>
      <c r="D2182" s="1" t="n">
        <v>46274</v>
      </c>
      <c r="E2182" s="1" t="n">
        <v>46315</v>
      </c>
      <c r="F2182" t="inlineStr">
        <is>
          <t>HALLANDS LÄN</t>
        </is>
      </c>
      <c r="G2182" t="inlineStr">
        <is>
          <t>HALMSTAD</t>
        </is>
      </c>
      <c r="I2182" t="n">
        <v>2.4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s="2" t="inlineStr"/>
    </row>
    <row r="2183" ht="15" customHeight="1">
      <c r="A2183" t="inlineStr">
        <is>
          <t>A 10263-2022</t>
        </is>
      </c>
      <c r="B2183" t="inlineStr">
        <is>
          <t>avverkningsanmälan</t>
        </is>
      </c>
      <c r="C2183" t="inlineStr">
        <is>
          <t>Föryngringsavverkning</t>
        </is>
      </c>
      <c r="D2183" s="1" t="n">
        <v>44622</v>
      </c>
      <c r="E2183" s="1" t="n">
        <v>46315</v>
      </c>
      <c r="F2183" t="inlineStr">
        <is>
          <t>HALLANDS LÄN</t>
        </is>
      </c>
      <c r="G2183" t="inlineStr">
        <is>
          <t>HALMSTAD</t>
        </is>
      </c>
      <c r="I2183" t="n">
        <v>0.9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s="2" t="inlineStr"/>
    </row>
    <row r="2184" ht="15" customHeight="1">
      <c r="A2184" t="inlineStr">
        <is>
          <t>A 7934-2024</t>
        </is>
      </c>
      <c r="B2184" t="inlineStr">
        <is>
          <t>avverkningsanmälan</t>
        </is>
      </c>
      <c r="C2184" t="inlineStr">
        <is>
          <t>Föryngringsavverkning</t>
        </is>
      </c>
      <c r="D2184" s="1" t="n">
        <v>45350</v>
      </c>
      <c r="E2184" s="1" t="n">
        <v>46315</v>
      </c>
      <c r="F2184" t="inlineStr">
        <is>
          <t>HALLANDS LÄN</t>
        </is>
      </c>
      <c r="G2184" t="inlineStr">
        <is>
          <t>HYLTE</t>
        </is>
      </c>
      <c r="I2184" t="n">
        <v>2.1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s="2" t="inlineStr"/>
    </row>
    <row r="2185" ht="15" customHeight="1">
      <c r="A2185" t="inlineStr">
        <is>
          <t>A 20038-2024</t>
        </is>
      </c>
      <c r="B2185" t="inlineStr">
        <is>
          <t>avverkningsanmälan</t>
        </is>
      </c>
      <c r="C2185" t="inlineStr">
        <is>
          <t>Föryngringsavverkning</t>
        </is>
      </c>
      <c r="D2185" s="1" t="n">
        <v>45434</v>
      </c>
      <c r="E2185" s="1" t="n">
        <v>46315</v>
      </c>
      <c r="F2185" t="inlineStr">
        <is>
          <t>HALLANDS LÄN</t>
        </is>
      </c>
      <c r="G2185" t="inlineStr">
        <is>
          <t>HYLTE</t>
        </is>
      </c>
      <c r="I2185" t="n">
        <v>7.5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s="2" t="inlineStr"/>
    </row>
    <row r="2186" ht="15" customHeight="1">
      <c r="A2186" t="inlineStr">
        <is>
          <t>A 9514-2023</t>
        </is>
      </c>
      <c r="B2186" t="inlineStr">
        <is>
          <t>avverkningsanmälan</t>
        </is>
      </c>
      <c r="C2186" t="inlineStr">
        <is>
          <t>Föryngringsavverkning</t>
        </is>
      </c>
      <c r="D2186" s="1" t="n">
        <v>44981</v>
      </c>
      <c r="E2186" s="1" t="n">
        <v>46315</v>
      </c>
      <c r="F2186" t="inlineStr">
        <is>
          <t>HALLANDS LÄN</t>
        </is>
      </c>
      <c r="G2186" t="inlineStr">
        <is>
          <t>VARBERG</t>
        </is>
      </c>
      <c r="I2186" t="n">
        <v>9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s="2" t="inlineStr"/>
    </row>
    <row r="2187" ht="15" customHeight="1">
      <c r="A2187" t="inlineStr">
        <is>
          <t>A 64488-2021</t>
        </is>
      </c>
      <c r="B2187" t="inlineStr">
        <is>
          <t>avverkningsanmälan</t>
        </is>
      </c>
      <c r="C2187" t="inlineStr">
        <is>
          <t>Föryngringsavverkning</t>
        </is>
      </c>
      <c r="D2187" s="1" t="n">
        <v>44511</v>
      </c>
      <c r="E2187" s="1" t="n">
        <v>46315</v>
      </c>
      <c r="F2187" t="inlineStr">
        <is>
          <t>HALLANDS LÄN</t>
        </is>
      </c>
      <c r="G2187" t="inlineStr">
        <is>
          <t>VARBERG</t>
        </is>
      </c>
      <c r="I2187" t="n">
        <v>0.5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s="2" t="inlineStr"/>
    </row>
    <row r="2188" ht="15" customHeight="1">
      <c r="A2188" t="inlineStr">
        <is>
          <t>A 23242-2024</t>
        </is>
      </c>
      <c r="B2188" t="inlineStr">
        <is>
          <t>avverkningsanmälan</t>
        </is>
      </c>
      <c r="C2188" t="inlineStr">
        <is>
          <t>Föryngringsavverkning</t>
        </is>
      </c>
      <c r="D2188" s="1" t="n">
        <v>45453</v>
      </c>
      <c r="E2188" s="1" t="n">
        <v>46315</v>
      </c>
      <c r="F2188" t="inlineStr">
        <is>
          <t>HALLANDS LÄN</t>
        </is>
      </c>
      <c r="G2188" t="inlineStr">
        <is>
          <t>LAHOLM</t>
        </is>
      </c>
      <c r="H2188" t="inlineStr">
        <is>
          <t>Sveaskog</t>
        </is>
      </c>
      <c r="I2188" t="n">
        <v>0.8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s="2" t="inlineStr"/>
    </row>
    <row r="2189" ht="15" customHeight="1">
      <c r="A2189" t="inlineStr">
        <is>
          <t>A 54008-2023</t>
        </is>
      </c>
      <c r="B2189" t="inlineStr">
        <is>
          <t>avverkningsanmälan</t>
        </is>
      </c>
      <c r="C2189" t="inlineStr">
        <is>
          <t>Föryngringsavverkning</t>
        </is>
      </c>
      <c r="D2189" s="1" t="n">
        <v>45231</v>
      </c>
      <c r="E2189" s="1" t="n">
        <v>46315</v>
      </c>
      <c r="F2189" t="inlineStr">
        <is>
          <t>HALLANDS LÄN</t>
        </is>
      </c>
      <c r="G2189" t="inlineStr">
        <is>
          <t>HALMSTAD</t>
        </is>
      </c>
      <c r="I2189" t="n">
        <v>0.8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s="2" t="inlineStr"/>
    </row>
    <row r="2190" ht="15" customHeight="1">
      <c r="A2190" t="inlineStr">
        <is>
          <t>A 38462-2024</t>
        </is>
      </c>
      <c r="B2190" t="inlineStr">
        <is>
          <t>avverkningsanmälan</t>
        </is>
      </c>
      <c r="C2190" t="inlineStr">
        <is>
          <t>Avverkning för annat ändamål</t>
        </is>
      </c>
      <c r="D2190" s="1" t="n">
        <v>45546</v>
      </c>
      <c r="E2190" s="1" t="n">
        <v>46315</v>
      </c>
      <c r="F2190" t="inlineStr">
        <is>
          <t>HALLANDS LÄN</t>
        </is>
      </c>
      <c r="G2190" t="inlineStr">
        <is>
          <t>FALKENBERG</t>
        </is>
      </c>
      <c r="H2190" t="inlineStr">
        <is>
          <t>Kyrkan</t>
        </is>
      </c>
      <c r="I2190" t="n">
        <v>1.7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s="2" t="inlineStr"/>
    </row>
    <row r="2191" ht="15" customHeight="1">
      <c r="A2191" t="inlineStr">
        <is>
          <t>A 51316-2023</t>
        </is>
      </c>
      <c r="B2191" t="inlineStr">
        <is>
          <t>avverkningsanmälan</t>
        </is>
      </c>
      <c r="C2191" t="inlineStr">
        <is>
          <t>Föryngringsavverkning</t>
        </is>
      </c>
      <c r="D2191" s="1" t="n">
        <v>45219</v>
      </c>
      <c r="E2191" s="1" t="n">
        <v>46315</v>
      </c>
      <c r="F2191" t="inlineStr">
        <is>
          <t>HALLANDS LÄN</t>
        </is>
      </c>
      <c r="G2191" t="inlineStr">
        <is>
          <t>KUNGSBACKA</t>
        </is>
      </c>
      <c r="I2191" t="n">
        <v>1.2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s="2" t="inlineStr"/>
    </row>
    <row r="2192" ht="15" customHeight="1">
      <c r="A2192" t="inlineStr">
        <is>
          <t>A 62170-2023</t>
        </is>
      </c>
      <c r="B2192" t="inlineStr">
        <is>
          <t>avverkningsanmälan</t>
        </is>
      </c>
      <c r="C2192" t="inlineStr">
        <is>
          <t>Föryngringsavverkning</t>
        </is>
      </c>
      <c r="D2192" s="1" t="n">
        <v>45267</v>
      </c>
      <c r="E2192" s="1" t="n">
        <v>46315</v>
      </c>
      <c r="F2192" t="inlineStr">
        <is>
          <t>HALLANDS LÄN</t>
        </is>
      </c>
      <c r="G2192" t="inlineStr">
        <is>
          <t>HALMSTAD</t>
        </is>
      </c>
      <c r="I2192" t="n">
        <v>1.1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s="2" t="inlineStr"/>
    </row>
    <row r="2193" ht="15" customHeight="1">
      <c r="A2193" t="inlineStr">
        <is>
          <t>A 57941-2022</t>
        </is>
      </c>
      <c r="B2193" t="inlineStr">
        <is>
          <t>avverkningsanmälan</t>
        </is>
      </c>
      <c r="C2193" t="inlineStr">
        <is>
          <t>Föryngringsavverkning</t>
        </is>
      </c>
      <c r="D2193" s="1" t="n">
        <v>44900</v>
      </c>
      <c r="E2193" s="1" t="n">
        <v>46315</v>
      </c>
      <c r="F2193" t="inlineStr">
        <is>
          <t>HALLANDS LÄN</t>
        </is>
      </c>
      <c r="G2193" t="inlineStr">
        <is>
          <t>HYLTE</t>
        </is>
      </c>
      <c r="I2193" t="n">
        <v>4.1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s="2" t="inlineStr"/>
    </row>
    <row r="2194" ht="15" customHeight="1">
      <c r="A2194" t="inlineStr">
        <is>
          <t>A 8912-2024</t>
        </is>
      </c>
      <c r="B2194" t="inlineStr">
        <is>
          <t>avverkningsanmälan</t>
        </is>
      </c>
      <c r="C2194" t="inlineStr">
        <is>
          <t>Föryngringsavverkning</t>
        </is>
      </c>
      <c r="D2194" s="1" t="n">
        <v>45357</v>
      </c>
      <c r="E2194" s="1" t="n">
        <v>46315</v>
      </c>
      <c r="F2194" t="inlineStr">
        <is>
          <t>HALLANDS LÄN</t>
        </is>
      </c>
      <c r="G2194" t="inlineStr">
        <is>
          <t>HYLTE</t>
        </is>
      </c>
      <c r="I2194" t="n">
        <v>4.5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s="2" t="inlineStr"/>
    </row>
    <row r="2195" ht="15" customHeight="1">
      <c r="A2195" t="inlineStr">
        <is>
          <t>A 32135-2026</t>
        </is>
      </c>
      <c r="B2195" t="inlineStr">
        <is>
          <t>avverkningsanmälan</t>
        </is>
      </c>
      <c r="C2195" t="inlineStr">
        <is>
          <t>Föryngringsavverkning</t>
        </is>
      </c>
      <c r="D2195" s="1" t="n">
        <v>46234</v>
      </c>
      <c r="E2195" s="1" t="n">
        <v>46315</v>
      </c>
      <c r="F2195" t="inlineStr">
        <is>
          <t>HALLANDS LÄN</t>
        </is>
      </c>
      <c r="G2195" t="inlineStr">
        <is>
          <t>VARBERG</t>
        </is>
      </c>
      <c r="I2195" t="n">
        <v>1.1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s="2" t="inlineStr"/>
    </row>
    <row r="2196" ht="15" customHeight="1">
      <c r="A2196" t="inlineStr">
        <is>
          <t>A 19393-2024</t>
        </is>
      </c>
      <c r="B2196" t="inlineStr">
        <is>
          <t>avverkningsanmälan</t>
        </is>
      </c>
      <c r="C2196" t="inlineStr">
        <is>
          <t>Föryngringsavverkning</t>
        </is>
      </c>
      <c r="D2196" s="1" t="n">
        <v>45429</v>
      </c>
      <c r="E2196" s="1" t="n">
        <v>46315</v>
      </c>
      <c r="F2196" t="inlineStr">
        <is>
          <t>HALLANDS LÄN</t>
        </is>
      </c>
      <c r="G2196" t="inlineStr">
        <is>
          <t>HYLTE</t>
        </is>
      </c>
      <c r="I2196" t="n">
        <v>4.2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s="2" t="inlineStr"/>
    </row>
    <row r="2197" ht="15" customHeight="1">
      <c r="A2197" t="inlineStr">
        <is>
          <t>A 47198-2022</t>
        </is>
      </c>
      <c r="B2197" t="inlineStr">
        <is>
          <t>avverkningsanmälan</t>
        </is>
      </c>
      <c r="C2197" t="inlineStr">
        <is>
          <t>Föryngringsavverkning</t>
        </is>
      </c>
      <c r="D2197" s="1" t="n">
        <v>44852</v>
      </c>
      <c r="E2197" s="1" t="n">
        <v>46315</v>
      </c>
      <c r="F2197" t="inlineStr">
        <is>
          <t>HALLANDS LÄN</t>
        </is>
      </c>
      <c r="G2197" t="inlineStr">
        <is>
          <t>HALMSTAD</t>
        </is>
      </c>
      <c r="I2197" t="n">
        <v>3.7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s="2" t="inlineStr"/>
    </row>
    <row r="2198" ht="15" customHeight="1">
      <c r="A2198" t="inlineStr">
        <is>
          <t>A 26496-2024</t>
        </is>
      </c>
      <c r="B2198" t="inlineStr">
        <is>
          <t>avverkningsanmälan</t>
        </is>
      </c>
      <c r="C2198" t="inlineStr">
        <is>
          <t>Föryngringsavverkning</t>
        </is>
      </c>
      <c r="D2198" s="1" t="n">
        <v>45469</v>
      </c>
      <c r="E2198" s="1" t="n">
        <v>46315</v>
      </c>
      <c r="F2198" t="inlineStr">
        <is>
          <t>HALLANDS LÄN</t>
        </is>
      </c>
      <c r="G2198" t="inlineStr">
        <is>
          <t>VARBERG</t>
        </is>
      </c>
      <c r="I2198" t="n">
        <v>0.4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s="2" t="inlineStr"/>
    </row>
    <row r="2199" ht="15" customHeight="1">
      <c r="A2199" t="inlineStr">
        <is>
          <t>A 13081-2025</t>
        </is>
      </c>
      <c r="B2199" t="inlineStr">
        <is>
          <t>avverkningsanmälan</t>
        </is>
      </c>
      <c r="C2199" t="inlineStr">
        <is>
          <t>Föryngringsavverkning</t>
        </is>
      </c>
      <c r="D2199" s="1" t="n">
        <v>45734</v>
      </c>
      <c r="E2199" s="1" t="n">
        <v>46315</v>
      </c>
      <c r="F2199" t="inlineStr">
        <is>
          <t>HALLANDS LÄN</t>
        </is>
      </c>
      <c r="G2199" t="inlineStr">
        <is>
          <t>VARBERG</t>
        </is>
      </c>
      <c r="I2199" t="n">
        <v>0.5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s="2" t="inlineStr"/>
    </row>
    <row r="2200" ht="15" customHeight="1">
      <c r="A2200" t="inlineStr">
        <is>
          <t>A 31994-2026</t>
        </is>
      </c>
      <c r="B2200" t="inlineStr">
        <is>
          <t>avverkningsanmälan</t>
        </is>
      </c>
      <c r="C2200" t="inlineStr">
        <is>
          <t>Föryngringsavverkning</t>
        </is>
      </c>
      <c r="D2200" s="1" t="n">
        <v>46232</v>
      </c>
      <c r="E2200" s="1" t="n">
        <v>46315</v>
      </c>
      <c r="F2200" t="inlineStr">
        <is>
          <t>HALLANDS LÄN</t>
        </is>
      </c>
      <c r="G2200" t="inlineStr">
        <is>
          <t>KUNGSBACKA</t>
        </is>
      </c>
      <c r="I2200" t="n">
        <v>0.8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s="2" t="inlineStr"/>
    </row>
    <row r="2201" ht="15" customHeight="1">
      <c r="A2201" t="inlineStr">
        <is>
          <t>A 37710-2026</t>
        </is>
      </c>
      <c r="B2201" t="inlineStr">
        <is>
          <t>avverkningsanmälan</t>
        </is>
      </c>
      <c r="C2201" t="inlineStr">
        <is>
          <t>Föryngringsavverkning</t>
        </is>
      </c>
      <c r="D2201" s="1" t="n">
        <v>46279</v>
      </c>
      <c r="E2201" s="1" t="n">
        <v>46315</v>
      </c>
      <c r="F2201" t="inlineStr">
        <is>
          <t>HALLANDS LÄN</t>
        </is>
      </c>
      <c r="G2201" t="inlineStr">
        <is>
          <t>HYLTE</t>
        </is>
      </c>
      <c r="I2201" t="n">
        <v>1.2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s="2" t="inlineStr"/>
    </row>
    <row r="2202" ht="15" customHeight="1">
      <c r="A2202" t="inlineStr">
        <is>
          <t>A 37712-2026</t>
        </is>
      </c>
      <c r="B2202" t="inlineStr">
        <is>
          <t>avverkningsanmälan</t>
        </is>
      </c>
      <c r="C2202" t="inlineStr">
        <is>
          <t>Avverkning för annat ändamål</t>
        </is>
      </c>
      <c r="D2202" s="1" t="n">
        <v>46279</v>
      </c>
      <c r="E2202" s="1" t="n">
        <v>46315</v>
      </c>
      <c r="F2202" t="inlineStr">
        <is>
          <t>HALLANDS LÄN</t>
        </is>
      </c>
      <c r="G2202" t="inlineStr">
        <is>
          <t>HYLTE</t>
        </is>
      </c>
      <c r="I2202" t="n">
        <v>1.3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s="2" t="inlineStr"/>
    </row>
    <row r="2203" ht="15" customHeight="1">
      <c r="A2203" t="inlineStr">
        <is>
          <t>A 4494-2024</t>
        </is>
      </c>
      <c r="B2203" t="inlineStr">
        <is>
          <t>avverkningsanmälan</t>
        </is>
      </c>
      <c r="C2203" t="inlineStr">
        <is>
          <t>Föryngringsavverkning</t>
        </is>
      </c>
      <c r="D2203" s="1" t="n">
        <v>45327</v>
      </c>
      <c r="E2203" s="1" t="n">
        <v>46315</v>
      </c>
      <c r="F2203" t="inlineStr">
        <is>
          <t>HALLANDS LÄN</t>
        </is>
      </c>
      <c r="G2203" t="inlineStr">
        <is>
          <t>LAHOLM</t>
        </is>
      </c>
      <c r="I2203" t="n">
        <v>0.8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s="2" t="inlineStr"/>
    </row>
    <row r="2204" ht="15" customHeight="1">
      <c r="A2204" t="inlineStr">
        <is>
          <t>A 37672-2022</t>
        </is>
      </c>
      <c r="B2204" t="inlineStr">
        <is>
          <t>avverkningsanmälan</t>
        </is>
      </c>
      <c r="C2204" t="inlineStr">
        <is>
          <t>Föryngringsavverkning</t>
        </is>
      </c>
      <c r="D2204" s="1" t="n">
        <v>44810</v>
      </c>
      <c r="E2204" s="1" t="n">
        <v>46315</v>
      </c>
      <c r="F2204" t="inlineStr">
        <is>
          <t>HALLANDS LÄN</t>
        </is>
      </c>
      <c r="G2204" t="inlineStr">
        <is>
          <t>LAHOLM</t>
        </is>
      </c>
      <c r="I2204" t="n">
        <v>2.7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s="2" t="inlineStr"/>
    </row>
    <row r="2205" ht="15" customHeight="1">
      <c r="A2205" t="inlineStr">
        <is>
          <t>A 20562-2023</t>
        </is>
      </c>
      <c r="B2205" t="inlineStr">
        <is>
          <t>avverkningsanmälan</t>
        </is>
      </c>
      <c r="C2205" t="inlineStr">
        <is>
          <t>Föryngringsavverkning</t>
        </is>
      </c>
      <c r="D2205" s="1" t="n">
        <v>45057</v>
      </c>
      <c r="E2205" s="1" t="n">
        <v>46315</v>
      </c>
      <c r="F2205" t="inlineStr">
        <is>
          <t>HALLANDS LÄN</t>
        </is>
      </c>
      <c r="G2205" t="inlineStr">
        <is>
          <t>LAHOLM</t>
        </is>
      </c>
      <c r="I2205" t="n">
        <v>2.5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s="2" t="inlineStr"/>
    </row>
    <row r="2206" ht="15" customHeight="1">
      <c r="A2206" t="inlineStr">
        <is>
          <t>A 59208-2023</t>
        </is>
      </c>
      <c r="B2206" t="inlineStr">
        <is>
          <t>avverkningsanmälan</t>
        </is>
      </c>
      <c r="C2206" t="inlineStr">
        <is>
          <t>Föryngringsavverkning</t>
        </is>
      </c>
      <c r="D2206" s="1" t="n">
        <v>45252</v>
      </c>
      <c r="E2206" s="1" t="n">
        <v>46315</v>
      </c>
      <c r="F2206" t="inlineStr">
        <is>
          <t>HALLANDS LÄN</t>
        </is>
      </c>
      <c r="G2206" t="inlineStr">
        <is>
          <t>FALKENBERG</t>
        </is>
      </c>
      <c r="I2206" t="n">
        <v>0.8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s="2" t="inlineStr"/>
    </row>
    <row r="2207" ht="15" customHeight="1">
      <c r="A2207" t="inlineStr">
        <is>
          <t>A 37711-2026</t>
        </is>
      </c>
      <c r="B2207" t="inlineStr">
        <is>
          <t>avverkningsanmälan</t>
        </is>
      </c>
      <c r="C2207" t="inlineStr">
        <is>
          <t>Avverkning för annat ändamål</t>
        </is>
      </c>
      <c r="D2207" s="1" t="n">
        <v>46279</v>
      </c>
      <c r="E2207" s="1" t="n">
        <v>46315</v>
      </c>
      <c r="F2207" t="inlineStr">
        <is>
          <t>HALLANDS LÄN</t>
        </is>
      </c>
      <c r="G2207" t="inlineStr">
        <is>
          <t>HYLTE</t>
        </is>
      </c>
      <c r="I2207" t="n">
        <v>1.3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s="2" t="inlineStr"/>
    </row>
    <row r="2208" ht="15" customHeight="1">
      <c r="A2208" t="inlineStr">
        <is>
          <t>A 2082-2026</t>
        </is>
      </c>
      <c r="B2208" t="inlineStr">
        <is>
          <t>avverkningsanmälan</t>
        </is>
      </c>
      <c r="C2208" t="inlineStr">
        <is>
          <t>Föryngringsavverkning</t>
        </is>
      </c>
      <c r="D2208" s="1" t="n">
        <v>46036</v>
      </c>
      <c r="E2208" s="1" t="n">
        <v>46315</v>
      </c>
      <c r="F2208" t="inlineStr">
        <is>
          <t>HALLANDS LÄN</t>
        </is>
      </c>
      <c r="G2208" t="inlineStr">
        <is>
          <t>HYLTE</t>
        </is>
      </c>
      <c r="I2208" t="n">
        <v>6.1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s="2" t="inlineStr"/>
    </row>
    <row r="2209" ht="15" customHeight="1">
      <c r="A2209" t="inlineStr">
        <is>
          <t>A 50633-2024</t>
        </is>
      </c>
      <c r="B2209" t="inlineStr">
        <is>
          <t>avverkningsanmälan</t>
        </is>
      </c>
      <c r="C2209" t="inlineStr">
        <is>
          <t>Föryngringsavverkning</t>
        </is>
      </c>
      <c r="D2209" s="1" t="n">
        <v>45601</v>
      </c>
      <c r="E2209" s="1" t="n">
        <v>46315</v>
      </c>
      <c r="F2209" t="inlineStr">
        <is>
          <t>HALLANDS LÄN</t>
        </is>
      </c>
      <c r="G2209" t="inlineStr">
        <is>
          <t>FALKENBERG</t>
        </is>
      </c>
      <c r="I2209" t="n">
        <v>1.6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s="2" t="inlineStr"/>
    </row>
    <row r="2210" ht="15" customHeight="1">
      <c r="A2210" t="inlineStr">
        <is>
          <t>A 32244-2026</t>
        </is>
      </c>
      <c r="B2210" t="inlineStr">
        <is>
          <t>avverkningsanmälan</t>
        </is>
      </c>
      <c r="C2210" t="inlineStr">
        <is>
          <t>Föryngringsavverkning</t>
        </is>
      </c>
      <c r="D2210" s="1" t="n">
        <v>46237</v>
      </c>
      <c r="E2210" s="1" t="n">
        <v>46315</v>
      </c>
      <c r="F2210" t="inlineStr">
        <is>
          <t>HALLANDS LÄN</t>
        </is>
      </c>
      <c r="G2210" t="inlineStr">
        <is>
          <t>LAHOLM</t>
        </is>
      </c>
      <c r="I2210" t="n">
        <v>5.9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s="2" t="inlineStr"/>
    </row>
    <row r="2211" ht="15" customHeight="1">
      <c r="A2211" t="inlineStr">
        <is>
          <t>A 32234-2026</t>
        </is>
      </c>
      <c r="B2211" t="inlineStr">
        <is>
          <t>avverkningsanmälan</t>
        </is>
      </c>
      <c r="C2211" t="inlineStr">
        <is>
          <t>Föryngringsavverkning</t>
        </is>
      </c>
      <c r="D2211" s="1" t="n">
        <v>46237</v>
      </c>
      <c r="E2211" s="1" t="n">
        <v>46315</v>
      </c>
      <c r="F2211" t="inlineStr">
        <is>
          <t>HALLANDS LÄN</t>
        </is>
      </c>
      <c r="G2211" t="inlineStr">
        <is>
          <t>VARBERG</t>
        </is>
      </c>
      <c r="I2211" t="n">
        <v>10.4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s="2" t="inlineStr"/>
    </row>
    <row r="2212" ht="15" customHeight="1">
      <c r="A2212" t="inlineStr">
        <is>
          <t>A 3447-2023</t>
        </is>
      </c>
      <c r="B2212" t="inlineStr">
        <is>
          <t>avverkningsanmälan</t>
        </is>
      </c>
      <c r="C2212" t="inlineStr">
        <is>
          <t>Föryngringsavverkning</t>
        </is>
      </c>
      <c r="D2212" s="1" t="n">
        <v>44949</v>
      </c>
      <c r="E2212" s="1" t="n">
        <v>46315</v>
      </c>
      <c r="F2212" t="inlineStr">
        <is>
          <t>HALLANDS LÄN</t>
        </is>
      </c>
      <c r="G2212" t="inlineStr">
        <is>
          <t>LAHOLM</t>
        </is>
      </c>
      <c r="I2212" t="n">
        <v>1.9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s="2" t="inlineStr"/>
    </row>
    <row r="2213" ht="15" customHeight="1">
      <c r="A2213" t="inlineStr">
        <is>
          <t>A 8230-2023</t>
        </is>
      </c>
      <c r="B2213" t="inlineStr">
        <is>
          <t>avverkningsanmälan</t>
        </is>
      </c>
      <c r="C2213" t="inlineStr">
        <is>
          <t>Föryngringsavverkning</t>
        </is>
      </c>
      <c r="D2213" s="1" t="n">
        <v>44974</v>
      </c>
      <c r="E2213" s="1" t="n">
        <v>46315</v>
      </c>
      <c r="F2213" t="inlineStr">
        <is>
          <t>HALLANDS LÄN</t>
        </is>
      </c>
      <c r="G2213" t="inlineStr">
        <is>
          <t>HALMSTAD</t>
        </is>
      </c>
      <c r="I2213" t="n">
        <v>0.6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s="2" t="inlineStr"/>
    </row>
    <row r="2214" ht="15" customHeight="1">
      <c r="A2214" t="inlineStr">
        <is>
          <t>A 4005-2024</t>
        </is>
      </c>
      <c r="B2214" t="inlineStr">
        <is>
          <t>avverkningsanmälan</t>
        </is>
      </c>
      <c r="C2214" t="inlineStr">
        <is>
          <t>Föryngringsavverkning</t>
        </is>
      </c>
      <c r="D2214" s="1" t="n">
        <v>45323</v>
      </c>
      <c r="E2214" s="1" t="n">
        <v>46315</v>
      </c>
      <c r="F2214" t="inlineStr">
        <is>
          <t>HALLANDS LÄN</t>
        </is>
      </c>
      <c r="G2214" t="inlineStr">
        <is>
          <t>HALMSTAD</t>
        </is>
      </c>
      <c r="I2214" t="n">
        <v>0.5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s="2" t="inlineStr"/>
    </row>
    <row r="2215" ht="15" customHeight="1">
      <c r="A2215" t="inlineStr">
        <is>
          <t>A 4062-2024</t>
        </is>
      </c>
      <c r="B2215" t="inlineStr">
        <is>
          <t>avverkningsanmälan</t>
        </is>
      </c>
      <c r="C2215" t="inlineStr">
        <is>
          <t>Föryngringsavverkning</t>
        </is>
      </c>
      <c r="D2215" s="1" t="n">
        <v>45323</v>
      </c>
      <c r="E2215" s="1" t="n">
        <v>46315</v>
      </c>
      <c r="F2215" t="inlineStr">
        <is>
          <t>HALLANDS LÄN</t>
        </is>
      </c>
      <c r="G2215" t="inlineStr">
        <is>
          <t>FALKENBERG</t>
        </is>
      </c>
      <c r="I2215" t="n">
        <v>0.7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s="2" t="inlineStr"/>
    </row>
    <row r="2216" ht="15" customHeight="1">
      <c r="A2216" t="inlineStr">
        <is>
          <t>A 56260-2024</t>
        </is>
      </c>
      <c r="B2216" t="inlineStr">
        <is>
          <t>avverkningsanmälan</t>
        </is>
      </c>
      <c r="C2216" t="inlineStr">
        <is>
          <t>Föryngringsavverkning</t>
        </is>
      </c>
      <c r="D2216" s="1" t="n">
        <v>45624</v>
      </c>
      <c r="E2216" s="1" t="n">
        <v>46315</v>
      </c>
      <c r="F2216" t="inlineStr">
        <is>
          <t>HALLANDS LÄN</t>
        </is>
      </c>
      <c r="G2216" t="inlineStr">
        <is>
          <t>FALKENBERG</t>
        </is>
      </c>
      <c r="I2216" t="n">
        <v>3.1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s="2" t="inlineStr"/>
    </row>
    <row r="2217" ht="15" customHeight="1">
      <c r="A2217" t="inlineStr">
        <is>
          <t>A 6833-2022</t>
        </is>
      </c>
      <c r="B2217" t="inlineStr">
        <is>
          <t>avverkningsanmälan</t>
        </is>
      </c>
      <c r="C2217" t="inlineStr">
        <is>
          <t>Föryngringsavverkning</t>
        </is>
      </c>
      <c r="D2217" s="1" t="n">
        <v>44602</v>
      </c>
      <c r="E2217" s="1" t="n">
        <v>46315</v>
      </c>
      <c r="F2217" t="inlineStr">
        <is>
          <t>HALLANDS LÄN</t>
        </is>
      </c>
      <c r="G2217" t="inlineStr">
        <is>
          <t>LAHOLM</t>
        </is>
      </c>
      <c r="I2217" t="n">
        <v>1.4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s="2" t="inlineStr"/>
    </row>
    <row r="2218" ht="15" customHeight="1">
      <c r="A2218" t="inlineStr">
        <is>
          <t>A 15315-2022</t>
        </is>
      </c>
      <c r="B2218" t="inlineStr">
        <is>
          <t>avverkningsanmälan</t>
        </is>
      </c>
      <c r="C2218" t="inlineStr">
        <is>
          <t>Föryngringsavverkning</t>
        </is>
      </c>
      <c r="D2218" s="1" t="n">
        <v>44659</v>
      </c>
      <c r="E2218" s="1" t="n">
        <v>46315</v>
      </c>
      <c r="F2218" t="inlineStr">
        <is>
          <t>HALLANDS LÄN</t>
        </is>
      </c>
      <c r="G2218" t="inlineStr">
        <is>
          <t>VARBERG</t>
        </is>
      </c>
      <c r="I2218" t="n">
        <v>4.2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s="2" t="inlineStr"/>
    </row>
    <row r="2219" ht="15" customHeight="1">
      <c r="A2219" t="inlineStr">
        <is>
          <t>A 44441-2024</t>
        </is>
      </c>
      <c r="B2219" t="inlineStr">
        <is>
          <t>avverkningsanmälan</t>
        </is>
      </c>
      <c r="C2219" t="inlineStr">
        <is>
          <t>Föryngringsavverkning</t>
        </is>
      </c>
      <c r="D2219" s="1" t="n">
        <v>45574</v>
      </c>
      <c r="E2219" s="1" t="n">
        <v>46315</v>
      </c>
      <c r="F2219" t="inlineStr">
        <is>
          <t>HALLANDS LÄN</t>
        </is>
      </c>
      <c r="G2219" t="inlineStr">
        <is>
          <t>VARBERG</t>
        </is>
      </c>
      <c r="I2219" t="n">
        <v>2.1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s="2" t="inlineStr"/>
    </row>
    <row r="2220" ht="15" customHeight="1">
      <c r="A2220" t="inlineStr">
        <is>
          <t>A 14331-2022</t>
        </is>
      </c>
      <c r="B2220" t="inlineStr">
        <is>
          <t>avverkningsanmälan</t>
        </is>
      </c>
      <c r="C2220" t="inlineStr">
        <is>
          <t>Föryngringsavverkning</t>
        </is>
      </c>
      <c r="D2220" s="1" t="n">
        <v>44652</v>
      </c>
      <c r="E2220" s="1" t="n">
        <v>46315</v>
      </c>
      <c r="F2220" t="inlineStr">
        <is>
          <t>HALLANDS LÄN</t>
        </is>
      </c>
      <c r="G2220" t="inlineStr">
        <is>
          <t>FALKENBERG</t>
        </is>
      </c>
      <c r="I2220" t="n">
        <v>1.5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s="2" t="inlineStr"/>
    </row>
    <row r="2221" ht="15" customHeight="1">
      <c r="A2221" t="inlineStr">
        <is>
          <t>A 58080-2024</t>
        </is>
      </c>
      <c r="B2221" t="inlineStr">
        <is>
          <t>avverkningsanmälan</t>
        </is>
      </c>
      <c r="C2221" t="inlineStr">
        <is>
          <t>Föryngringsavverkning</t>
        </is>
      </c>
      <c r="D2221" s="1" t="n">
        <v>45632</v>
      </c>
      <c r="E2221" s="1" t="n">
        <v>46315</v>
      </c>
      <c r="F2221" t="inlineStr">
        <is>
          <t>HALLANDS LÄN</t>
        </is>
      </c>
      <c r="G2221" t="inlineStr">
        <is>
          <t>HALMSTAD</t>
        </is>
      </c>
      <c r="I2221" t="n">
        <v>1.9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s="2" t="inlineStr"/>
    </row>
    <row r="2222" ht="15" customHeight="1">
      <c r="A2222" t="inlineStr">
        <is>
          <t>A 20647-2023</t>
        </is>
      </c>
      <c r="B2222" t="inlineStr">
        <is>
          <t>avverkningsanmälan</t>
        </is>
      </c>
      <c r="C2222" t="inlineStr">
        <is>
          <t>Föryngringsavverkning</t>
        </is>
      </c>
      <c r="D2222" s="1" t="n">
        <v>45058</v>
      </c>
      <c r="E2222" s="1" t="n">
        <v>46315</v>
      </c>
      <c r="F2222" t="inlineStr">
        <is>
          <t>HALLANDS LÄN</t>
        </is>
      </c>
      <c r="G2222" t="inlineStr">
        <is>
          <t>VARBERG</t>
        </is>
      </c>
      <c r="I2222" t="n">
        <v>5.3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s="2" t="inlineStr"/>
    </row>
    <row r="2223" ht="15" customHeight="1">
      <c r="A2223" t="inlineStr">
        <is>
          <t>A 3739-2025</t>
        </is>
      </c>
      <c r="B2223" t="inlineStr">
        <is>
          <t>avverkningsanmälan</t>
        </is>
      </c>
      <c r="C2223" t="inlineStr">
        <is>
          <t>Föryngringsavverkning</t>
        </is>
      </c>
      <c r="D2223" s="1" t="n">
        <v>45681</v>
      </c>
      <c r="E2223" s="1" t="n">
        <v>46315</v>
      </c>
      <c r="F2223" t="inlineStr">
        <is>
          <t>HALLANDS LÄN</t>
        </is>
      </c>
      <c r="G2223" t="inlineStr">
        <is>
          <t>FALKENBERG</t>
        </is>
      </c>
      <c r="I2223" t="n">
        <v>1.2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s="2" t="inlineStr"/>
    </row>
    <row r="2224" ht="15" customHeight="1">
      <c r="A2224" t="inlineStr">
        <is>
          <t>A 3838-2025</t>
        </is>
      </c>
      <c r="B2224" t="inlineStr">
        <is>
          <t>avverkningsanmälan</t>
        </is>
      </c>
      <c r="C2224" t="inlineStr">
        <is>
          <t>Föryngringsavverkning</t>
        </is>
      </c>
      <c r="D2224" s="1" t="n">
        <v>45682</v>
      </c>
      <c r="E2224" s="1" t="n">
        <v>46315</v>
      </c>
      <c r="F2224" t="inlineStr">
        <is>
          <t>HALLANDS LÄN</t>
        </is>
      </c>
      <c r="G2224" t="inlineStr">
        <is>
          <t>FALKENBERG</t>
        </is>
      </c>
      <c r="I2224" t="n">
        <v>2.7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s="2" t="inlineStr"/>
    </row>
    <row r="2225" ht="15" customHeight="1">
      <c r="A2225" t="inlineStr">
        <is>
          <t>A 3839-2025</t>
        </is>
      </c>
      <c r="B2225" t="inlineStr">
        <is>
          <t>avverkningsanmälan</t>
        </is>
      </c>
      <c r="C2225" t="inlineStr">
        <is>
          <t>Föryngringsavverkning</t>
        </is>
      </c>
      <c r="D2225" s="1" t="n">
        <v>45682</v>
      </c>
      <c r="E2225" s="1" t="n">
        <v>46315</v>
      </c>
      <c r="F2225" t="inlineStr">
        <is>
          <t>HALLANDS LÄN</t>
        </is>
      </c>
      <c r="G2225" t="inlineStr">
        <is>
          <t>FALKENBERG</t>
        </is>
      </c>
      <c r="I2225" t="n">
        <v>2.5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s="2" t="inlineStr"/>
    </row>
    <row r="2226" ht="15" customHeight="1">
      <c r="A2226" t="inlineStr">
        <is>
          <t>A 18329-2025</t>
        </is>
      </c>
      <c r="B2226" t="inlineStr">
        <is>
          <t>avverkningsanmälan</t>
        </is>
      </c>
      <c r="C2226" t="inlineStr">
        <is>
          <t>Föryngringsavverkning</t>
        </is>
      </c>
      <c r="D2226" s="1" t="n">
        <v>45762</v>
      </c>
      <c r="E2226" s="1" t="n">
        <v>46315</v>
      </c>
      <c r="F2226" t="inlineStr">
        <is>
          <t>HALLANDS LÄN</t>
        </is>
      </c>
      <c r="G2226" t="inlineStr">
        <is>
          <t>VARBERG</t>
        </is>
      </c>
      <c r="I2226" t="n">
        <v>3.7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s="2" t="inlineStr"/>
    </row>
    <row r="2227" ht="15" customHeight="1">
      <c r="A2227" t="inlineStr">
        <is>
          <t>A 22146-2022</t>
        </is>
      </c>
      <c r="B2227" t="inlineStr">
        <is>
          <t>avverkningsanmälan</t>
        </is>
      </c>
      <c r="C2227" t="inlineStr">
        <is>
          <t>Föryngringsavverkning</t>
        </is>
      </c>
      <c r="D2227" s="1" t="n">
        <v>44712</v>
      </c>
      <c r="E2227" s="1" t="n">
        <v>46315</v>
      </c>
      <c r="F2227" t="inlineStr">
        <is>
          <t>HALLANDS LÄN</t>
        </is>
      </c>
      <c r="G2227" t="inlineStr">
        <is>
          <t>HALMSTAD</t>
        </is>
      </c>
      <c r="I2227" t="n">
        <v>5.4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s="2" t="inlineStr"/>
    </row>
    <row r="2228" ht="15" customHeight="1">
      <c r="A2228" t="inlineStr">
        <is>
          <t>A 57493-2023</t>
        </is>
      </c>
      <c r="B2228" t="inlineStr">
        <is>
          <t>avverkningsanmälan</t>
        </is>
      </c>
      <c r="C2228" t="inlineStr">
        <is>
          <t>Föryngringsavverkning</t>
        </is>
      </c>
      <c r="D2228" s="1" t="n">
        <v>45246</v>
      </c>
      <c r="E2228" s="1" t="n">
        <v>46315</v>
      </c>
      <c r="F2228" t="inlineStr">
        <is>
          <t>HALLANDS LÄN</t>
        </is>
      </c>
      <c r="G2228" t="inlineStr">
        <is>
          <t>FALKENBERG</t>
        </is>
      </c>
      <c r="I2228" t="n">
        <v>1.6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s="2" t="inlineStr"/>
    </row>
    <row r="2229" ht="15" customHeight="1">
      <c r="A2229" t="inlineStr">
        <is>
          <t>A 2379-2025</t>
        </is>
      </c>
      <c r="B2229" t="inlineStr">
        <is>
          <t>avverkningsanmälan</t>
        </is>
      </c>
      <c r="C2229" t="inlineStr">
        <is>
          <t>Föryngringsavverkning</t>
        </is>
      </c>
      <c r="D2229" s="1" t="n">
        <v>45673</v>
      </c>
      <c r="E2229" s="1" t="n">
        <v>46315</v>
      </c>
      <c r="F2229" t="inlineStr">
        <is>
          <t>HALLANDS LÄN</t>
        </is>
      </c>
      <c r="G2229" t="inlineStr">
        <is>
          <t>FALKENBERG</t>
        </is>
      </c>
      <c r="I2229" t="n">
        <v>1.1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s="2" t="inlineStr"/>
    </row>
    <row r="2230" ht="15" customHeight="1">
      <c r="A2230" t="inlineStr">
        <is>
          <t>A 37974-2026</t>
        </is>
      </c>
      <c r="B2230" t="inlineStr">
        <is>
          <t>avverkningsanmälan</t>
        </is>
      </c>
      <c r="C2230" t="inlineStr">
        <is>
          <t>Föryngringsavverkning</t>
        </is>
      </c>
      <c r="D2230" s="1" t="n">
        <v>46280</v>
      </c>
      <c r="E2230" s="1" t="n">
        <v>46315</v>
      </c>
      <c r="F2230" t="inlineStr">
        <is>
          <t>HALLANDS LÄN</t>
        </is>
      </c>
      <c r="G2230" t="inlineStr">
        <is>
          <t>VARBERG</t>
        </is>
      </c>
      <c r="I2230" t="n">
        <v>1.8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s="2" t="inlineStr"/>
    </row>
    <row r="2231" ht="15" customHeight="1">
      <c r="A2231" t="inlineStr">
        <is>
          <t>A 13096-2023</t>
        </is>
      </c>
      <c r="B2231" t="inlineStr">
        <is>
          <t>avverkningsanmälan</t>
        </is>
      </c>
      <c r="C2231" t="inlineStr">
        <is>
          <t>Föryngringsavverkning</t>
        </is>
      </c>
      <c r="D2231" s="1" t="n">
        <v>45002</v>
      </c>
      <c r="E2231" s="1" t="n">
        <v>46315</v>
      </c>
      <c r="F2231" t="inlineStr">
        <is>
          <t>HALLANDS LÄN</t>
        </is>
      </c>
      <c r="G2231" t="inlineStr">
        <is>
          <t>HYLTE</t>
        </is>
      </c>
      <c r="I2231" t="n">
        <v>2.1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s="2" t="inlineStr"/>
    </row>
    <row r="2232" ht="15" customHeight="1">
      <c r="A2232" t="inlineStr">
        <is>
          <t>A 19572-2023</t>
        </is>
      </c>
      <c r="B2232" t="inlineStr">
        <is>
          <t>avverkningsanmälan</t>
        </is>
      </c>
      <c r="C2232" t="inlineStr">
        <is>
          <t>Föryngringsavverkning</t>
        </is>
      </c>
      <c r="D2232" s="1" t="n">
        <v>45050</v>
      </c>
      <c r="E2232" s="1" t="n">
        <v>46315</v>
      </c>
      <c r="F2232" t="inlineStr">
        <is>
          <t>HALLANDS LÄN</t>
        </is>
      </c>
      <c r="G2232" t="inlineStr">
        <is>
          <t>HALMSTAD</t>
        </is>
      </c>
      <c r="I2232" t="n">
        <v>1.8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s="2" t="inlineStr"/>
    </row>
    <row r="2233" ht="15" customHeight="1">
      <c r="A2233" t="inlineStr">
        <is>
          <t>A 37720-2026</t>
        </is>
      </c>
      <c r="B2233" t="inlineStr">
        <is>
          <t>avverkningsanmälan</t>
        </is>
      </c>
      <c r="C2233" t="inlineStr">
        <is>
          <t>Föryngringsavverkning</t>
        </is>
      </c>
      <c r="D2233" s="1" t="n">
        <v>46279</v>
      </c>
      <c r="E2233" s="1" t="n">
        <v>46315</v>
      </c>
      <c r="F2233" t="inlineStr">
        <is>
          <t>HALLANDS LÄN</t>
        </is>
      </c>
      <c r="G2233" t="inlineStr">
        <is>
          <t>LAHOLM</t>
        </is>
      </c>
      <c r="I2233" t="n">
        <v>2.1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s="2" t="inlineStr"/>
    </row>
    <row r="2234" ht="15" customHeight="1">
      <c r="A2234" t="inlineStr">
        <is>
          <t>A 3727-2024</t>
        </is>
      </c>
      <c r="B2234" t="inlineStr">
        <is>
          <t>avverkningsanmälan</t>
        </is>
      </c>
      <c r="C2234" t="inlineStr">
        <is>
          <t>Föryngringsavverkning</t>
        </is>
      </c>
      <c r="D2234" s="1" t="n">
        <v>45321</v>
      </c>
      <c r="E2234" s="1" t="n">
        <v>46315</v>
      </c>
      <c r="F2234" t="inlineStr">
        <is>
          <t>HALLANDS LÄN</t>
        </is>
      </c>
      <c r="G2234" t="inlineStr">
        <is>
          <t>FALKENBERG</t>
        </is>
      </c>
      <c r="I2234" t="n">
        <v>1.1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s="2" t="inlineStr"/>
    </row>
    <row r="2235" ht="15" customHeight="1">
      <c r="A2235" t="inlineStr">
        <is>
          <t>A 4119-2025</t>
        </is>
      </c>
      <c r="B2235" t="inlineStr">
        <is>
          <t>avverkningsanmälan</t>
        </is>
      </c>
      <c r="C2235" t="inlineStr">
        <is>
          <t>Föryngringsavverkning</t>
        </is>
      </c>
      <c r="D2235" s="1" t="n">
        <v>45684</v>
      </c>
      <c r="E2235" s="1" t="n">
        <v>46315</v>
      </c>
      <c r="F2235" t="inlineStr">
        <is>
          <t>HALLANDS LÄN</t>
        </is>
      </c>
      <c r="G2235" t="inlineStr">
        <is>
          <t>HYLTE</t>
        </is>
      </c>
      <c r="I2235" t="n">
        <v>2.5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s="2" t="inlineStr"/>
    </row>
    <row r="2236" ht="15" customHeight="1">
      <c r="A2236" t="inlineStr">
        <is>
          <t>A 32216-2026</t>
        </is>
      </c>
      <c r="B2236" t="inlineStr">
        <is>
          <t>avverkningsanmälan</t>
        </is>
      </c>
      <c r="C2236" t="inlineStr">
        <is>
          <t>Föryngringsavverkning</t>
        </is>
      </c>
      <c r="D2236" s="1" t="n">
        <v>46237</v>
      </c>
      <c r="E2236" s="1" t="n">
        <v>46315</v>
      </c>
      <c r="F2236" t="inlineStr">
        <is>
          <t>HALLANDS LÄN</t>
        </is>
      </c>
      <c r="G2236" t="inlineStr">
        <is>
          <t>LAHOLM</t>
        </is>
      </c>
      <c r="I2236" t="n">
        <v>1.1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s="2" t="inlineStr"/>
    </row>
    <row r="2237" ht="15" customHeight="1">
      <c r="A2237" t="inlineStr">
        <is>
          <t>A 71891-2021</t>
        </is>
      </c>
      <c r="B2237" t="inlineStr">
        <is>
          <t>avverkningsanmälan</t>
        </is>
      </c>
      <c r="C2237" t="inlineStr">
        <is>
          <t>Föryngringsavverkning</t>
        </is>
      </c>
      <c r="D2237" s="1" t="n">
        <v>44543</v>
      </c>
      <c r="E2237" s="1" t="n">
        <v>46315</v>
      </c>
      <c r="F2237" t="inlineStr">
        <is>
          <t>HALLANDS LÄN</t>
        </is>
      </c>
      <c r="G2237" t="inlineStr">
        <is>
          <t>KUNGSBACKA</t>
        </is>
      </c>
      <c r="I2237" t="n">
        <v>4.4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s="2" t="inlineStr"/>
    </row>
    <row r="2238" ht="15" customHeight="1">
      <c r="A2238" t="inlineStr">
        <is>
          <t>A 47478-2024</t>
        </is>
      </c>
      <c r="B2238" t="inlineStr">
        <is>
          <t>avverkningsanmälan</t>
        </is>
      </c>
      <c r="C2238" t="inlineStr">
        <is>
          <t>Föryngringsavverkning</t>
        </is>
      </c>
      <c r="D2238" s="1" t="n">
        <v>45587</v>
      </c>
      <c r="E2238" s="1" t="n">
        <v>46315</v>
      </c>
      <c r="F2238" t="inlineStr">
        <is>
          <t>HALLANDS LÄN</t>
        </is>
      </c>
      <c r="G2238" t="inlineStr">
        <is>
          <t>VARBERG</t>
        </is>
      </c>
      <c r="H2238" t="inlineStr">
        <is>
          <t>Kyrkan</t>
        </is>
      </c>
      <c r="I2238" t="n">
        <v>2.5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s="2" t="inlineStr"/>
    </row>
    <row r="2239" ht="15" customHeight="1">
      <c r="A2239" t="inlineStr">
        <is>
          <t>A 38099-2026</t>
        </is>
      </c>
      <c r="B2239" t="inlineStr">
        <is>
          <t>avverkningsanmälan</t>
        </is>
      </c>
      <c r="C2239" t="inlineStr">
        <is>
          <t>Föryngringsavverkning</t>
        </is>
      </c>
      <c r="D2239" s="1" t="n">
        <v>46281</v>
      </c>
      <c r="E2239" s="1" t="n">
        <v>46315</v>
      </c>
      <c r="F2239" t="inlineStr">
        <is>
          <t>HALLANDS LÄN</t>
        </is>
      </c>
      <c r="G2239" t="inlineStr">
        <is>
          <t>VARBERG</t>
        </is>
      </c>
      <c r="I2239" t="n">
        <v>2.9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s="2" t="inlineStr"/>
    </row>
    <row r="2240" ht="15" customHeight="1">
      <c r="A2240" t="inlineStr">
        <is>
          <t>A 29701-2026</t>
        </is>
      </c>
      <c r="B2240" t="inlineStr">
        <is>
          <t>avverkningsanmälan</t>
        </is>
      </c>
      <c r="C2240" t="inlineStr">
        <is>
          <t>Föryngringsavverkning</t>
        </is>
      </c>
      <c r="D2240" s="1" t="n">
        <v>46204</v>
      </c>
      <c r="E2240" s="1" t="n">
        <v>46315</v>
      </c>
      <c r="F2240" t="inlineStr">
        <is>
          <t>HALLANDS LÄN</t>
        </is>
      </c>
      <c r="G2240" t="inlineStr">
        <is>
          <t>FALKENBERG</t>
        </is>
      </c>
      <c r="I2240" t="n">
        <v>0.9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s="2" t="inlineStr"/>
    </row>
    <row r="2241" ht="15" customHeight="1">
      <c r="A2241" t="inlineStr">
        <is>
          <t>A 25830-2023</t>
        </is>
      </c>
      <c r="B2241" t="inlineStr">
        <is>
          <t>avverkningsanmälan</t>
        </is>
      </c>
      <c r="C2241" t="inlineStr">
        <is>
          <t>Föryngringsavverkning</t>
        </is>
      </c>
      <c r="D2241" s="1" t="n">
        <v>45090</v>
      </c>
      <c r="E2241" s="1" t="n">
        <v>46315</v>
      </c>
      <c r="F2241" t="inlineStr">
        <is>
          <t>HALLANDS LÄN</t>
        </is>
      </c>
      <c r="G2241" t="inlineStr">
        <is>
          <t>VARBERG</t>
        </is>
      </c>
      <c r="I2241" t="n">
        <v>0.6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s="2" t="inlineStr"/>
    </row>
    <row r="2242" ht="15" customHeight="1">
      <c r="A2242" t="inlineStr">
        <is>
          <t>A 30093-2023</t>
        </is>
      </c>
      <c r="B2242" t="inlineStr">
        <is>
          <t>avverkningsanmälan</t>
        </is>
      </c>
      <c r="C2242" t="inlineStr">
        <is>
          <t>Föryngringsavverkning</t>
        </is>
      </c>
      <c r="D2242" s="1" t="n">
        <v>45099</v>
      </c>
      <c r="E2242" s="1" t="n">
        <v>46315</v>
      </c>
      <c r="F2242" t="inlineStr">
        <is>
          <t>HALLANDS LÄN</t>
        </is>
      </c>
      <c r="G2242" t="inlineStr">
        <is>
          <t>HALMSTAD</t>
        </is>
      </c>
      <c r="I2242" t="n">
        <v>0.7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s="2" t="inlineStr"/>
    </row>
    <row r="2243" ht="15" customHeight="1">
      <c r="A2243" t="inlineStr">
        <is>
          <t>A 6793-2024</t>
        </is>
      </c>
      <c r="B2243" t="inlineStr">
        <is>
          <t>avverkningsanmälan</t>
        </is>
      </c>
      <c r="C2243" t="inlineStr">
        <is>
          <t>Föryngringsavverkning</t>
        </is>
      </c>
      <c r="D2243" s="1" t="n">
        <v>45342</v>
      </c>
      <c r="E2243" s="1" t="n">
        <v>46315</v>
      </c>
      <c r="F2243" t="inlineStr">
        <is>
          <t>HALLANDS LÄN</t>
        </is>
      </c>
      <c r="G2243" t="inlineStr">
        <is>
          <t>HYLTE</t>
        </is>
      </c>
      <c r="H2243" t="inlineStr">
        <is>
          <t>Bergvik skog väst AB</t>
        </is>
      </c>
      <c r="I2243" t="n">
        <v>2.6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s="2" t="inlineStr"/>
    </row>
    <row r="2244" ht="15" customHeight="1">
      <c r="A2244" t="inlineStr">
        <is>
          <t>A 28491-2024</t>
        </is>
      </c>
      <c r="B2244" t="inlineStr">
        <is>
          <t>avverkningsanmälan</t>
        </is>
      </c>
      <c r="C2244" t="inlineStr">
        <is>
          <t>Föryngringsavverkning</t>
        </is>
      </c>
      <c r="D2244" s="1" t="n">
        <v>45477</v>
      </c>
      <c r="E2244" s="1" t="n">
        <v>46315</v>
      </c>
      <c r="F2244" t="inlineStr">
        <is>
          <t>HALLANDS LÄN</t>
        </is>
      </c>
      <c r="G2244" t="inlineStr">
        <is>
          <t>HYLTE</t>
        </is>
      </c>
      <c r="I2244" t="n">
        <v>2.7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s="2" t="inlineStr"/>
    </row>
    <row r="2245" ht="15" customHeight="1">
      <c r="A2245" t="inlineStr">
        <is>
          <t>A 8900-2024</t>
        </is>
      </c>
      <c r="B2245" t="inlineStr">
        <is>
          <t>avverkningsanmälan</t>
        </is>
      </c>
      <c r="C2245" t="inlineStr">
        <is>
          <t>Föryngringsavverkning</t>
        </is>
      </c>
      <c r="D2245" s="1" t="n">
        <v>45357</v>
      </c>
      <c r="E2245" s="1" t="n">
        <v>46315</v>
      </c>
      <c r="F2245" t="inlineStr">
        <is>
          <t>HALLANDS LÄN</t>
        </is>
      </c>
      <c r="G2245" t="inlineStr">
        <is>
          <t>FALKENBERG</t>
        </is>
      </c>
      <c r="I2245" t="n">
        <v>2.2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s="2" t="inlineStr"/>
    </row>
    <row r="2246" ht="15" customHeight="1">
      <c r="A2246" t="inlineStr">
        <is>
          <t>A 11175-2024</t>
        </is>
      </c>
      <c r="B2246" t="inlineStr">
        <is>
          <t>avverkningsanmälan</t>
        </is>
      </c>
      <c r="C2246" t="inlineStr">
        <is>
          <t>Föryngringsavverkning</t>
        </is>
      </c>
      <c r="D2246" s="1" t="n">
        <v>45371</v>
      </c>
      <c r="E2246" s="1" t="n">
        <v>46315</v>
      </c>
      <c r="F2246" t="inlineStr">
        <is>
          <t>HALLANDS LÄN</t>
        </is>
      </c>
      <c r="G2246" t="inlineStr">
        <is>
          <t>HYLTE</t>
        </is>
      </c>
      <c r="I2246" t="n">
        <v>0.7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s="2" t="inlineStr"/>
    </row>
    <row r="2247" ht="15" customHeight="1">
      <c r="A2247" t="inlineStr">
        <is>
          <t>A 11293-2024</t>
        </is>
      </c>
      <c r="B2247" t="inlineStr">
        <is>
          <t>avverkningsanmälan</t>
        </is>
      </c>
      <c r="C2247" t="inlineStr">
        <is>
          <t>Föryngringsavverkning</t>
        </is>
      </c>
      <c r="D2247" s="1" t="n">
        <v>45371</v>
      </c>
      <c r="E2247" s="1" t="n">
        <v>46315</v>
      </c>
      <c r="F2247" t="inlineStr">
        <is>
          <t>HALLANDS LÄN</t>
        </is>
      </c>
      <c r="G2247" t="inlineStr">
        <is>
          <t>KUNGSBACKA</t>
        </is>
      </c>
      <c r="I2247" t="n">
        <v>0.6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s="2" t="inlineStr"/>
    </row>
    <row r="2248" ht="15" customHeight="1">
      <c r="A2248" t="inlineStr">
        <is>
          <t>A 11296-2024</t>
        </is>
      </c>
      <c r="B2248" t="inlineStr">
        <is>
          <t>avverkningsanmälan</t>
        </is>
      </c>
      <c r="C2248" t="inlineStr">
        <is>
          <t>Föryngringsavverkning</t>
        </is>
      </c>
      <c r="D2248" s="1" t="n">
        <v>45371</v>
      </c>
      <c r="E2248" s="1" t="n">
        <v>46315</v>
      </c>
      <c r="F2248" t="inlineStr">
        <is>
          <t>HALLANDS LÄN</t>
        </is>
      </c>
      <c r="G2248" t="inlineStr">
        <is>
          <t>KUNGSBACKA</t>
        </is>
      </c>
      <c r="I2248" t="n">
        <v>2.9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s="2" t="inlineStr"/>
    </row>
    <row r="2249" ht="15" customHeight="1">
      <c r="A2249" t="inlineStr">
        <is>
          <t>A 38106-2026</t>
        </is>
      </c>
      <c r="B2249" t="inlineStr">
        <is>
          <t>avverkningsanmälan</t>
        </is>
      </c>
      <c r="C2249" t="inlineStr">
        <is>
          <t>Föryngringsavverkning</t>
        </is>
      </c>
      <c r="D2249" s="1" t="n">
        <v>46281</v>
      </c>
      <c r="E2249" s="1" t="n">
        <v>46315</v>
      </c>
      <c r="F2249" t="inlineStr">
        <is>
          <t>HALLANDS LÄN</t>
        </is>
      </c>
      <c r="G2249" t="inlineStr">
        <is>
          <t>VARBERG</t>
        </is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s="2" t="inlineStr"/>
    </row>
    <row r="2250" ht="15" customHeight="1">
      <c r="A2250" t="inlineStr">
        <is>
          <t>A 15074-2025</t>
        </is>
      </c>
      <c r="B2250" t="inlineStr">
        <is>
          <t>avverkningsanmälan</t>
        </is>
      </c>
      <c r="C2250" t="inlineStr">
        <is>
          <t>Föryngringsavverkning</t>
        </is>
      </c>
      <c r="D2250" s="1" t="n">
        <v>45743</v>
      </c>
      <c r="E2250" s="1" t="n">
        <v>46315</v>
      </c>
      <c r="F2250" t="inlineStr">
        <is>
          <t>HALLANDS LÄN</t>
        </is>
      </c>
      <c r="G2250" t="inlineStr">
        <is>
          <t>KUNGSBACKA</t>
        </is>
      </c>
      <c r="I2250" t="n">
        <v>1.3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s="2" t="inlineStr"/>
    </row>
    <row r="2251" ht="15" customHeight="1">
      <c r="A2251" t="inlineStr">
        <is>
          <t>A 37448-2023</t>
        </is>
      </c>
      <c r="B2251" t="inlineStr">
        <is>
          <t>avverkningsanmälan</t>
        </is>
      </c>
      <c r="C2251" t="inlineStr">
        <is>
          <t>Föryngringsavverkning</t>
        </is>
      </c>
      <c r="D2251" s="1" t="n">
        <v>45156</v>
      </c>
      <c r="E2251" s="1" t="n">
        <v>46315</v>
      </c>
      <c r="F2251" t="inlineStr">
        <is>
          <t>HALLANDS LÄN</t>
        </is>
      </c>
      <c r="G2251" t="inlineStr">
        <is>
          <t>LAHOLM</t>
        </is>
      </c>
      <c r="I2251" t="n">
        <v>0.5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s="2" t="inlineStr"/>
    </row>
    <row r="2252" ht="15" customHeight="1">
      <c r="A2252" t="inlineStr">
        <is>
          <t>A 33250-2023</t>
        </is>
      </c>
      <c r="B2252" t="inlineStr">
        <is>
          <t>avverkningsanmälan</t>
        </is>
      </c>
      <c r="C2252" t="inlineStr">
        <is>
          <t>Föryngringsavverkning</t>
        </is>
      </c>
      <c r="D2252" s="1" t="n">
        <v>45127</v>
      </c>
      <c r="E2252" s="1" t="n">
        <v>46315</v>
      </c>
      <c r="F2252" t="inlineStr">
        <is>
          <t>HALLANDS LÄN</t>
        </is>
      </c>
      <c r="G2252" t="inlineStr">
        <is>
          <t>FALKENBERG</t>
        </is>
      </c>
      <c r="H2252" t="inlineStr">
        <is>
          <t>Kommuner</t>
        </is>
      </c>
      <c r="I2252" t="n">
        <v>6.1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s="2" t="inlineStr"/>
    </row>
    <row r="2253" ht="15" customHeight="1">
      <c r="A2253" t="inlineStr">
        <is>
          <t>A 4225-2023</t>
        </is>
      </c>
      <c r="B2253" t="inlineStr">
        <is>
          <t>avverkningsanmälan</t>
        </is>
      </c>
      <c r="C2253" t="inlineStr">
        <is>
          <t>Föryngringsavverkning</t>
        </is>
      </c>
      <c r="D2253" s="1" t="n">
        <v>44953</v>
      </c>
      <c r="E2253" s="1" t="n">
        <v>46315</v>
      </c>
      <c r="F2253" t="inlineStr">
        <is>
          <t>HALLANDS LÄN</t>
        </is>
      </c>
      <c r="G2253" t="inlineStr">
        <is>
          <t>HYLTE</t>
        </is>
      </c>
      <c r="I2253" t="n">
        <v>0.5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s="2" t="inlineStr"/>
    </row>
    <row r="2254" ht="15" customHeight="1">
      <c r="A2254" t="inlineStr">
        <is>
          <t>A 38496-2026</t>
        </is>
      </c>
      <c r="B2254" t="inlineStr">
        <is>
          <t>avverkningsanmälan</t>
        </is>
      </c>
      <c r="C2254" t="inlineStr">
        <is>
          <t>Föryngringsavverkning</t>
        </is>
      </c>
      <c r="D2254" s="1" t="n">
        <v>46282</v>
      </c>
      <c r="E2254" s="1" t="n">
        <v>46315</v>
      </c>
      <c r="F2254" t="inlineStr">
        <is>
          <t>HALLANDS LÄN</t>
        </is>
      </c>
      <c r="G2254" t="inlineStr">
        <is>
          <t>FALKENBERG</t>
        </is>
      </c>
      <c r="I2254" t="n">
        <v>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s="2" t="inlineStr"/>
    </row>
    <row r="2255" ht="15" customHeight="1">
      <c r="A2255" t="inlineStr">
        <is>
          <t>A 38479-2026</t>
        </is>
      </c>
      <c r="B2255" t="inlineStr">
        <is>
          <t>avverkningsanmälan</t>
        </is>
      </c>
      <c r="C2255" t="inlineStr">
        <is>
          <t>Föryngringsavverkning</t>
        </is>
      </c>
      <c r="D2255" s="1" t="n">
        <v>46282</v>
      </c>
      <c r="E2255" s="1" t="n">
        <v>46315</v>
      </c>
      <c r="F2255" t="inlineStr">
        <is>
          <t>HALLANDS LÄN</t>
        </is>
      </c>
      <c r="G2255" t="inlineStr">
        <is>
          <t>HYLTE</t>
        </is>
      </c>
      <c r="I2255" t="n">
        <v>1.2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s="2" t="inlineStr"/>
    </row>
    <row r="2256" ht="15" customHeight="1">
      <c r="A2256" t="inlineStr">
        <is>
          <t>A 6942-2023</t>
        </is>
      </c>
      <c r="B2256" t="inlineStr">
        <is>
          <t>avverkningsanmälan</t>
        </is>
      </c>
      <c r="C2256" t="inlineStr">
        <is>
          <t>Föryngringsavverkning</t>
        </is>
      </c>
      <c r="D2256" s="1" t="n">
        <v>44964</v>
      </c>
      <c r="E2256" s="1" t="n">
        <v>46315</v>
      </c>
      <c r="F2256" t="inlineStr">
        <is>
          <t>HALLANDS LÄN</t>
        </is>
      </c>
      <c r="G2256" t="inlineStr">
        <is>
          <t>HALMSTAD</t>
        </is>
      </c>
      <c r="H2256" t="inlineStr">
        <is>
          <t>Bergvik skog väst AB</t>
        </is>
      </c>
      <c r="I2256" t="n">
        <v>2.2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s="2" t="inlineStr"/>
    </row>
    <row r="2257" ht="15" customHeight="1">
      <c r="A2257" t="inlineStr">
        <is>
          <t>A 9917-2023</t>
        </is>
      </c>
      <c r="B2257" t="inlineStr">
        <is>
          <t>avverkningsanmälan</t>
        </is>
      </c>
      <c r="C2257" t="inlineStr">
        <is>
          <t>Föryngringsavverkning</t>
        </is>
      </c>
      <c r="D2257" s="1" t="n">
        <v>44985</v>
      </c>
      <c r="E2257" s="1" t="n">
        <v>46315</v>
      </c>
      <c r="F2257" t="inlineStr">
        <is>
          <t>HALLANDS LÄN</t>
        </is>
      </c>
      <c r="G2257" t="inlineStr">
        <is>
          <t>FALKENBERG</t>
        </is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s="2" t="inlineStr"/>
    </row>
    <row r="2258" ht="15" customHeight="1">
      <c r="A2258" t="inlineStr">
        <is>
          <t>A 2550-2023</t>
        </is>
      </c>
      <c r="B2258" t="inlineStr">
        <is>
          <t>avverkningsanmälan</t>
        </is>
      </c>
      <c r="C2258" t="inlineStr">
        <is>
          <t>Föryngringsavverkning</t>
        </is>
      </c>
      <c r="D2258" s="1" t="n">
        <v>44943</v>
      </c>
      <c r="E2258" s="1" t="n">
        <v>46315</v>
      </c>
      <c r="F2258" t="inlineStr">
        <is>
          <t>HALLANDS LÄN</t>
        </is>
      </c>
      <c r="G2258" t="inlineStr">
        <is>
          <t>LAHOLM</t>
        </is>
      </c>
      <c r="H2258" t="inlineStr">
        <is>
          <t>Kommuner</t>
        </is>
      </c>
      <c r="I2258" t="n">
        <v>7.6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s="2" t="inlineStr"/>
    </row>
    <row r="2259" ht="15" customHeight="1">
      <c r="A2259" t="inlineStr">
        <is>
          <t>A 38364-2026</t>
        </is>
      </c>
      <c r="B2259" t="inlineStr">
        <is>
          <t>avverkningsanmälan</t>
        </is>
      </c>
      <c r="C2259" t="inlineStr">
        <is>
          <t>Föryngringsavverkning</t>
        </is>
      </c>
      <c r="D2259" s="1" t="n">
        <v>46282</v>
      </c>
      <c r="E2259" s="1" t="n">
        <v>46315</v>
      </c>
      <c r="F2259" t="inlineStr">
        <is>
          <t>HALLANDS LÄN</t>
        </is>
      </c>
      <c r="G2259" t="inlineStr">
        <is>
          <t>FALKENBERG</t>
        </is>
      </c>
      <c r="I2259" t="n">
        <v>2.7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s="2" t="inlineStr"/>
    </row>
    <row r="2260" ht="15" customHeight="1">
      <c r="A2260" t="inlineStr">
        <is>
          <t>A 39074-2024</t>
        </is>
      </c>
      <c r="B2260" t="inlineStr">
        <is>
          <t>avverkningsanmälan</t>
        </is>
      </c>
      <c r="C2260" t="inlineStr">
        <is>
          <t>Föryngringsavverkning</t>
        </is>
      </c>
      <c r="D2260" s="1" t="n">
        <v>45548</v>
      </c>
      <c r="E2260" s="1" t="n">
        <v>46315</v>
      </c>
      <c r="F2260" t="inlineStr">
        <is>
          <t>HALLANDS LÄN</t>
        </is>
      </c>
      <c r="G2260" t="inlineStr">
        <is>
          <t>FALKENBERG</t>
        </is>
      </c>
      <c r="I2260" t="n">
        <v>3.4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s="2" t="inlineStr"/>
    </row>
    <row r="2261" ht="15" customHeight="1">
      <c r="A2261" t="inlineStr">
        <is>
          <t>A 1254-2024</t>
        </is>
      </c>
      <c r="B2261" t="inlineStr">
        <is>
          <t>avverkningsanmälan</t>
        </is>
      </c>
      <c r="C2261" t="inlineStr">
        <is>
          <t>Föryngringsavverkning</t>
        </is>
      </c>
      <c r="D2261" s="1" t="n">
        <v>45302</v>
      </c>
      <c r="E2261" s="1" t="n">
        <v>46315</v>
      </c>
      <c r="F2261" t="inlineStr">
        <is>
          <t>HALLANDS LÄN</t>
        </is>
      </c>
      <c r="G2261" t="inlineStr">
        <is>
          <t>VARBERG</t>
        </is>
      </c>
      <c r="I2261" t="n">
        <v>5.1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s="2" t="inlineStr"/>
    </row>
    <row r="2262" ht="15" customHeight="1">
      <c r="A2262" t="inlineStr">
        <is>
          <t>A 40561-2023</t>
        </is>
      </c>
      <c r="B2262" t="inlineStr">
        <is>
          <t>avverkningsanmälan</t>
        </is>
      </c>
      <c r="C2262" t="inlineStr">
        <is>
          <t>Föryngringsavverkning</t>
        </is>
      </c>
      <c r="D2262" s="1" t="n">
        <v>45168</v>
      </c>
      <c r="E2262" s="1" t="n">
        <v>46315</v>
      </c>
      <c r="F2262" t="inlineStr">
        <is>
          <t>HALLANDS LÄN</t>
        </is>
      </c>
      <c r="G2262" t="inlineStr">
        <is>
          <t>HALMSTAD</t>
        </is>
      </c>
      <c r="H2262" t="inlineStr">
        <is>
          <t>Kommuner</t>
        </is>
      </c>
      <c r="I2262" t="n">
        <v>2.4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s="2" t="inlineStr"/>
    </row>
    <row r="2263" ht="15" customHeight="1">
      <c r="A2263" t="inlineStr">
        <is>
          <t>A 40595-2023</t>
        </is>
      </c>
      <c r="B2263" t="inlineStr">
        <is>
          <t>avverkningsanmälan</t>
        </is>
      </c>
      <c r="C2263" t="inlineStr">
        <is>
          <t>Föryngringsavverkning</t>
        </is>
      </c>
      <c r="D2263" s="1" t="n">
        <v>45168</v>
      </c>
      <c r="E2263" s="1" t="n">
        <v>46315</v>
      </c>
      <c r="F2263" t="inlineStr">
        <is>
          <t>HALLANDS LÄN</t>
        </is>
      </c>
      <c r="G2263" t="inlineStr">
        <is>
          <t>HALMSTAD</t>
        </is>
      </c>
      <c r="H2263" t="inlineStr">
        <is>
          <t>Kommuner</t>
        </is>
      </c>
      <c r="I2263" t="n">
        <v>7.1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s="2" t="inlineStr"/>
    </row>
    <row r="2264" ht="15" customHeight="1">
      <c r="A2264" t="inlineStr">
        <is>
          <t>A 38123-2026</t>
        </is>
      </c>
      <c r="B2264" t="inlineStr">
        <is>
          <t>avverkningsanmälan</t>
        </is>
      </c>
      <c r="C2264" t="inlineStr">
        <is>
          <t>Föryngringsavverkning</t>
        </is>
      </c>
      <c r="D2264" s="1" t="n">
        <v>46281</v>
      </c>
      <c r="E2264" s="1" t="n">
        <v>46315</v>
      </c>
      <c r="F2264" t="inlineStr">
        <is>
          <t>HALLANDS LÄN</t>
        </is>
      </c>
      <c r="G2264" t="inlineStr">
        <is>
          <t>FALKENBERG</t>
        </is>
      </c>
      <c r="I2264" t="n">
        <v>2.8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s="2" t="inlineStr"/>
    </row>
    <row r="2265" ht="15" customHeight="1">
      <c r="A2265" t="inlineStr">
        <is>
          <t>A 56066-2024</t>
        </is>
      </c>
      <c r="B2265" t="inlineStr">
        <is>
          <t>avverkningsanmälan</t>
        </is>
      </c>
      <c r="C2265" t="inlineStr">
        <is>
          <t>Föryngringsavverkning</t>
        </is>
      </c>
      <c r="D2265" s="1" t="n">
        <v>45624</v>
      </c>
      <c r="E2265" s="1" t="n">
        <v>46315</v>
      </c>
      <c r="F2265" t="inlineStr">
        <is>
          <t>HALLANDS LÄN</t>
        </is>
      </c>
      <c r="G2265" t="inlineStr">
        <is>
          <t>HYLTE</t>
        </is>
      </c>
      <c r="I2265" t="n">
        <v>0.9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s="2" t="inlineStr"/>
    </row>
    <row r="2266" ht="15" customHeight="1">
      <c r="A2266" t="inlineStr">
        <is>
          <t>A 38498-2026</t>
        </is>
      </c>
      <c r="B2266" t="inlineStr">
        <is>
          <t>avverkningsanmälan</t>
        </is>
      </c>
      <c r="C2266" t="inlineStr">
        <is>
          <t>Föryngringsavverkning</t>
        </is>
      </c>
      <c r="D2266" s="1" t="n">
        <v>46282</v>
      </c>
      <c r="E2266" s="1" t="n">
        <v>46315</v>
      </c>
      <c r="F2266" t="inlineStr">
        <is>
          <t>HALLANDS LÄN</t>
        </is>
      </c>
      <c r="G2266" t="inlineStr">
        <is>
          <t>FALKENBERG</t>
        </is>
      </c>
      <c r="I2266" t="n">
        <v>0.5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s="2" t="inlineStr"/>
    </row>
    <row r="2267" ht="15" customHeight="1">
      <c r="A2267" t="inlineStr">
        <is>
          <t>A 38500-2026</t>
        </is>
      </c>
      <c r="B2267" t="inlineStr">
        <is>
          <t>avverkningsanmälan</t>
        </is>
      </c>
      <c r="C2267" t="inlineStr">
        <is>
          <t>Föryngringsavverkning</t>
        </is>
      </c>
      <c r="D2267" s="1" t="n">
        <v>46282</v>
      </c>
      <c r="E2267" s="1" t="n">
        <v>46315</v>
      </c>
      <c r="F2267" t="inlineStr">
        <is>
          <t>HALLANDS LÄN</t>
        </is>
      </c>
      <c r="G2267" t="inlineStr">
        <is>
          <t>FALKENBERG</t>
        </is>
      </c>
      <c r="I2267" t="n">
        <v>0.7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s="2" t="inlineStr"/>
    </row>
    <row r="2268" ht="15" customHeight="1">
      <c r="A2268" t="inlineStr">
        <is>
          <t>A 40348-2023</t>
        </is>
      </c>
      <c r="B2268" t="inlineStr">
        <is>
          <t>avverkningsanmälan</t>
        </is>
      </c>
      <c r="C2268" t="inlineStr">
        <is>
          <t>Föryngringsavverkning</t>
        </is>
      </c>
      <c r="D2268" s="1" t="n">
        <v>45169</v>
      </c>
      <c r="E2268" s="1" t="n">
        <v>46315</v>
      </c>
      <c r="F2268" t="inlineStr">
        <is>
          <t>HALLANDS LÄN</t>
        </is>
      </c>
      <c r="G2268" t="inlineStr">
        <is>
          <t>HYLTE</t>
        </is>
      </c>
      <c r="I2268" t="n">
        <v>3.1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s="2" t="inlineStr"/>
    </row>
    <row r="2269" ht="15" customHeight="1">
      <c r="A2269" t="inlineStr">
        <is>
          <t>A 53294-2023</t>
        </is>
      </c>
      <c r="B2269" t="inlineStr">
        <is>
          <t>avverkningsanmälan</t>
        </is>
      </c>
      <c r="C2269" t="inlineStr">
        <is>
          <t>Föryngringsavverkning</t>
        </is>
      </c>
      <c r="D2269" s="1" t="n">
        <v>45229</v>
      </c>
      <c r="E2269" s="1" t="n">
        <v>46315</v>
      </c>
      <c r="F2269" t="inlineStr">
        <is>
          <t>HALLANDS LÄN</t>
        </is>
      </c>
      <c r="G2269" t="inlineStr">
        <is>
          <t>HYLTE</t>
        </is>
      </c>
      <c r="I2269" t="n">
        <v>1.8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s="2" t="inlineStr"/>
    </row>
    <row r="2270" ht="15" customHeight="1">
      <c r="A2270" t="inlineStr">
        <is>
          <t>A 18813-2023</t>
        </is>
      </c>
      <c r="B2270" t="inlineStr">
        <is>
          <t>avverkningsanmälan</t>
        </is>
      </c>
      <c r="C2270" t="inlineStr">
        <is>
          <t>Avverkning för annat ändamål</t>
        </is>
      </c>
      <c r="D2270" s="1" t="n">
        <v>45044</v>
      </c>
      <c r="E2270" s="1" t="n">
        <v>46315</v>
      </c>
      <c r="F2270" t="inlineStr">
        <is>
          <t>HALLANDS LÄN</t>
        </is>
      </c>
      <c r="G2270" t="inlineStr">
        <is>
          <t>FALKENBERG</t>
        </is>
      </c>
      <c r="I2270" t="n">
        <v>2.3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s="2" t="inlineStr"/>
    </row>
    <row r="2271" ht="15" customHeight="1">
      <c r="A2271" t="inlineStr">
        <is>
          <t>A 38639-2026</t>
        </is>
      </c>
      <c r="B2271" t="inlineStr">
        <is>
          <t>avverkningsanmälan</t>
        </is>
      </c>
      <c r="C2271" t="inlineStr">
        <is>
          <t>Föryngringsavverkning</t>
        </is>
      </c>
      <c r="D2271" s="1" t="n">
        <v>46281</v>
      </c>
      <c r="E2271" s="1" t="n">
        <v>46315</v>
      </c>
      <c r="F2271" t="inlineStr">
        <is>
          <t>HALLANDS LÄN</t>
        </is>
      </c>
      <c r="G2271" t="inlineStr">
        <is>
          <t>HYLTE</t>
        </is>
      </c>
      <c r="I2271" t="n">
        <v>5.6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s="2" t="inlineStr"/>
    </row>
    <row r="2272" ht="15" customHeight="1">
      <c r="A2272" t="inlineStr">
        <is>
          <t>A 12743-2022</t>
        </is>
      </c>
      <c r="B2272" t="inlineStr">
        <is>
          <t>avverkningsanmälan</t>
        </is>
      </c>
      <c r="C2272" t="inlineStr">
        <is>
          <t>Föryngringsavverkning</t>
        </is>
      </c>
      <c r="D2272" s="1" t="n">
        <v>44641</v>
      </c>
      <c r="E2272" s="1" t="n">
        <v>46315</v>
      </c>
      <c r="F2272" t="inlineStr">
        <is>
          <t>HALLANDS LÄN</t>
        </is>
      </c>
      <c r="G2272" t="inlineStr">
        <is>
          <t>VARBERG</t>
        </is>
      </c>
      <c r="I2272" t="n">
        <v>1.3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s="2" t="inlineStr"/>
    </row>
    <row r="2273" ht="15" customHeight="1">
      <c r="A2273" t="inlineStr">
        <is>
          <t>A 11574-2022</t>
        </is>
      </c>
      <c r="B2273" t="inlineStr">
        <is>
          <t>avverkningsanmälan</t>
        </is>
      </c>
      <c r="C2273" t="inlineStr">
        <is>
          <t>Föryngringsavverkning</t>
        </is>
      </c>
      <c r="D2273" s="1" t="n">
        <v>44631</v>
      </c>
      <c r="E2273" s="1" t="n">
        <v>46315</v>
      </c>
      <c r="F2273" t="inlineStr">
        <is>
          <t>HALLANDS LÄN</t>
        </is>
      </c>
      <c r="G2273" t="inlineStr">
        <is>
          <t>FALKENBERG</t>
        </is>
      </c>
      <c r="I2273" t="n">
        <v>1.3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s="2" t="inlineStr"/>
    </row>
    <row r="2274" ht="15" customHeight="1">
      <c r="A2274" t="inlineStr">
        <is>
          <t>A 19598-2025</t>
        </is>
      </c>
      <c r="B2274" t="inlineStr">
        <is>
          <t>avverkningsanmälan</t>
        </is>
      </c>
      <c r="C2274" t="inlineStr">
        <is>
          <t>Föryngringsavverkning</t>
        </is>
      </c>
      <c r="D2274" s="1" t="n">
        <v>45770</v>
      </c>
      <c r="E2274" s="1" t="n">
        <v>46315</v>
      </c>
      <c r="F2274" t="inlineStr">
        <is>
          <t>HALLANDS LÄN</t>
        </is>
      </c>
      <c r="G2274" t="inlineStr">
        <is>
          <t>HYLTE</t>
        </is>
      </c>
      <c r="I2274" t="n">
        <v>0.5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s="2" t="inlineStr"/>
    </row>
    <row r="2275" ht="15" customHeight="1">
      <c r="A2275" t="inlineStr">
        <is>
          <t>A 54802-2022</t>
        </is>
      </c>
      <c r="B2275" t="inlineStr">
        <is>
          <t>avverkningsanmälan</t>
        </is>
      </c>
      <c r="C2275" t="inlineStr">
        <is>
          <t>Föryngringsavverkning</t>
        </is>
      </c>
      <c r="D2275" s="1" t="n">
        <v>44883</v>
      </c>
      <c r="E2275" s="1" t="n">
        <v>46315</v>
      </c>
      <c r="F2275" t="inlineStr">
        <is>
          <t>HALLANDS LÄN</t>
        </is>
      </c>
      <c r="G2275" t="inlineStr">
        <is>
          <t>LAHOLM</t>
        </is>
      </c>
      <c r="H2275" t="inlineStr">
        <is>
          <t>Kommuner</t>
        </is>
      </c>
      <c r="I2275" t="n">
        <v>4.4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s="2" t="inlineStr"/>
    </row>
    <row r="2276" ht="15" customHeight="1">
      <c r="A2276" t="inlineStr">
        <is>
          <t>A 51002-2024</t>
        </is>
      </c>
      <c r="B2276" t="inlineStr">
        <is>
          <t>avverkningsanmälan</t>
        </is>
      </c>
      <c r="C2276" t="inlineStr">
        <is>
          <t>Föryngringsavverkning</t>
        </is>
      </c>
      <c r="D2276" s="1" t="n">
        <v>45603</v>
      </c>
      <c r="E2276" s="1" t="n">
        <v>46315</v>
      </c>
      <c r="F2276" t="inlineStr">
        <is>
          <t>HALLANDS LÄN</t>
        </is>
      </c>
      <c r="G2276" t="inlineStr">
        <is>
          <t>LAHOLM</t>
        </is>
      </c>
      <c r="I2276" t="n">
        <v>2.1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s="2" t="inlineStr"/>
    </row>
    <row r="2277" ht="15" customHeight="1">
      <c r="A2277" t="inlineStr">
        <is>
          <t>A 14843-2024</t>
        </is>
      </c>
      <c r="B2277" t="inlineStr">
        <is>
          <t>avverkningsanmälan</t>
        </is>
      </c>
      <c r="C2277" t="inlineStr">
        <is>
          <t>Föryngringsavverkning</t>
        </is>
      </c>
      <c r="D2277" s="1" t="n">
        <v>45398</v>
      </c>
      <c r="E2277" s="1" t="n">
        <v>46315</v>
      </c>
      <c r="F2277" t="inlineStr">
        <is>
          <t>HALLANDS LÄN</t>
        </is>
      </c>
      <c r="G2277" t="inlineStr">
        <is>
          <t>KUNGSBACKA</t>
        </is>
      </c>
      <c r="I2277" t="n">
        <v>0.5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s="2" t="inlineStr"/>
    </row>
    <row r="2278" ht="15" customHeight="1">
      <c r="A2278" t="inlineStr">
        <is>
          <t>A 14846-2024</t>
        </is>
      </c>
      <c r="B2278" t="inlineStr">
        <is>
          <t>avverkningsanmälan</t>
        </is>
      </c>
      <c r="C2278" t="inlineStr">
        <is>
          <t>Föryngringsavverkning</t>
        </is>
      </c>
      <c r="D2278" s="1" t="n">
        <v>45398</v>
      </c>
      <c r="E2278" s="1" t="n">
        <v>46315</v>
      </c>
      <c r="F2278" t="inlineStr">
        <is>
          <t>HALLANDS LÄN</t>
        </is>
      </c>
      <c r="G2278" t="inlineStr">
        <is>
          <t>KUNGSBACKA</t>
        </is>
      </c>
      <c r="I2278" t="n">
        <v>0.9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s="2" t="inlineStr"/>
    </row>
    <row r="2279" ht="15" customHeight="1">
      <c r="A2279" t="inlineStr">
        <is>
          <t>A 2590-2025</t>
        </is>
      </c>
      <c r="B2279" t="inlineStr">
        <is>
          <t>avverkningsanmälan</t>
        </is>
      </c>
      <c r="C2279" t="inlineStr">
        <is>
          <t>Föryngringsavverkning</t>
        </is>
      </c>
      <c r="D2279" s="1" t="n">
        <v>45674</v>
      </c>
      <c r="E2279" s="1" t="n">
        <v>46315</v>
      </c>
      <c r="F2279" t="inlineStr">
        <is>
          <t>HALLANDS LÄN</t>
        </is>
      </c>
      <c r="G2279" t="inlineStr">
        <is>
          <t>HYLTE</t>
        </is>
      </c>
      <c r="I2279" t="n">
        <v>3.6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s="2" t="inlineStr"/>
    </row>
    <row r="2280" ht="15" customHeight="1">
      <c r="A2280" t="inlineStr">
        <is>
          <t>A 60021-2022</t>
        </is>
      </c>
      <c r="B2280" t="inlineStr">
        <is>
          <t>avverkningsanmälan</t>
        </is>
      </c>
      <c r="C2280" t="inlineStr">
        <is>
          <t>Föryngringsavverkning</t>
        </is>
      </c>
      <c r="D2280" s="1" t="n">
        <v>44909</v>
      </c>
      <c r="E2280" s="1" t="n">
        <v>46315</v>
      </c>
      <c r="F2280" t="inlineStr">
        <is>
          <t>HALLANDS LÄN</t>
        </is>
      </c>
      <c r="G2280" t="inlineStr">
        <is>
          <t>LAHOLM</t>
        </is>
      </c>
      <c r="I2280" t="n">
        <v>2.6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s="2" t="inlineStr"/>
    </row>
    <row r="2281" ht="15" customHeight="1">
      <c r="A2281" t="inlineStr">
        <is>
          <t>A 17381-2023</t>
        </is>
      </c>
      <c r="B2281" t="inlineStr">
        <is>
          <t>avverkningsanmälan</t>
        </is>
      </c>
      <c r="C2281" t="inlineStr">
        <is>
          <t>Föryngringsavverkning</t>
        </is>
      </c>
      <c r="D2281" s="1" t="n">
        <v>45035</v>
      </c>
      <c r="E2281" s="1" t="n">
        <v>46315</v>
      </c>
      <c r="F2281" t="inlineStr">
        <is>
          <t>HALLANDS LÄN</t>
        </is>
      </c>
      <c r="G2281" t="inlineStr">
        <is>
          <t>HYLTE</t>
        </is>
      </c>
      <c r="I2281" t="n">
        <v>1.8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s="2" t="inlineStr"/>
    </row>
    <row r="2282" ht="15" customHeight="1">
      <c r="A2282" t="inlineStr">
        <is>
          <t>A 32883-2026</t>
        </is>
      </c>
      <c r="B2282" t="inlineStr">
        <is>
          <t>avverkningsanmälan</t>
        </is>
      </c>
      <c r="C2282" t="inlineStr">
        <is>
          <t>Föryngringsavverkning</t>
        </is>
      </c>
      <c r="D2282" s="1" t="n">
        <v>46244</v>
      </c>
      <c r="E2282" s="1" t="n">
        <v>46315</v>
      </c>
      <c r="F2282" t="inlineStr">
        <is>
          <t>HALLANDS LÄN</t>
        </is>
      </c>
      <c r="G2282" t="inlineStr">
        <is>
          <t>FALKENBERG</t>
        </is>
      </c>
      <c r="I2282" t="n">
        <v>1.5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s="2" t="inlineStr"/>
    </row>
    <row r="2283" ht="15" customHeight="1">
      <c r="A2283" t="inlineStr">
        <is>
          <t>A 38884-2026</t>
        </is>
      </c>
      <c r="B2283" t="inlineStr">
        <is>
          <t>avverkningsanmälan</t>
        </is>
      </c>
      <c r="C2283" t="inlineStr">
        <is>
          <t>Föryngringsavverkning</t>
        </is>
      </c>
      <c r="D2283" s="1" t="n">
        <v>46286</v>
      </c>
      <c r="E2283" s="1" t="n">
        <v>46315</v>
      </c>
      <c r="F2283" t="inlineStr">
        <is>
          <t>HALLANDS LÄN</t>
        </is>
      </c>
      <c r="G2283" t="inlineStr">
        <is>
          <t>LAHOLM</t>
        </is>
      </c>
      <c r="I2283" t="n">
        <v>2.3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s="2" t="inlineStr"/>
    </row>
    <row r="2284" ht="15" customHeight="1">
      <c r="A2284" t="inlineStr">
        <is>
          <t>A 49635-2025</t>
        </is>
      </c>
      <c r="B2284" t="inlineStr">
        <is>
          <t>avverkningsanmälan</t>
        </is>
      </c>
      <c r="C2284" t="inlineStr">
        <is>
          <t>Föryngringsavverkning</t>
        </is>
      </c>
      <c r="D2284" s="1" t="n">
        <v>45939</v>
      </c>
      <c r="E2284" s="1" t="n">
        <v>46315</v>
      </c>
      <c r="F2284" t="inlineStr">
        <is>
          <t>HALLANDS LÄN</t>
        </is>
      </c>
      <c r="G2284" t="inlineStr">
        <is>
          <t>HYLTE</t>
        </is>
      </c>
      <c r="H2284" t="inlineStr">
        <is>
          <t>Kyrkan</t>
        </is>
      </c>
      <c r="I2284" t="n">
        <v>7.2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s="2" t="inlineStr"/>
    </row>
    <row r="2285" ht="15" customHeight="1">
      <c r="A2285" t="inlineStr">
        <is>
          <t>A 28036-2023</t>
        </is>
      </c>
      <c r="B2285" t="inlineStr">
        <is>
          <t>avverkningsanmälan</t>
        </is>
      </c>
      <c r="C2285" t="inlineStr">
        <is>
          <t>Föryngringsavverkning</t>
        </is>
      </c>
      <c r="D2285" s="1" t="n">
        <v>45099</v>
      </c>
      <c r="E2285" s="1" t="n">
        <v>46315</v>
      </c>
      <c r="F2285" t="inlineStr">
        <is>
          <t>HALLANDS LÄN</t>
        </is>
      </c>
      <c r="G2285" t="inlineStr">
        <is>
          <t>KUNGSBACKA</t>
        </is>
      </c>
      <c r="I2285" t="n">
        <v>3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s="2" t="inlineStr"/>
    </row>
    <row r="2286" ht="15" customHeight="1">
      <c r="A2286" t="inlineStr">
        <is>
          <t>A 18773-2022</t>
        </is>
      </c>
      <c r="B2286" t="inlineStr">
        <is>
          <t>avverkningsanmälan</t>
        </is>
      </c>
      <c r="C2286" t="inlineStr">
        <is>
          <t>Föryngringsavverkning</t>
        </is>
      </c>
      <c r="D2286" s="1" t="n">
        <v>44689</v>
      </c>
      <c r="E2286" s="1" t="n">
        <v>46315</v>
      </c>
      <c r="F2286" t="inlineStr">
        <is>
          <t>HALLANDS LÄN</t>
        </is>
      </c>
      <c r="G2286" t="inlineStr">
        <is>
          <t>FALKENBERG</t>
        </is>
      </c>
      <c r="I2286" t="n">
        <v>0.4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s="2" t="inlineStr"/>
    </row>
    <row r="2287" ht="15" customHeight="1">
      <c r="A2287" t="inlineStr">
        <is>
          <t>A 58746-2024</t>
        </is>
      </c>
      <c r="B2287" t="inlineStr">
        <is>
          <t>avverkningsanmälan</t>
        </is>
      </c>
      <c r="C2287" t="inlineStr">
        <is>
          <t>Föryngringsavverkning</t>
        </is>
      </c>
      <c r="D2287" s="1" t="n">
        <v>45635</v>
      </c>
      <c r="E2287" s="1" t="n">
        <v>46315</v>
      </c>
      <c r="F2287" t="inlineStr">
        <is>
          <t>HALLANDS LÄN</t>
        </is>
      </c>
      <c r="G2287" t="inlineStr">
        <is>
          <t>VARBERG</t>
        </is>
      </c>
      <c r="I2287" t="n">
        <v>8.1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s="2" t="inlineStr"/>
    </row>
    <row r="2288" ht="15" customHeight="1">
      <c r="A2288" t="inlineStr">
        <is>
          <t>A 40359-2023</t>
        </is>
      </c>
      <c r="B2288" t="inlineStr">
        <is>
          <t>avverkningsanmälan</t>
        </is>
      </c>
      <c r="C2288" t="inlineStr">
        <is>
          <t>Föryngringsavverkning</t>
        </is>
      </c>
      <c r="D2288" s="1" t="n">
        <v>45169</v>
      </c>
      <c r="E2288" s="1" t="n">
        <v>46315</v>
      </c>
      <c r="F2288" t="inlineStr">
        <is>
          <t>HALLANDS LÄN</t>
        </is>
      </c>
      <c r="G2288" t="inlineStr">
        <is>
          <t>HALMSTAD</t>
        </is>
      </c>
      <c r="I2288" t="n">
        <v>1.3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s="2" t="inlineStr"/>
    </row>
    <row r="2289" ht="15" customHeight="1">
      <c r="A2289" t="inlineStr">
        <is>
          <t>A 694-2025</t>
        </is>
      </c>
      <c r="B2289" t="inlineStr">
        <is>
          <t>avverkningsanmälan</t>
        </is>
      </c>
      <c r="C2289" t="inlineStr">
        <is>
          <t>Föryngringsavverkning</t>
        </is>
      </c>
      <c r="D2289" s="1" t="n">
        <v>45665</v>
      </c>
      <c r="E2289" s="1" t="n">
        <v>46315</v>
      </c>
      <c r="F2289" t="inlineStr">
        <is>
          <t>HALLANDS LÄN</t>
        </is>
      </c>
      <c r="G2289" t="inlineStr">
        <is>
          <t>VARBERG</t>
        </is>
      </c>
      <c r="I2289" t="n">
        <v>0.6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s="2" t="inlineStr"/>
    </row>
    <row r="2290" ht="15" customHeight="1">
      <c r="A2290" t="inlineStr">
        <is>
          <t>A 56293-2023</t>
        </is>
      </c>
      <c r="B2290" t="inlineStr">
        <is>
          <t>avverkningsanmälan</t>
        </is>
      </c>
      <c r="C2290" t="inlineStr">
        <is>
          <t>Föryngringsavverkning</t>
        </is>
      </c>
      <c r="D2290" s="1" t="n">
        <v>45242</v>
      </c>
      <c r="E2290" s="1" t="n">
        <v>46315</v>
      </c>
      <c r="F2290" t="inlineStr">
        <is>
          <t>HALLANDS LÄN</t>
        </is>
      </c>
      <c r="G2290" t="inlineStr">
        <is>
          <t>KUNGSBACKA</t>
        </is>
      </c>
      <c r="I2290" t="n">
        <v>1.1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s="2" t="inlineStr"/>
    </row>
    <row r="2291" ht="15" customHeight="1">
      <c r="A2291" t="inlineStr">
        <is>
          <t>A 56294-2023</t>
        </is>
      </c>
      <c r="B2291" t="inlineStr">
        <is>
          <t>avverkningsanmälan</t>
        </is>
      </c>
      <c r="C2291" t="inlineStr">
        <is>
          <t>Föryngringsavverkning</t>
        </is>
      </c>
      <c r="D2291" s="1" t="n">
        <v>45242</v>
      </c>
      <c r="E2291" s="1" t="n">
        <v>46315</v>
      </c>
      <c r="F2291" t="inlineStr">
        <is>
          <t>HALLANDS LÄN</t>
        </is>
      </c>
      <c r="G2291" t="inlineStr">
        <is>
          <t>KUNGSBACKA</t>
        </is>
      </c>
      <c r="I2291" t="n">
        <v>0.7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s="2" t="inlineStr"/>
    </row>
    <row r="2292" ht="15" customHeight="1">
      <c r="A2292" t="inlineStr">
        <is>
          <t>A 11941-2022</t>
        </is>
      </c>
      <c r="B2292" t="inlineStr">
        <is>
          <t>avverkningsanmälan</t>
        </is>
      </c>
      <c r="C2292" t="inlineStr">
        <is>
          <t>Föryngringsavverkning</t>
        </is>
      </c>
      <c r="D2292" s="1" t="n">
        <v>44635</v>
      </c>
      <c r="E2292" s="1" t="n">
        <v>46315</v>
      </c>
      <c r="F2292" t="inlineStr">
        <is>
          <t>HALLANDS LÄN</t>
        </is>
      </c>
      <c r="G2292" t="inlineStr">
        <is>
          <t>HYLTE</t>
        </is>
      </c>
      <c r="H2292" t="inlineStr">
        <is>
          <t>Bergvik skog väst AB</t>
        </is>
      </c>
      <c r="I2292" t="n">
        <v>2.7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s="2" t="inlineStr"/>
    </row>
    <row r="2293" ht="15" customHeight="1">
      <c r="A2293" t="inlineStr">
        <is>
          <t>A 56028-2023</t>
        </is>
      </c>
      <c r="B2293" t="inlineStr">
        <is>
          <t>avverkningsanmälan</t>
        </is>
      </c>
      <c r="C2293" t="inlineStr">
        <is>
          <t>Föryngringsavverkning</t>
        </is>
      </c>
      <c r="D2293" s="1" t="n">
        <v>45240</v>
      </c>
      <c r="E2293" s="1" t="n">
        <v>46315</v>
      </c>
      <c r="F2293" t="inlineStr">
        <is>
          <t>HALLANDS LÄN</t>
        </is>
      </c>
      <c r="G2293" t="inlineStr">
        <is>
          <t>HALMSTAD</t>
        </is>
      </c>
      <c r="I2293" t="n">
        <v>1.7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s="2" t="inlineStr"/>
    </row>
    <row r="2294" ht="15" customHeight="1">
      <c r="A2294" t="inlineStr">
        <is>
          <t>A 40669-2023</t>
        </is>
      </c>
      <c r="B2294" t="inlineStr">
        <is>
          <t>avverkningsanmälan</t>
        </is>
      </c>
      <c r="C2294" t="inlineStr">
        <is>
          <t>Föryngringsavverkning</t>
        </is>
      </c>
      <c r="D2294" s="1" t="n">
        <v>45168</v>
      </c>
      <c r="E2294" s="1" t="n">
        <v>46315</v>
      </c>
      <c r="F2294" t="inlineStr">
        <is>
          <t>HALLANDS LÄN</t>
        </is>
      </c>
      <c r="G2294" t="inlineStr">
        <is>
          <t>HALMSTAD</t>
        </is>
      </c>
      <c r="H2294" t="inlineStr">
        <is>
          <t>Kommuner</t>
        </is>
      </c>
      <c r="I2294" t="n">
        <v>4.3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s="2" t="inlineStr"/>
    </row>
    <row r="2295" ht="15" customHeight="1">
      <c r="A2295" t="inlineStr">
        <is>
          <t>A 18710-2022</t>
        </is>
      </c>
      <c r="B2295" t="inlineStr">
        <is>
          <t>avverkningsanmälan</t>
        </is>
      </c>
      <c r="C2295" t="inlineStr">
        <is>
          <t>Föryngringsavverkning</t>
        </is>
      </c>
      <c r="D2295" s="1" t="n">
        <v>44687</v>
      </c>
      <c r="E2295" s="1" t="n">
        <v>46315</v>
      </c>
      <c r="F2295" t="inlineStr">
        <is>
          <t>HALLANDS LÄN</t>
        </is>
      </c>
      <c r="G2295" t="inlineStr">
        <is>
          <t>FALKENBERG</t>
        </is>
      </c>
      <c r="I2295" t="n">
        <v>5.5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s="2" t="inlineStr"/>
    </row>
    <row r="2296" ht="15" customHeight="1">
      <c r="A2296" t="inlineStr">
        <is>
          <t>A 62139-2024</t>
        </is>
      </c>
      <c r="B2296" t="inlineStr">
        <is>
          <t>avverkningsanmälan</t>
        </is>
      </c>
      <c r="C2296" t="inlineStr">
        <is>
          <t>Föryngringsavverkning</t>
        </is>
      </c>
      <c r="D2296" s="1" t="n">
        <v>45656</v>
      </c>
      <c r="E2296" s="1" t="n">
        <v>46315</v>
      </c>
      <c r="F2296" t="inlineStr">
        <is>
          <t>HALLANDS LÄN</t>
        </is>
      </c>
      <c r="G2296" t="inlineStr">
        <is>
          <t>KUNGSBACKA</t>
        </is>
      </c>
      <c r="I2296" t="n">
        <v>0.8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s="2" t="inlineStr"/>
    </row>
    <row r="2297" ht="15" customHeight="1">
      <c r="A2297" t="inlineStr">
        <is>
          <t>A 7203-2025</t>
        </is>
      </c>
      <c r="B2297" t="inlineStr">
        <is>
          <t>avverkningsanmälan</t>
        </is>
      </c>
      <c r="C2297" t="inlineStr">
        <is>
          <t>Föryngringsavverkning</t>
        </is>
      </c>
      <c r="D2297" s="1" t="n">
        <v>45702</v>
      </c>
      <c r="E2297" s="1" t="n">
        <v>46315</v>
      </c>
      <c r="F2297" t="inlineStr">
        <is>
          <t>HALLANDS LÄN</t>
        </is>
      </c>
      <c r="G2297" t="inlineStr">
        <is>
          <t>FALKENBERG</t>
        </is>
      </c>
      <c r="I2297" t="n">
        <v>2.7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s="2" t="inlineStr"/>
    </row>
    <row r="2298" ht="15" customHeight="1">
      <c r="A2298" t="inlineStr">
        <is>
          <t>A 32801-2026</t>
        </is>
      </c>
      <c r="B2298" t="inlineStr">
        <is>
          <t>avverkningsanmälan</t>
        </is>
      </c>
      <c r="C2298" t="inlineStr">
        <is>
          <t>Föryngringsavverkning</t>
        </is>
      </c>
      <c r="D2298" s="1" t="n">
        <v>46241</v>
      </c>
      <c r="E2298" s="1" t="n">
        <v>46315</v>
      </c>
      <c r="F2298" t="inlineStr">
        <is>
          <t>HALLANDS LÄN</t>
        </is>
      </c>
      <c r="G2298" t="inlineStr">
        <is>
          <t>HYLTE</t>
        </is>
      </c>
      <c r="I2298" t="n">
        <v>1.3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s="2" t="inlineStr"/>
    </row>
    <row r="2299" ht="15" customHeight="1">
      <c r="A2299" t="inlineStr">
        <is>
          <t>A 6598-2025</t>
        </is>
      </c>
      <c r="B2299" t="inlineStr">
        <is>
          <t>avverkningsanmälan</t>
        </is>
      </c>
      <c r="C2299" t="inlineStr">
        <is>
          <t>Föryngringsavverkning</t>
        </is>
      </c>
      <c r="D2299" s="1" t="n">
        <v>45700</v>
      </c>
      <c r="E2299" s="1" t="n">
        <v>46315</v>
      </c>
      <c r="F2299" t="inlineStr">
        <is>
          <t>HALLANDS LÄN</t>
        </is>
      </c>
      <c r="G2299" t="inlineStr">
        <is>
          <t>HYLTE</t>
        </is>
      </c>
      <c r="I2299" t="n">
        <v>0.6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s="2" t="inlineStr"/>
    </row>
    <row r="2300" ht="15" customHeight="1">
      <c r="A2300" t="inlineStr">
        <is>
          <t>A 64230-2023</t>
        </is>
      </c>
      <c r="B2300" t="inlineStr">
        <is>
          <t>avverkningsanmälan</t>
        </is>
      </c>
      <c r="C2300" t="inlineStr">
        <is>
          <t>Föryngringsavverkning</t>
        </is>
      </c>
      <c r="D2300" s="1" t="n">
        <v>45279</v>
      </c>
      <c r="E2300" s="1" t="n">
        <v>46315</v>
      </c>
      <c r="F2300" t="inlineStr">
        <is>
          <t>HALLANDS LÄN</t>
        </is>
      </c>
      <c r="G2300" t="inlineStr">
        <is>
          <t>HALMSTAD</t>
        </is>
      </c>
      <c r="I2300" t="n">
        <v>3.1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s="2" t="inlineStr"/>
    </row>
    <row r="2301" ht="15" customHeight="1">
      <c r="A2301" t="inlineStr">
        <is>
          <t>A 15061-2025</t>
        </is>
      </c>
      <c r="B2301" t="inlineStr">
        <is>
          <t>avverkningsanmälan</t>
        </is>
      </c>
      <c r="C2301" t="inlineStr">
        <is>
          <t>Föryngringsavverkning</t>
        </is>
      </c>
      <c r="D2301" s="1" t="n">
        <v>45743</v>
      </c>
      <c r="E2301" s="1" t="n">
        <v>46315</v>
      </c>
      <c r="F2301" t="inlineStr">
        <is>
          <t>HALLANDS LÄN</t>
        </is>
      </c>
      <c r="G2301" t="inlineStr">
        <is>
          <t>KUNGSBACKA</t>
        </is>
      </c>
      <c r="I2301" t="n">
        <v>0.6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s="2" t="inlineStr"/>
    </row>
    <row r="2302" ht="15" customHeight="1">
      <c r="A2302" t="inlineStr">
        <is>
          <t>A 61868-2023</t>
        </is>
      </c>
      <c r="B2302" t="inlineStr">
        <is>
          <t>avverkningsanmälan</t>
        </is>
      </c>
      <c r="C2302" t="inlineStr">
        <is>
          <t>Föryngringsavverkning</t>
        </is>
      </c>
      <c r="D2302" s="1" t="n">
        <v>45266</v>
      </c>
      <c r="E2302" s="1" t="n">
        <v>46315</v>
      </c>
      <c r="F2302" t="inlineStr">
        <is>
          <t>HALLANDS LÄN</t>
        </is>
      </c>
      <c r="G2302" t="inlineStr">
        <is>
          <t>FALKENBERG</t>
        </is>
      </c>
      <c r="I2302" t="n">
        <v>1.6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s="2" t="inlineStr"/>
    </row>
    <row r="2303" ht="15" customHeight="1">
      <c r="A2303" t="inlineStr">
        <is>
          <t>A 52285-2023</t>
        </is>
      </c>
      <c r="B2303" t="inlineStr">
        <is>
          <t>avverkningsanmälan</t>
        </is>
      </c>
      <c r="C2303" t="inlineStr">
        <is>
          <t>Föryngringsavverkning</t>
        </is>
      </c>
      <c r="D2303" s="1" t="n">
        <v>45224</v>
      </c>
      <c r="E2303" s="1" t="n">
        <v>46315</v>
      </c>
      <c r="F2303" t="inlineStr">
        <is>
          <t>HALLANDS LÄN</t>
        </is>
      </c>
      <c r="G2303" t="inlineStr">
        <is>
          <t>VARBERG</t>
        </is>
      </c>
      <c r="I2303" t="n">
        <v>2.1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s="2" t="inlineStr"/>
    </row>
    <row r="2304" ht="15" customHeight="1">
      <c r="A2304" t="inlineStr">
        <is>
          <t>A 49505-2024</t>
        </is>
      </c>
      <c r="B2304" t="inlineStr">
        <is>
          <t>avverkningsanmälan</t>
        </is>
      </c>
      <c r="C2304" t="inlineStr">
        <is>
          <t>Föryngringsavverkning</t>
        </is>
      </c>
      <c r="D2304" s="1" t="n">
        <v>45596</v>
      </c>
      <c r="E2304" s="1" t="n">
        <v>46315</v>
      </c>
      <c r="F2304" t="inlineStr">
        <is>
          <t>HALLANDS LÄN</t>
        </is>
      </c>
      <c r="G2304" t="inlineStr">
        <is>
          <t>KUNGSBACKA</t>
        </is>
      </c>
      <c r="I2304" t="n">
        <v>0.3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s="2" t="inlineStr"/>
    </row>
    <row r="2305" ht="15" customHeight="1">
      <c r="A2305" t="inlineStr">
        <is>
          <t>A 529-2025</t>
        </is>
      </c>
      <c r="B2305" t="inlineStr">
        <is>
          <t>avverkningsanmälan</t>
        </is>
      </c>
      <c r="C2305" t="inlineStr">
        <is>
          <t>Föryngringsavverkning</t>
        </is>
      </c>
      <c r="D2305" s="1" t="n">
        <v>45664</v>
      </c>
      <c r="E2305" s="1" t="n">
        <v>46315</v>
      </c>
      <c r="F2305" t="inlineStr">
        <is>
          <t>HALLANDS LÄN</t>
        </is>
      </c>
      <c r="G2305" t="inlineStr">
        <is>
          <t>FALKENBERG</t>
        </is>
      </c>
      <c r="I2305" t="n">
        <v>4.7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s="2" t="inlineStr"/>
    </row>
    <row r="2306" ht="15" customHeight="1">
      <c r="A2306" t="inlineStr">
        <is>
          <t>A 38747-2026</t>
        </is>
      </c>
      <c r="B2306" t="inlineStr">
        <is>
          <t>avverkningsanmälan</t>
        </is>
      </c>
      <c r="C2306" t="inlineStr">
        <is>
          <t>Föryngringsavverkning</t>
        </is>
      </c>
      <c r="D2306" s="1" t="n">
        <v>46286</v>
      </c>
      <c r="E2306" s="1" t="n">
        <v>46315</v>
      </c>
      <c r="F2306" t="inlineStr">
        <is>
          <t>HALLANDS LÄN</t>
        </is>
      </c>
      <c r="G2306" t="inlineStr">
        <is>
          <t>HYLTE</t>
        </is>
      </c>
      <c r="I2306" t="n">
        <v>4.6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s="2" t="inlineStr"/>
    </row>
    <row r="2307" ht="15" customHeight="1">
      <c r="A2307" t="inlineStr">
        <is>
          <t>A 57433-2024</t>
        </is>
      </c>
      <c r="B2307" t="inlineStr">
        <is>
          <t>avverkningsanmälan</t>
        </is>
      </c>
      <c r="C2307" t="inlineStr">
        <is>
          <t>Föryngringsavverkning</t>
        </is>
      </c>
      <c r="D2307" s="1" t="n">
        <v>45629</v>
      </c>
      <c r="E2307" s="1" t="n">
        <v>46315</v>
      </c>
      <c r="F2307" t="inlineStr">
        <is>
          <t>HALLANDS LÄN</t>
        </is>
      </c>
      <c r="G2307" t="inlineStr">
        <is>
          <t>FALKENBERG</t>
        </is>
      </c>
      <c r="I2307" t="n">
        <v>0.5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s="2" t="inlineStr"/>
    </row>
    <row r="2308" ht="15" customHeight="1">
      <c r="A2308" t="inlineStr">
        <is>
          <t>A 37047-2026</t>
        </is>
      </c>
      <c r="B2308" t="inlineStr">
        <is>
          <t>avverkningsanmälan</t>
        </is>
      </c>
      <c r="C2308" t="inlineStr">
        <is>
          <t>Föryngringsavverkning</t>
        </is>
      </c>
      <c r="D2308" s="1" t="n">
        <v>46273</v>
      </c>
      <c r="E2308" s="1" t="n">
        <v>46315</v>
      </c>
      <c r="F2308" t="inlineStr">
        <is>
          <t>HALLANDS LÄN</t>
        </is>
      </c>
      <c r="G2308" t="inlineStr">
        <is>
          <t>HYLTE</t>
        </is>
      </c>
      <c r="I2308" t="n">
        <v>0.9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s="2" t="inlineStr"/>
    </row>
    <row r="2309" ht="15" customHeight="1">
      <c r="A2309" t="inlineStr">
        <is>
          <t>A 38755-2026</t>
        </is>
      </c>
      <c r="B2309" t="inlineStr">
        <is>
          <t>avverkningsanmälan</t>
        </is>
      </c>
      <c r="C2309" t="inlineStr">
        <is>
          <t>Föryngringsavverkning</t>
        </is>
      </c>
      <c r="D2309" s="1" t="n">
        <v>46286</v>
      </c>
      <c r="E2309" s="1" t="n">
        <v>46315</v>
      </c>
      <c r="F2309" t="inlineStr">
        <is>
          <t>HALLANDS LÄN</t>
        </is>
      </c>
      <c r="G2309" t="inlineStr">
        <is>
          <t>VARBERG</t>
        </is>
      </c>
      <c r="I2309" t="n">
        <v>1.5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s="2" t="inlineStr"/>
    </row>
    <row r="2310" ht="15" customHeight="1">
      <c r="A2310" t="inlineStr">
        <is>
          <t>A 24759-2026</t>
        </is>
      </c>
      <c r="B2310" t="inlineStr">
        <is>
          <t>avverkningsanmälan</t>
        </is>
      </c>
      <c r="C2310" t="inlineStr">
        <is>
          <t>Föryngringsavverkning</t>
        </is>
      </c>
      <c r="D2310" s="1" t="n">
        <v>46171</v>
      </c>
      <c r="E2310" s="1" t="n">
        <v>46315</v>
      </c>
      <c r="F2310" t="inlineStr">
        <is>
          <t>HALLANDS LÄN</t>
        </is>
      </c>
      <c r="G2310" t="inlineStr">
        <is>
          <t>LAHOLM</t>
        </is>
      </c>
      <c r="I2310" t="n">
        <v>4.3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s="2" t="inlineStr"/>
    </row>
    <row r="2311" ht="15" customHeight="1">
      <c r="A2311" t="inlineStr">
        <is>
          <t>A 38748-2026</t>
        </is>
      </c>
      <c r="B2311" t="inlineStr">
        <is>
          <t>avverkningsanmälan</t>
        </is>
      </c>
      <c r="C2311" t="inlineStr">
        <is>
          <t>Föryngringsavverkning</t>
        </is>
      </c>
      <c r="D2311" s="1" t="n">
        <v>46286</v>
      </c>
      <c r="E2311" s="1" t="n">
        <v>46315</v>
      </c>
      <c r="F2311" t="inlineStr">
        <is>
          <t>HALLANDS LÄN</t>
        </is>
      </c>
      <c r="G2311" t="inlineStr">
        <is>
          <t>HYLTE</t>
        </is>
      </c>
      <c r="I2311" t="n">
        <v>2.9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s="2" t="inlineStr"/>
    </row>
    <row r="2312" ht="15" customHeight="1">
      <c r="A2312" t="inlineStr">
        <is>
          <t>A 37065-2024</t>
        </is>
      </c>
      <c r="B2312" t="inlineStr">
        <is>
          <t>avverkningsanmälan</t>
        </is>
      </c>
      <c r="C2312" t="inlineStr">
        <is>
          <t>Föryngringsavverkning</t>
        </is>
      </c>
      <c r="D2312" s="1" t="n">
        <v>45539</v>
      </c>
      <c r="E2312" s="1" t="n">
        <v>46315</v>
      </c>
      <c r="F2312" t="inlineStr">
        <is>
          <t>HALLANDS LÄN</t>
        </is>
      </c>
      <c r="G2312" t="inlineStr">
        <is>
          <t>VARBERG</t>
        </is>
      </c>
      <c r="I2312" t="n">
        <v>1.7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s="2" t="inlineStr"/>
    </row>
    <row r="2313" ht="15" customHeight="1">
      <c r="A2313" t="inlineStr">
        <is>
          <t>A 24605-2023</t>
        </is>
      </c>
      <c r="B2313" t="inlineStr">
        <is>
          <t>avverkningsanmälan</t>
        </is>
      </c>
      <c r="C2313" t="inlineStr">
        <is>
          <t>Föryngringsavverkning</t>
        </is>
      </c>
      <c r="D2313" s="1" t="n">
        <v>45084</v>
      </c>
      <c r="E2313" s="1" t="n">
        <v>46315</v>
      </c>
      <c r="F2313" t="inlineStr">
        <is>
          <t>HALLANDS LÄN</t>
        </is>
      </c>
      <c r="G2313" t="inlineStr">
        <is>
          <t>HYLTE</t>
        </is>
      </c>
      <c r="I2313" t="n">
        <v>0.5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s="2" t="inlineStr"/>
    </row>
    <row r="2314" ht="15" customHeight="1">
      <c r="A2314" t="inlineStr">
        <is>
          <t>A 39055-2026</t>
        </is>
      </c>
      <c r="B2314" t="inlineStr">
        <is>
          <t>avverkningsanmälan</t>
        </is>
      </c>
      <c r="C2314" t="inlineStr">
        <is>
          <t>Föryngringsavverkning</t>
        </is>
      </c>
      <c r="D2314" s="1" t="n">
        <v>46283</v>
      </c>
      <c r="E2314" s="1" t="n">
        <v>46315</v>
      </c>
      <c r="F2314" t="inlineStr">
        <is>
          <t>HALLANDS LÄN</t>
        </is>
      </c>
      <c r="G2314" t="inlineStr">
        <is>
          <t>HYLTE</t>
        </is>
      </c>
      <c r="I2314" t="n">
        <v>1.7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s="2" t="inlineStr"/>
    </row>
    <row r="2315" ht="15" customHeight="1">
      <c r="A2315" t="inlineStr">
        <is>
          <t>A 53306-2023</t>
        </is>
      </c>
      <c r="B2315" t="inlineStr">
        <is>
          <t>avverkningsanmälan</t>
        </is>
      </c>
      <c r="C2315" t="inlineStr">
        <is>
          <t>Föryngringsavverkning</t>
        </is>
      </c>
      <c r="D2315" s="1" t="n">
        <v>45229</v>
      </c>
      <c r="E2315" s="1" t="n">
        <v>46315</v>
      </c>
      <c r="F2315" t="inlineStr">
        <is>
          <t>HALLANDS LÄN</t>
        </is>
      </c>
      <c r="G2315" t="inlineStr">
        <is>
          <t>HYLTE</t>
        </is>
      </c>
      <c r="I2315" t="n">
        <v>1.9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s="2" t="inlineStr"/>
    </row>
    <row r="2316" ht="15" customHeight="1">
      <c r="A2316" t="inlineStr">
        <is>
          <t>A 39247-2026</t>
        </is>
      </c>
      <c r="B2316" t="inlineStr">
        <is>
          <t>avverkningsanmälan</t>
        </is>
      </c>
      <c r="C2316" t="inlineStr">
        <is>
          <t>Föryngringsavverkning</t>
        </is>
      </c>
      <c r="D2316" s="1" t="n">
        <v>46288</v>
      </c>
      <c r="E2316" s="1" t="n">
        <v>46315</v>
      </c>
      <c r="F2316" t="inlineStr">
        <is>
          <t>HALLANDS LÄN</t>
        </is>
      </c>
      <c r="G2316" t="inlineStr">
        <is>
          <t>VARBERG</t>
        </is>
      </c>
      <c r="I2316" t="n">
        <v>1.3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s="2" t="inlineStr"/>
    </row>
    <row r="2317" ht="15" customHeight="1">
      <c r="A2317" t="inlineStr">
        <is>
          <t>A 35185-2026</t>
        </is>
      </c>
      <c r="B2317" t="inlineStr">
        <is>
          <t>avverkningsanmälan</t>
        </is>
      </c>
      <c r="C2317" t="inlineStr">
        <is>
          <t>Avverkning för annat ändamål</t>
        </is>
      </c>
      <c r="D2317" s="1" t="n">
        <v>46260</v>
      </c>
      <c r="E2317" s="1" t="n">
        <v>46315</v>
      </c>
      <c r="F2317" t="inlineStr">
        <is>
          <t>HALLANDS LÄN</t>
        </is>
      </c>
      <c r="G2317" t="inlineStr">
        <is>
          <t>HALMSTAD</t>
        </is>
      </c>
      <c r="I2317" t="n">
        <v>0.3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s="2" t="inlineStr"/>
    </row>
    <row r="2318" ht="15" customHeight="1">
      <c r="A2318" t="inlineStr">
        <is>
          <t>A 52975-2022</t>
        </is>
      </c>
      <c r="B2318" t="inlineStr">
        <is>
          <t>avverkningsanmälan</t>
        </is>
      </c>
      <c r="C2318" t="inlineStr">
        <is>
          <t>Föryngringsavverkning</t>
        </is>
      </c>
      <c r="D2318" s="1" t="n">
        <v>44875</v>
      </c>
      <c r="E2318" s="1" t="n">
        <v>46315</v>
      </c>
      <c r="F2318" t="inlineStr">
        <is>
          <t>HALLANDS LÄN</t>
        </is>
      </c>
      <c r="G2318" t="inlineStr">
        <is>
          <t>VARBERG</t>
        </is>
      </c>
      <c r="I2318" t="n">
        <v>4.2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s="2" t="inlineStr"/>
    </row>
    <row r="2319" ht="15" customHeight="1">
      <c r="A2319" t="inlineStr">
        <is>
          <t>A 39043-2026</t>
        </is>
      </c>
      <c r="B2319" t="inlineStr">
        <is>
          <t>avverkningsanmälan</t>
        </is>
      </c>
      <c r="C2319" t="inlineStr">
        <is>
          <t>Föryngringsavverkning</t>
        </is>
      </c>
      <c r="D2319" s="1" t="n">
        <v>46283</v>
      </c>
      <c r="E2319" s="1" t="n">
        <v>46315</v>
      </c>
      <c r="F2319" t="inlineStr">
        <is>
          <t>HALLANDS LÄN</t>
        </is>
      </c>
      <c r="G2319" t="inlineStr">
        <is>
          <t>HYLTE</t>
        </is>
      </c>
      <c r="I2319" t="n">
        <v>2.3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s="2" t="inlineStr"/>
    </row>
    <row r="2320" ht="15" customHeight="1">
      <c r="A2320" t="inlineStr">
        <is>
          <t>A 33074-2026</t>
        </is>
      </c>
      <c r="B2320" t="inlineStr">
        <is>
          <t>avverkningsanmälan</t>
        </is>
      </c>
      <c r="C2320" t="inlineStr">
        <is>
          <t>Föryngringsavverkning</t>
        </is>
      </c>
      <c r="D2320" s="1" t="n">
        <v>46245</v>
      </c>
      <c r="E2320" s="1" t="n">
        <v>46315</v>
      </c>
      <c r="F2320" t="inlineStr">
        <is>
          <t>HALLANDS LÄN</t>
        </is>
      </c>
      <c r="G2320" t="inlineStr">
        <is>
          <t>HYLTE</t>
        </is>
      </c>
      <c r="I2320" t="n">
        <v>3.2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s="2" t="inlineStr"/>
    </row>
    <row r="2321" ht="15" customHeight="1">
      <c r="A2321" t="inlineStr">
        <is>
          <t>A 52283-2023</t>
        </is>
      </c>
      <c r="B2321" t="inlineStr">
        <is>
          <t>avverkningsanmälan</t>
        </is>
      </c>
      <c r="C2321" t="inlineStr">
        <is>
          <t>Föryngringsavverkning</t>
        </is>
      </c>
      <c r="D2321" s="1" t="n">
        <v>45224</v>
      </c>
      <c r="E2321" s="1" t="n">
        <v>46315</v>
      </c>
      <c r="F2321" t="inlineStr">
        <is>
          <t>HALLANDS LÄN</t>
        </is>
      </c>
      <c r="G2321" t="inlineStr">
        <is>
          <t>VARBERG</t>
        </is>
      </c>
      <c r="I2321" t="n">
        <v>0.7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s="2" t="inlineStr"/>
    </row>
    <row r="2322" ht="15" customHeight="1">
      <c r="A2322" t="inlineStr">
        <is>
          <t>A 12803-2022</t>
        </is>
      </c>
      <c r="B2322" t="inlineStr">
        <is>
          <t>avverkningsanmälan</t>
        </is>
      </c>
      <c r="C2322" t="inlineStr">
        <is>
          <t>Föryngringsavverkning</t>
        </is>
      </c>
      <c r="D2322" s="1" t="n">
        <v>44642</v>
      </c>
      <c r="E2322" s="1" t="n">
        <v>46315</v>
      </c>
      <c r="F2322" t="inlineStr">
        <is>
          <t>HALLANDS LÄN</t>
        </is>
      </c>
      <c r="G2322" t="inlineStr">
        <is>
          <t>FALKENBERG</t>
        </is>
      </c>
      <c r="I2322" t="n">
        <v>1.7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s="2" t="inlineStr"/>
    </row>
    <row r="2323" ht="15" customHeight="1">
      <c r="A2323" t="inlineStr">
        <is>
          <t>A 58737-2023</t>
        </is>
      </c>
      <c r="B2323" t="inlineStr">
        <is>
          <t>avverkningsanmälan</t>
        </is>
      </c>
      <c r="C2323" t="inlineStr">
        <is>
          <t>Föryngringsavverkning</t>
        </is>
      </c>
      <c r="D2323" s="1" t="n">
        <v>45251</v>
      </c>
      <c r="E2323" s="1" t="n">
        <v>46315</v>
      </c>
      <c r="F2323" t="inlineStr">
        <is>
          <t>HALLANDS LÄN</t>
        </is>
      </c>
      <c r="G2323" t="inlineStr">
        <is>
          <t>HALMSTAD</t>
        </is>
      </c>
      <c r="I2323" t="n">
        <v>1.2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s="2" t="inlineStr"/>
    </row>
    <row r="2324" ht="15" customHeight="1">
      <c r="A2324" t="inlineStr">
        <is>
          <t>A 4441-2025</t>
        </is>
      </c>
      <c r="B2324" t="inlineStr">
        <is>
          <t>avverkningsanmälan</t>
        </is>
      </c>
      <c r="C2324" t="inlineStr">
        <is>
          <t>Föryngringsavverkning</t>
        </is>
      </c>
      <c r="D2324" s="1" t="n">
        <v>45686</v>
      </c>
      <c r="E2324" s="1" t="n">
        <v>46315</v>
      </c>
      <c r="F2324" t="inlineStr">
        <is>
          <t>HALLANDS LÄN</t>
        </is>
      </c>
      <c r="G2324" t="inlineStr">
        <is>
          <t>FALKENBERG</t>
        </is>
      </c>
      <c r="I2324" t="n">
        <v>0.4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s="2" t="inlineStr"/>
    </row>
    <row r="2325" ht="15" customHeight="1">
      <c r="A2325" t="inlineStr">
        <is>
          <t>A 14312-2022</t>
        </is>
      </c>
      <c r="B2325" t="inlineStr">
        <is>
          <t>avverkningsanmälan</t>
        </is>
      </c>
      <c r="C2325" t="inlineStr">
        <is>
          <t>Föryngringsavverkning</t>
        </is>
      </c>
      <c r="D2325" s="1" t="n">
        <v>44652</v>
      </c>
      <c r="E2325" s="1" t="n">
        <v>46315</v>
      </c>
      <c r="F2325" t="inlineStr">
        <is>
          <t>HALLANDS LÄN</t>
        </is>
      </c>
      <c r="G2325" t="inlineStr">
        <is>
          <t>VARBERG</t>
        </is>
      </c>
      <c r="I2325" t="n">
        <v>2.2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s="2" t="inlineStr"/>
    </row>
    <row r="2326" ht="15" customHeight="1">
      <c r="A2326" t="inlineStr">
        <is>
          <t>A 46104-2023</t>
        </is>
      </c>
      <c r="B2326" t="inlineStr">
        <is>
          <t>avverkningsanmälan</t>
        </is>
      </c>
      <c r="C2326" t="inlineStr">
        <is>
          <t>Föryngringsavverkning</t>
        </is>
      </c>
      <c r="D2326" s="1" t="n">
        <v>45196</v>
      </c>
      <c r="E2326" s="1" t="n">
        <v>46315</v>
      </c>
      <c r="F2326" t="inlineStr">
        <is>
          <t>HALLANDS LÄN</t>
        </is>
      </c>
      <c r="G2326" t="inlineStr">
        <is>
          <t>HALMSTAD</t>
        </is>
      </c>
      <c r="I2326" t="n">
        <v>2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s="2" t="inlineStr"/>
    </row>
    <row r="2327" ht="15" customHeight="1">
      <c r="A2327" t="inlineStr">
        <is>
          <t>A 39573-2024</t>
        </is>
      </c>
      <c r="B2327" t="inlineStr">
        <is>
          <t>avverkningsanmälan</t>
        </is>
      </c>
      <c r="C2327" t="inlineStr">
        <is>
          <t>Föryngringsavverkning</t>
        </is>
      </c>
      <c r="D2327" s="1" t="n">
        <v>45552</v>
      </c>
      <c r="E2327" s="1" t="n">
        <v>46315</v>
      </c>
      <c r="F2327" t="inlineStr">
        <is>
          <t>HALLANDS LÄN</t>
        </is>
      </c>
      <c r="G2327" t="inlineStr">
        <is>
          <t>FALKENBERG</t>
        </is>
      </c>
      <c r="I2327" t="n">
        <v>1.9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s="2" t="inlineStr"/>
    </row>
    <row r="2328" ht="15" customHeight="1">
      <c r="A2328" t="inlineStr">
        <is>
          <t>A 8058-2024</t>
        </is>
      </c>
      <c r="B2328" t="inlineStr">
        <is>
          <t>avverkningsanmälan</t>
        </is>
      </c>
      <c r="C2328" t="inlineStr">
        <is>
          <t>Föryngringsavverkning</t>
        </is>
      </c>
      <c r="D2328" s="1" t="n">
        <v>45351</v>
      </c>
      <c r="E2328" s="1" t="n">
        <v>46315</v>
      </c>
      <c r="F2328" t="inlineStr">
        <is>
          <t>HALLANDS LÄN</t>
        </is>
      </c>
      <c r="G2328" t="inlineStr">
        <is>
          <t>FALKENBERG</t>
        </is>
      </c>
      <c r="I2328" t="n">
        <v>3.8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s="2" t="inlineStr"/>
    </row>
    <row r="2329" ht="15" customHeight="1">
      <c r="A2329" t="inlineStr">
        <is>
          <t>A 58995-2023</t>
        </is>
      </c>
      <c r="B2329" t="inlineStr">
        <is>
          <t>avverkningsanmälan</t>
        </is>
      </c>
      <c r="C2329" t="inlineStr">
        <is>
          <t>Föryngringsavverkning</t>
        </is>
      </c>
      <c r="D2329" s="1" t="n">
        <v>45252</v>
      </c>
      <c r="E2329" s="1" t="n">
        <v>46315</v>
      </c>
      <c r="F2329" t="inlineStr">
        <is>
          <t>HALLANDS LÄN</t>
        </is>
      </c>
      <c r="G2329" t="inlineStr">
        <is>
          <t>HYLTE</t>
        </is>
      </c>
      <c r="I2329" t="n">
        <v>2.7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s="2" t="inlineStr"/>
    </row>
    <row r="2330" ht="15" customHeight="1">
      <c r="A2330" t="inlineStr">
        <is>
          <t>A 39303-2026</t>
        </is>
      </c>
      <c r="B2330" t="inlineStr">
        <is>
          <t>avverkningsanmälan</t>
        </is>
      </c>
      <c r="C2330" t="inlineStr">
        <is>
          <t>Föryngringsavverkning</t>
        </is>
      </c>
      <c r="D2330" s="1" t="n">
        <v>46288</v>
      </c>
      <c r="E2330" s="1" t="n">
        <v>46315</v>
      </c>
      <c r="F2330" t="inlineStr">
        <is>
          <t>HALLANDS LÄN</t>
        </is>
      </c>
      <c r="G2330" t="inlineStr">
        <is>
          <t>HALMSTAD</t>
        </is>
      </c>
      <c r="I2330" t="n">
        <v>1.1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s="2" t="inlineStr"/>
    </row>
    <row r="2331" ht="15" customHeight="1">
      <c r="A2331" t="inlineStr">
        <is>
          <t>A 44353-2023</t>
        </is>
      </c>
      <c r="B2331" t="inlineStr">
        <is>
          <t>avverkningsanmälan</t>
        </is>
      </c>
      <c r="C2331" t="inlineStr">
        <is>
          <t>Föryngringsavverkning</t>
        </is>
      </c>
      <c r="D2331" s="1" t="n">
        <v>45188</v>
      </c>
      <c r="E2331" s="1" t="n">
        <v>46315</v>
      </c>
      <c r="F2331" t="inlineStr">
        <is>
          <t>HALLANDS LÄN</t>
        </is>
      </c>
      <c r="G2331" t="inlineStr">
        <is>
          <t>KUNGSBACKA</t>
        </is>
      </c>
      <c r="I2331" t="n">
        <v>4.8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s="2" t="inlineStr"/>
    </row>
    <row r="2332" ht="15" customHeight="1">
      <c r="A2332" t="inlineStr">
        <is>
          <t>A 45914-2022</t>
        </is>
      </c>
      <c r="B2332" t="inlineStr">
        <is>
          <t>avverkningsanmälan</t>
        </is>
      </c>
      <c r="C2332" t="inlineStr">
        <is>
          <t>Föryngringsavverkning</t>
        </is>
      </c>
      <c r="D2332" s="1" t="n">
        <v>44846</v>
      </c>
      <c r="E2332" s="1" t="n">
        <v>46315</v>
      </c>
      <c r="F2332" t="inlineStr">
        <is>
          <t>HALLANDS LÄN</t>
        </is>
      </c>
      <c r="G2332" t="inlineStr">
        <is>
          <t>FALKENBERG</t>
        </is>
      </c>
      <c r="I2332" t="n">
        <v>0.5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s="2" t="inlineStr"/>
    </row>
    <row r="2333" ht="15" customHeight="1">
      <c r="A2333" t="inlineStr">
        <is>
          <t>A 51134-2023</t>
        </is>
      </c>
      <c r="B2333" t="inlineStr">
        <is>
          <t>avverkningsanmälan</t>
        </is>
      </c>
      <c r="C2333" t="inlineStr">
        <is>
          <t>Föryngringsavverkning</t>
        </is>
      </c>
      <c r="D2333" s="1" t="n">
        <v>45219</v>
      </c>
      <c r="E2333" s="1" t="n">
        <v>46315</v>
      </c>
      <c r="F2333" t="inlineStr">
        <is>
          <t>HALLANDS LÄN</t>
        </is>
      </c>
      <c r="G2333" t="inlineStr">
        <is>
          <t>LAHOLM</t>
        </is>
      </c>
      <c r="I2333" t="n">
        <v>1.6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s="2" t="inlineStr"/>
    </row>
    <row r="2334" ht="15" customHeight="1">
      <c r="A2334" t="inlineStr">
        <is>
          <t>A 29167-2022</t>
        </is>
      </c>
      <c r="B2334" t="inlineStr">
        <is>
          <t>avverkningsanmälan</t>
        </is>
      </c>
      <c r="C2334" t="inlineStr">
        <is>
          <t>Föryngringsavverkning</t>
        </is>
      </c>
      <c r="D2334" s="1" t="n">
        <v>44750</v>
      </c>
      <c r="E2334" s="1" t="n">
        <v>46315</v>
      </c>
      <c r="F2334" t="inlineStr">
        <is>
          <t>HALLANDS LÄN</t>
        </is>
      </c>
      <c r="G2334" t="inlineStr">
        <is>
          <t>HYLTE</t>
        </is>
      </c>
      <c r="I2334" t="n">
        <v>2.2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s="2" t="inlineStr"/>
    </row>
    <row r="2335" ht="15" customHeight="1">
      <c r="A2335" t="inlineStr">
        <is>
          <t>A 10508-2024</t>
        </is>
      </c>
      <c r="B2335" t="inlineStr">
        <is>
          <t>avverkningsanmälan</t>
        </is>
      </c>
      <c r="C2335" t="inlineStr">
        <is>
          <t>Föryngringsavverkning</t>
        </is>
      </c>
      <c r="D2335" s="1" t="n">
        <v>45368</v>
      </c>
      <c r="E2335" s="1" t="n">
        <v>46315</v>
      </c>
      <c r="F2335" t="inlineStr">
        <is>
          <t>HALLANDS LÄN</t>
        </is>
      </c>
      <c r="G2335" t="inlineStr">
        <is>
          <t>HYLTE</t>
        </is>
      </c>
      <c r="H2335" t="inlineStr">
        <is>
          <t>Kyrkan</t>
        </is>
      </c>
      <c r="I2335" t="n">
        <v>2.3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s="2" t="inlineStr"/>
    </row>
    <row r="2336" ht="15" customHeight="1">
      <c r="A2336" t="inlineStr">
        <is>
          <t>A 39037-2026</t>
        </is>
      </c>
      <c r="B2336" t="inlineStr">
        <is>
          <t>avverkningsanmälan</t>
        </is>
      </c>
      <c r="C2336" t="inlineStr">
        <is>
          <t>Föryngringsavverkning</t>
        </is>
      </c>
      <c r="D2336" s="1" t="n">
        <v>46283</v>
      </c>
      <c r="E2336" s="1" t="n">
        <v>46315</v>
      </c>
      <c r="F2336" t="inlineStr">
        <is>
          <t>HALLANDS LÄN</t>
        </is>
      </c>
      <c r="G2336" t="inlineStr">
        <is>
          <t>HYLTE</t>
        </is>
      </c>
      <c r="I2336" t="n">
        <v>2.9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s="2" t="inlineStr"/>
    </row>
    <row r="2337" ht="15" customHeight="1">
      <c r="A2337" t="inlineStr">
        <is>
          <t>A 5886-2024</t>
        </is>
      </c>
      <c r="B2337" t="inlineStr">
        <is>
          <t>avverkningsanmälan</t>
        </is>
      </c>
      <c r="C2337" t="inlineStr">
        <is>
          <t>Föryngringsavverkning</t>
        </is>
      </c>
      <c r="D2337" s="1" t="n">
        <v>45335</v>
      </c>
      <c r="E2337" s="1" t="n">
        <v>46315</v>
      </c>
      <c r="F2337" t="inlineStr">
        <is>
          <t>HALLANDS LÄN</t>
        </is>
      </c>
      <c r="G2337" t="inlineStr">
        <is>
          <t>HALMSTAD</t>
        </is>
      </c>
      <c r="I2337" t="n">
        <v>2.4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s="2" t="inlineStr"/>
    </row>
    <row r="2338" ht="15" customHeight="1">
      <c r="A2338" t="inlineStr">
        <is>
          <t>A 4326-2024</t>
        </is>
      </c>
      <c r="B2338" t="inlineStr">
        <is>
          <t>avverkningsanmälan</t>
        </is>
      </c>
      <c r="C2338" t="inlineStr">
        <is>
          <t>Föryngringsavverkning</t>
        </is>
      </c>
      <c r="D2338" s="1" t="n">
        <v>45324</v>
      </c>
      <c r="E2338" s="1" t="n">
        <v>46315</v>
      </c>
      <c r="F2338" t="inlineStr">
        <is>
          <t>HALLANDS LÄN</t>
        </is>
      </c>
      <c r="G2338" t="inlineStr">
        <is>
          <t>FALKENBERG</t>
        </is>
      </c>
      <c r="I2338" t="n">
        <v>0.6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s="2" t="inlineStr"/>
    </row>
    <row r="2339" ht="15" customHeight="1">
      <c r="A2339" t="inlineStr">
        <is>
          <t>A 56496-2022</t>
        </is>
      </c>
      <c r="B2339" t="inlineStr">
        <is>
          <t>avverkningsanmälan</t>
        </is>
      </c>
      <c r="C2339" t="inlineStr">
        <is>
          <t>Föryngringsavverkning</t>
        </is>
      </c>
      <c r="D2339" s="1" t="n">
        <v>44893</v>
      </c>
      <c r="E2339" s="1" t="n">
        <v>46315</v>
      </c>
      <c r="F2339" t="inlineStr">
        <is>
          <t>HALLANDS LÄN</t>
        </is>
      </c>
      <c r="G2339" t="inlineStr">
        <is>
          <t>HYLTE</t>
        </is>
      </c>
      <c r="I2339" t="n">
        <v>0.6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s="2" t="inlineStr"/>
    </row>
    <row r="2340" ht="15" customHeight="1">
      <c r="A2340" t="inlineStr">
        <is>
          <t>A 56656-2023</t>
        </is>
      </c>
      <c r="B2340" t="inlineStr">
        <is>
          <t>avverkningsanmälan</t>
        </is>
      </c>
      <c r="C2340" t="inlineStr">
        <is>
          <t>Föryngringsavverkning</t>
        </is>
      </c>
      <c r="D2340" s="1" t="n">
        <v>45243</v>
      </c>
      <c r="E2340" s="1" t="n">
        <v>46315</v>
      </c>
      <c r="F2340" t="inlineStr">
        <is>
          <t>HALLANDS LÄN</t>
        </is>
      </c>
      <c r="G2340" t="inlineStr">
        <is>
          <t>FALKENBERG</t>
        </is>
      </c>
      <c r="I2340" t="n">
        <v>5.1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s="2" t="inlineStr"/>
    </row>
    <row r="2341" ht="15" customHeight="1">
      <c r="A2341" t="inlineStr">
        <is>
          <t>A 28643-2025</t>
        </is>
      </c>
      <c r="B2341" t="inlineStr">
        <is>
          <t>avverkningsanmälan</t>
        </is>
      </c>
      <c r="C2341" t="inlineStr">
        <is>
          <t>Föryngringsavverkning</t>
        </is>
      </c>
      <c r="D2341" s="1" t="n">
        <v>45819</v>
      </c>
      <c r="E2341" s="1" t="n">
        <v>46315</v>
      </c>
      <c r="F2341" t="inlineStr">
        <is>
          <t>HALLANDS LÄN</t>
        </is>
      </c>
      <c r="G2341" t="inlineStr">
        <is>
          <t>VARBERG</t>
        </is>
      </c>
      <c r="I2341" t="n">
        <v>1.1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s="2" t="inlineStr"/>
    </row>
    <row r="2342" ht="15" customHeight="1">
      <c r="A2342" t="inlineStr">
        <is>
          <t>A 18460-2025</t>
        </is>
      </c>
      <c r="B2342" t="inlineStr">
        <is>
          <t>avverkningsanmälan</t>
        </is>
      </c>
      <c r="C2342" t="inlineStr">
        <is>
          <t>Föryngringsavverkning</t>
        </is>
      </c>
      <c r="D2342" s="1" t="n">
        <v>45762</v>
      </c>
      <c r="E2342" s="1" t="n">
        <v>46315</v>
      </c>
      <c r="F2342" t="inlineStr">
        <is>
          <t>HALLANDS LÄN</t>
        </is>
      </c>
      <c r="G2342" t="inlineStr">
        <is>
          <t>VARBERG</t>
        </is>
      </c>
      <c r="I2342" t="n">
        <v>7.5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s="2" t="inlineStr"/>
    </row>
    <row r="2343" ht="15" customHeight="1">
      <c r="A2343" t="inlineStr">
        <is>
          <t>A 21944-2026</t>
        </is>
      </c>
      <c r="B2343" t="inlineStr">
        <is>
          <t>avverkningsanmälan</t>
        </is>
      </c>
      <c r="C2343" t="inlineStr">
        <is>
          <t>Föryngringsavverkning</t>
        </is>
      </c>
      <c r="D2343" s="1" t="n">
        <v>46150</v>
      </c>
      <c r="E2343" s="1" t="n">
        <v>46315</v>
      </c>
      <c r="F2343" t="inlineStr">
        <is>
          <t>HALLANDS LÄN</t>
        </is>
      </c>
      <c r="G2343" t="inlineStr">
        <is>
          <t>KUNGSBACKA</t>
        </is>
      </c>
      <c r="I2343" t="n">
        <v>3.9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s="2" t="inlineStr"/>
    </row>
    <row r="2344" ht="15" customHeight="1">
      <c r="A2344" t="inlineStr">
        <is>
          <t>A 442-2025</t>
        </is>
      </c>
      <c r="B2344" t="inlineStr">
        <is>
          <t>avverkningsanmälan</t>
        </is>
      </c>
      <c r="C2344" t="inlineStr">
        <is>
          <t>Avverkning för att bevara och utveckla /försöksver</t>
        </is>
      </c>
      <c r="D2344" s="1" t="n">
        <v>45664</v>
      </c>
      <c r="E2344" s="1" t="n">
        <v>46315</v>
      </c>
      <c r="F2344" t="inlineStr">
        <is>
          <t>HALLANDS LÄN</t>
        </is>
      </c>
      <c r="G2344" t="inlineStr">
        <is>
          <t>LAHOLM</t>
        </is>
      </c>
      <c r="H2344" t="inlineStr">
        <is>
          <t>Sveaskog</t>
        </is>
      </c>
      <c r="I2344" t="n">
        <v>0.8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s="2" t="inlineStr"/>
    </row>
    <row r="2345" ht="15" customHeight="1">
      <c r="A2345" t="inlineStr">
        <is>
          <t>A 19375-2025</t>
        </is>
      </c>
      <c r="B2345" t="inlineStr">
        <is>
          <t>avverkningsanmälan</t>
        </is>
      </c>
      <c r="C2345" t="inlineStr">
        <is>
          <t>Föryngringsavverkning</t>
        </is>
      </c>
      <c r="D2345" s="1" t="n">
        <v>45769</v>
      </c>
      <c r="E2345" s="1" t="n">
        <v>46315</v>
      </c>
      <c r="F2345" t="inlineStr">
        <is>
          <t>HALLANDS LÄN</t>
        </is>
      </c>
      <c r="G2345" t="inlineStr">
        <is>
          <t>VARBERG</t>
        </is>
      </c>
      <c r="I2345" t="n">
        <v>3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s="2" t="inlineStr"/>
    </row>
    <row r="2346" ht="15" customHeight="1">
      <c r="A2346" t="inlineStr">
        <is>
          <t>A 3147-2024</t>
        </is>
      </c>
      <c r="B2346" t="inlineStr">
        <is>
          <t>avverkningsanmälan</t>
        </is>
      </c>
      <c r="C2346" t="inlineStr">
        <is>
          <t>Föryngringsavverkning</t>
        </is>
      </c>
      <c r="D2346" s="1" t="n">
        <v>45316</v>
      </c>
      <c r="E2346" s="1" t="n">
        <v>46315</v>
      </c>
      <c r="F2346" t="inlineStr">
        <is>
          <t>HALLANDS LÄN</t>
        </is>
      </c>
      <c r="G2346" t="inlineStr">
        <is>
          <t>HALMSTAD</t>
        </is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s="2" t="inlineStr"/>
    </row>
    <row r="2347" ht="15" customHeight="1">
      <c r="A2347" t="inlineStr">
        <is>
          <t>A 928-2025</t>
        </is>
      </c>
      <c r="B2347" t="inlineStr">
        <is>
          <t>avverkningsanmälan</t>
        </is>
      </c>
      <c r="C2347" t="inlineStr">
        <is>
          <t>Föryngringsavverkning</t>
        </is>
      </c>
      <c r="D2347" s="1" t="n">
        <v>45665</v>
      </c>
      <c r="E2347" s="1" t="n">
        <v>46315</v>
      </c>
      <c r="F2347" t="inlineStr">
        <is>
          <t>HALLANDS LÄN</t>
        </is>
      </c>
      <c r="G2347" t="inlineStr">
        <is>
          <t>VARBERG</t>
        </is>
      </c>
      <c r="I2347" t="n">
        <v>3.1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s="2" t="inlineStr"/>
    </row>
    <row r="2348" ht="15" customHeight="1">
      <c r="A2348" t="inlineStr">
        <is>
          <t>A 32402-2023</t>
        </is>
      </c>
      <c r="B2348" t="inlineStr">
        <is>
          <t>avverkningsanmälan</t>
        </is>
      </c>
      <c r="C2348" t="inlineStr">
        <is>
          <t>Föryngringsavverkning</t>
        </is>
      </c>
      <c r="D2348" s="1" t="n">
        <v>45120</v>
      </c>
      <c r="E2348" s="1" t="n">
        <v>46315</v>
      </c>
      <c r="F2348" t="inlineStr">
        <is>
          <t>HALLANDS LÄN</t>
        </is>
      </c>
      <c r="G2348" t="inlineStr">
        <is>
          <t>FALKENBERG</t>
        </is>
      </c>
      <c r="I2348" t="n">
        <v>5.5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s="2" t="inlineStr"/>
    </row>
    <row r="2349" ht="15" customHeight="1">
      <c r="A2349" t="inlineStr">
        <is>
          <t>A 48754-2023</t>
        </is>
      </c>
      <c r="B2349" t="inlineStr">
        <is>
          <t>avverkningsanmälan</t>
        </is>
      </c>
      <c r="C2349" t="inlineStr">
        <is>
          <t>Avverkning för annat ändamål</t>
        </is>
      </c>
      <c r="D2349" s="1" t="n">
        <v>45208</v>
      </c>
      <c r="E2349" s="1" t="n">
        <v>46315</v>
      </c>
      <c r="F2349" t="inlineStr">
        <is>
          <t>HALLANDS LÄN</t>
        </is>
      </c>
      <c r="G2349" t="inlineStr">
        <is>
          <t>KUNGSBACKA</t>
        </is>
      </c>
      <c r="I2349" t="n">
        <v>1.6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s="2" t="inlineStr"/>
    </row>
    <row r="2350" ht="15" customHeight="1">
      <c r="A2350" t="inlineStr">
        <is>
          <t>A 42201-2024</t>
        </is>
      </c>
      <c r="B2350" t="inlineStr">
        <is>
          <t>avverkningsanmälan</t>
        </is>
      </c>
      <c r="C2350" t="inlineStr">
        <is>
          <t>Föryngringsavverkning</t>
        </is>
      </c>
      <c r="D2350" s="1" t="n">
        <v>45562</v>
      </c>
      <c r="E2350" s="1" t="n">
        <v>46315</v>
      </c>
      <c r="F2350" t="inlineStr">
        <is>
          <t>HALLANDS LÄN</t>
        </is>
      </c>
      <c r="G2350" t="inlineStr">
        <is>
          <t>HALMSTAD</t>
        </is>
      </c>
      <c r="I2350" t="n">
        <v>2.2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s="2" t="inlineStr"/>
    </row>
    <row r="2351" ht="15" customHeight="1">
      <c r="A2351" t="inlineStr">
        <is>
          <t>A 42204-2024</t>
        </is>
      </c>
      <c r="B2351" t="inlineStr">
        <is>
          <t>avverkningsanmälan</t>
        </is>
      </c>
      <c r="C2351" t="inlineStr">
        <is>
          <t>Föryngringsavverkning</t>
        </is>
      </c>
      <c r="D2351" s="1" t="n">
        <v>45562</v>
      </c>
      <c r="E2351" s="1" t="n">
        <v>46315</v>
      </c>
      <c r="F2351" t="inlineStr">
        <is>
          <t>HALLANDS LÄN</t>
        </is>
      </c>
      <c r="G2351" t="inlineStr">
        <is>
          <t>HALMSTAD</t>
        </is>
      </c>
      <c r="I2351" t="n">
        <v>1.5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s="2" t="inlineStr"/>
    </row>
    <row r="2352" ht="15" customHeight="1">
      <c r="A2352" t="inlineStr">
        <is>
          <t>A 27732-2023</t>
        </is>
      </c>
      <c r="B2352" t="inlineStr">
        <is>
          <t>avverkningsanmälan</t>
        </is>
      </c>
      <c r="C2352" t="inlineStr">
        <is>
          <t>Föryngringsavverkning</t>
        </is>
      </c>
      <c r="D2352" s="1" t="n">
        <v>45098</v>
      </c>
      <c r="E2352" s="1" t="n">
        <v>46315</v>
      </c>
      <c r="F2352" t="inlineStr">
        <is>
          <t>HALLANDS LÄN</t>
        </is>
      </c>
      <c r="G2352" t="inlineStr">
        <is>
          <t>LAHOLM</t>
        </is>
      </c>
      <c r="I2352" t="n">
        <v>1.8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s="2" t="inlineStr"/>
    </row>
    <row r="2353" ht="15" customHeight="1">
      <c r="A2353" t="inlineStr">
        <is>
          <t>A 59061-2025</t>
        </is>
      </c>
      <c r="B2353" t="inlineStr">
        <is>
          <t>avverkningsanmälan</t>
        </is>
      </c>
      <c r="C2353" t="inlineStr">
        <is>
          <t>Föryngringsavverkning</t>
        </is>
      </c>
      <c r="D2353" s="1" t="n">
        <v>45988</v>
      </c>
      <c r="E2353" s="1" t="n">
        <v>46315</v>
      </c>
      <c r="F2353" t="inlineStr">
        <is>
          <t>HALLANDS LÄN</t>
        </is>
      </c>
      <c r="G2353" t="inlineStr">
        <is>
          <t>HALMSTAD</t>
        </is>
      </c>
      <c r="I2353" t="n">
        <v>1.7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s="2" t="inlineStr"/>
    </row>
    <row r="2354" ht="15" customHeight="1">
      <c r="A2354" t="inlineStr">
        <is>
          <t>A 1115-2026</t>
        </is>
      </c>
      <c r="B2354" t="inlineStr">
        <is>
          <t>avverkningsanmälan</t>
        </is>
      </c>
      <c r="C2354" t="inlineStr">
        <is>
          <t>Föryngringsavverkning</t>
        </is>
      </c>
      <c r="D2354" s="1" t="n">
        <v>46030</v>
      </c>
      <c r="E2354" s="1" t="n">
        <v>46315</v>
      </c>
      <c r="F2354" t="inlineStr">
        <is>
          <t>HALLANDS LÄN</t>
        </is>
      </c>
      <c r="G2354" t="inlineStr">
        <is>
          <t>HYLTE</t>
        </is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s="2" t="inlineStr"/>
    </row>
    <row r="2355" ht="15" customHeight="1">
      <c r="A2355" t="inlineStr">
        <is>
          <t>A 3199-2026</t>
        </is>
      </c>
      <c r="B2355" t="inlineStr">
        <is>
          <t>avverkningsanmälan</t>
        </is>
      </c>
      <c r="C2355" t="inlineStr">
        <is>
          <t>Föryngringsavverkning</t>
        </is>
      </c>
      <c r="D2355" s="1" t="n">
        <v>46041</v>
      </c>
      <c r="E2355" s="1" t="n">
        <v>46315</v>
      </c>
      <c r="F2355" t="inlineStr">
        <is>
          <t>HALLANDS LÄN</t>
        </is>
      </c>
      <c r="G2355" t="inlineStr">
        <is>
          <t>FALKENBERG</t>
        </is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s="2" t="inlineStr"/>
    </row>
    <row r="2356" ht="15" customHeight="1">
      <c r="A2356" t="inlineStr">
        <is>
          <t>A 38923-2026</t>
        </is>
      </c>
      <c r="B2356" t="inlineStr">
        <is>
          <t>avverkningsanmälan</t>
        </is>
      </c>
      <c r="C2356" t="inlineStr">
        <is>
          <t>Föryngringsavverkning</t>
        </is>
      </c>
      <c r="D2356" s="1" t="n">
        <v>46281</v>
      </c>
      <c r="E2356" s="1" t="n">
        <v>46315</v>
      </c>
      <c r="F2356" t="inlineStr">
        <is>
          <t>HALLANDS LÄN</t>
        </is>
      </c>
      <c r="G2356" t="inlineStr">
        <is>
          <t>HYLTE</t>
        </is>
      </c>
      <c r="I2356" t="n">
        <v>0.7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s="2" t="inlineStr"/>
    </row>
    <row r="2357" ht="15" customHeight="1">
      <c r="A2357" t="inlineStr">
        <is>
          <t>A 48022-2024</t>
        </is>
      </c>
      <c r="B2357" t="inlineStr">
        <is>
          <t>avverkningsanmälan</t>
        </is>
      </c>
      <c r="C2357" t="inlineStr">
        <is>
          <t>Föryngringsavverkning</t>
        </is>
      </c>
      <c r="D2357" s="1" t="n">
        <v>45589</v>
      </c>
      <c r="E2357" s="1" t="n">
        <v>46315</v>
      </c>
      <c r="F2357" t="inlineStr">
        <is>
          <t>HALLANDS LÄN</t>
        </is>
      </c>
      <c r="G2357" t="inlineStr">
        <is>
          <t>HALMSTAD</t>
        </is>
      </c>
      <c r="I2357" t="n">
        <v>3.3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s="2" t="inlineStr"/>
    </row>
    <row r="2358" ht="15" customHeight="1">
      <c r="A2358" t="inlineStr">
        <is>
          <t>A 37661-2024</t>
        </is>
      </c>
      <c r="B2358" t="inlineStr">
        <is>
          <t>avverkningsanmälan</t>
        </is>
      </c>
      <c r="C2358" t="inlineStr">
        <is>
          <t>Föryngringsavverkning</t>
        </is>
      </c>
      <c r="D2358" s="1" t="n">
        <v>45541</v>
      </c>
      <c r="E2358" s="1" t="n">
        <v>46315</v>
      </c>
      <c r="F2358" t="inlineStr">
        <is>
          <t>HALLANDS LÄN</t>
        </is>
      </c>
      <c r="G2358" t="inlineStr">
        <is>
          <t>HYLTE</t>
        </is>
      </c>
      <c r="I2358" t="n">
        <v>0.5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s="2" t="inlineStr"/>
    </row>
    <row r="2359" ht="15" customHeight="1">
      <c r="A2359" t="inlineStr">
        <is>
          <t>A 3003-2025</t>
        </is>
      </c>
      <c r="B2359" t="inlineStr">
        <is>
          <t>avverkningsanmälan</t>
        </is>
      </c>
      <c r="C2359" t="inlineStr">
        <is>
          <t>Föryngringsavverkning</t>
        </is>
      </c>
      <c r="D2359" s="1" t="n">
        <v>45678</v>
      </c>
      <c r="E2359" s="1" t="n">
        <v>46315</v>
      </c>
      <c r="F2359" t="inlineStr">
        <is>
          <t>HALLANDS LÄN</t>
        </is>
      </c>
      <c r="G2359" t="inlineStr">
        <is>
          <t>VARBERG</t>
        </is>
      </c>
      <c r="H2359" t="inlineStr">
        <is>
          <t>Kyrkan</t>
        </is>
      </c>
      <c r="I2359" t="n">
        <v>3.4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s="2" t="inlineStr"/>
    </row>
    <row r="2360" ht="15" customHeight="1">
      <c r="A2360" t="inlineStr">
        <is>
          <t>A 17745-2023</t>
        </is>
      </c>
      <c r="B2360" t="inlineStr">
        <is>
          <t>avverkningsanmälan</t>
        </is>
      </c>
      <c r="C2360" t="inlineStr">
        <is>
          <t>Föryngringsavverkning</t>
        </is>
      </c>
      <c r="D2360" s="1" t="n">
        <v>45037</v>
      </c>
      <c r="E2360" s="1" t="n">
        <v>46315</v>
      </c>
      <c r="F2360" t="inlineStr">
        <is>
          <t>HALLANDS LÄN</t>
        </is>
      </c>
      <c r="G2360" t="inlineStr">
        <is>
          <t>FALKENBERG</t>
        </is>
      </c>
      <c r="I2360" t="n">
        <v>1.3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s="2" t="inlineStr"/>
    </row>
    <row r="2361" ht="15" customHeight="1">
      <c r="A2361" t="inlineStr">
        <is>
          <t>A 38655-2026</t>
        </is>
      </c>
      <c r="B2361" t="inlineStr">
        <is>
          <t>avverkningsanmälan</t>
        </is>
      </c>
      <c r="C2361" t="inlineStr">
        <is>
          <t>Föryngringsavverkning</t>
        </is>
      </c>
      <c r="D2361" s="1" t="n">
        <v>46281</v>
      </c>
      <c r="E2361" s="1" t="n">
        <v>46315</v>
      </c>
      <c r="F2361" t="inlineStr">
        <is>
          <t>HALLANDS LÄN</t>
        </is>
      </c>
      <c r="G2361" t="inlineStr">
        <is>
          <t>HYLTE</t>
        </is>
      </c>
      <c r="I2361" t="n">
        <v>3.7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s="2" t="inlineStr"/>
    </row>
    <row r="2362" ht="15" customHeight="1">
      <c r="A2362" t="inlineStr">
        <is>
          <t>A 35041-2024</t>
        </is>
      </c>
      <c r="B2362" t="inlineStr">
        <is>
          <t>avverkningsanmälan</t>
        </is>
      </c>
      <c r="C2362" t="inlineStr">
        <is>
          <t>Föryngringsavverkning</t>
        </is>
      </c>
      <c r="D2362" s="1" t="n">
        <v>45527</v>
      </c>
      <c r="E2362" s="1" t="n">
        <v>46315</v>
      </c>
      <c r="F2362" t="inlineStr">
        <is>
          <t>HALLANDS LÄN</t>
        </is>
      </c>
      <c r="G2362" t="inlineStr">
        <is>
          <t>HYLTE</t>
        </is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s="2" t="inlineStr"/>
    </row>
    <row r="2363" ht="15" customHeight="1">
      <c r="A2363" t="inlineStr">
        <is>
          <t>A 10252-2023</t>
        </is>
      </c>
      <c r="B2363" t="inlineStr">
        <is>
          <t>avverkningsanmälan</t>
        </is>
      </c>
      <c r="C2363" t="inlineStr">
        <is>
          <t>Föryngringsavverkning</t>
        </is>
      </c>
      <c r="D2363" s="1" t="n">
        <v>44986</v>
      </c>
      <c r="E2363" s="1" t="n">
        <v>46315</v>
      </c>
      <c r="F2363" t="inlineStr">
        <is>
          <t>HALLANDS LÄN</t>
        </is>
      </c>
      <c r="G2363" t="inlineStr">
        <is>
          <t>FALKENBERG</t>
        </is>
      </c>
      <c r="I2363" t="n">
        <v>4.1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s="2" t="inlineStr"/>
    </row>
    <row r="2364" ht="15" customHeight="1">
      <c r="A2364" t="inlineStr">
        <is>
          <t>A 3735-2025</t>
        </is>
      </c>
      <c r="B2364" t="inlineStr">
        <is>
          <t>avverkningsanmälan</t>
        </is>
      </c>
      <c r="C2364" t="inlineStr">
        <is>
          <t>Föryngringsavverkning</t>
        </is>
      </c>
      <c r="D2364" s="1" t="n">
        <v>45681</v>
      </c>
      <c r="E2364" s="1" t="n">
        <v>46315</v>
      </c>
      <c r="F2364" t="inlineStr">
        <is>
          <t>HALLANDS LÄN</t>
        </is>
      </c>
      <c r="G2364" t="inlineStr">
        <is>
          <t>FALKENBERG</t>
        </is>
      </c>
      <c r="I2364" t="n">
        <v>0.8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s="2" t="inlineStr"/>
    </row>
    <row r="2365" ht="15" customHeight="1">
      <c r="A2365" t="inlineStr">
        <is>
          <t>A 967-2023</t>
        </is>
      </c>
      <c r="B2365" t="inlineStr">
        <is>
          <t>avverkningsanmälan</t>
        </is>
      </c>
      <c r="C2365" t="inlineStr">
        <is>
          <t>Föryngringsavverkning</t>
        </is>
      </c>
      <c r="D2365" s="1" t="n">
        <v>44935</v>
      </c>
      <c r="E2365" s="1" t="n">
        <v>46315</v>
      </c>
      <c r="F2365" t="inlineStr">
        <is>
          <t>HALLANDS LÄN</t>
        </is>
      </c>
      <c r="G2365" t="inlineStr">
        <is>
          <t>VARBERG</t>
        </is>
      </c>
      <c r="I2365" t="n">
        <v>0.8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s="2" t="inlineStr"/>
    </row>
    <row r="2366" ht="15" customHeight="1">
      <c r="A2366" t="inlineStr">
        <is>
          <t>A 21723-2023</t>
        </is>
      </c>
      <c r="B2366" t="inlineStr">
        <is>
          <t>avverkningsanmälan</t>
        </is>
      </c>
      <c r="C2366" t="inlineStr">
        <is>
          <t>Föryngringsavverkning</t>
        </is>
      </c>
      <c r="D2366" s="1" t="n">
        <v>45065</v>
      </c>
      <c r="E2366" s="1" t="n">
        <v>46315</v>
      </c>
      <c r="F2366" t="inlineStr">
        <is>
          <t>HALLANDS LÄN</t>
        </is>
      </c>
      <c r="G2366" t="inlineStr">
        <is>
          <t>HALMSTAD</t>
        </is>
      </c>
      <c r="I2366" t="n">
        <v>4.4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s="2" t="inlineStr"/>
    </row>
    <row r="2367" ht="15" customHeight="1">
      <c r="A2367" t="inlineStr">
        <is>
          <t>A 39791-2026</t>
        </is>
      </c>
      <c r="B2367" t="inlineStr">
        <is>
          <t>avverkningsanmälan</t>
        </is>
      </c>
      <c r="C2367" t="inlineStr">
        <is>
          <t>Föryngringsavverkning</t>
        </is>
      </c>
      <c r="D2367" s="1" t="n">
        <v>46290</v>
      </c>
      <c r="E2367" s="1" t="n">
        <v>46315</v>
      </c>
      <c r="F2367" t="inlineStr">
        <is>
          <t>HALLANDS LÄN</t>
        </is>
      </c>
      <c r="G2367" t="inlineStr">
        <is>
          <t>LAHOLM</t>
        </is>
      </c>
      <c r="I2367" t="n">
        <v>1.6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s="2" t="inlineStr"/>
    </row>
    <row r="2368" ht="15" customHeight="1">
      <c r="A2368" t="inlineStr">
        <is>
          <t>A 50995-2024</t>
        </is>
      </c>
      <c r="B2368" t="inlineStr">
        <is>
          <t>avverkningsanmälan</t>
        </is>
      </c>
      <c r="C2368" t="inlineStr">
        <is>
          <t>Föryngringsavverkning</t>
        </is>
      </c>
      <c r="D2368" s="1" t="n">
        <v>45603</v>
      </c>
      <c r="E2368" s="1" t="n">
        <v>46315</v>
      </c>
      <c r="F2368" t="inlineStr">
        <is>
          <t>HALLANDS LÄN</t>
        </is>
      </c>
      <c r="G2368" t="inlineStr">
        <is>
          <t>LAHOLM</t>
        </is>
      </c>
      <c r="I2368" t="n">
        <v>4.2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s="2" t="inlineStr"/>
    </row>
    <row r="2369" ht="15" customHeight="1">
      <c r="A2369" t="inlineStr">
        <is>
          <t>A 33561-2026</t>
        </is>
      </c>
      <c r="B2369" t="inlineStr">
        <is>
          <t>avverkningsanmälan</t>
        </is>
      </c>
      <c r="C2369" t="inlineStr">
        <is>
          <t>Föryngringsavverkning</t>
        </is>
      </c>
      <c r="D2369" s="1" t="n">
        <v>46247</v>
      </c>
      <c r="E2369" s="1" t="n">
        <v>46315</v>
      </c>
      <c r="F2369" t="inlineStr">
        <is>
          <t>HALLANDS LÄN</t>
        </is>
      </c>
      <c r="G2369" t="inlineStr">
        <is>
          <t>HYLTE</t>
        </is>
      </c>
      <c r="I2369" t="n">
        <v>1.4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s="2" t="inlineStr"/>
    </row>
    <row r="2370" ht="15" customHeight="1">
      <c r="A2370" t="inlineStr">
        <is>
          <t>A 55699-2023</t>
        </is>
      </c>
      <c r="B2370" t="inlineStr">
        <is>
          <t>avverkningsanmälan</t>
        </is>
      </c>
      <c r="C2370" t="inlineStr">
        <is>
          <t>Föryngringsavverkning</t>
        </is>
      </c>
      <c r="D2370" s="1" t="n">
        <v>45239</v>
      </c>
      <c r="E2370" s="1" t="n">
        <v>46315</v>
      </c>
      <c r="F2370" t="inlineStr">
        <is>
          <t>HALLANDS LÄN</t>
        </is>
      </c>
      <c r="G2370" t="inlineStr">
        <is>
          <t>LAHOLM</t>
        </is>
      </c>
      <c r="I2370" t="n">
        <v>2.1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s="2" t="inlineStr"/>
    </row>
    <row r="2371" ht="15" customHeight="1">
      <c r="A2371" t="inlineStr">
        <is>
          <t>A 33255-2026</t>
        </is>
      </c>
      <c r="B2371" t="inlineStr">
        <is>
          <t>avverkningsanmälan</t>
        </is>
      </c>
      <c r="C2371" t="inlineStr">
        <is>
          <t>Föryngringsavverkning</t>
        </is>
      </c>
      <c r="D2371" s="1" t="n">
        <v>46246</v>
      </c>
      <c r="E2371" s="1" t="n">
        <v>46315</v>
      </c>
      <c r="F2371" t="inlineStr">
        <is>
          <t>HALLANDS LÄN</t>
        </is>
      </c>
      <c r="G2371" t="inlineStr">
        <is>
          <t>LAHOLM</t>
        </is>
      </c>
      <c r="I2371" t="n">
        <v>0.5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s="2" t="inlineStr"/>
    </row>
    <row r="2372" ht="15" customHeight="1">
      <c r="A2372" t="inlineStr">
        <is>
          <t>A 21284-2023</t>
        </is>
      </c>
      <c r="B2372" t="inlineStr">
        <is>
          <t>avverkningsanmälan</t>
        </is>
      </c>
      <c r="C2372" t="inlineStr">
        <is>
          <t>Föryngringsavverkning</t>
        </is>
      </c>
      <c r="D2372" s="1" t="n">
        <v>45062</v>
      </c>
      <c r="E2372" s="1" t="n">
        <v>46315</v>
      </c>
      <c r="F2372" t="inlineStr">
        <is>
          <t>HALLANDS LÄN</t>
        </is>
      </c>
      <c r="G2372" t="inlineStr">
        <is>
          <t>HYLTE</t>
        </is>
      </c>
      <c r="I2372" t="n">
        <v>0.5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s="2" t="inlineStr"/>
    </row>
    <row r="2373" ht="15" customHeight="1">
      <c r="A2373" t="inlineStr">
        <is>
          <t>A 1284-2024</t>
        </is>
      </c>
      <c r="B2373" t="inlineStr">
        <is>
          <t>avverkningsanmälan</t>
        </is>
      </c>
      <c r="C2373" t="inlineStr">
        <is>
          <t>Föryngringsavverkning</t>
        </is>
      </c>
      <c r="D2373" s="1" t="n">
        <v>45303</v>
      </c>
      <c r="E2373" s="1" t="n">
        <v>46315</v>
      </c>
      <c r="F2373" t="inlineStr">
        <is>
          <t>HALLANDS LÄN</t>
        </is>
      </c>
      <c r="G2373" t="inlineStr">
        <is>
          <t>LAHOLM</t>
        </is>
      </c>
      <c r="I2373" t="n">
        <v>0.8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s="2" t="inlineStr"/>
    </row>
    <row r="2374" ht="15" customHeight="1">
      <c r="A2374" t="inlineStr">
        <is>
          <t>A 39952-2026</t>
        </is>
      </c>
      <c r="B2374" t="inlineStr">
        <is>
          <t>avverkningsanmälan</t>
        </is>
      </c>
      <c r="C2374" t="inlineStr">
        <is>
          <t>Föryngringsavverkning</t>
        </is>
      </c>
      <c r="D2374" s="1" t="n">
        <v>46290</v>
      </c>
      <c r="E2374" s="1" t="n">
        <v>46315</v>
      </c>
      <c r="F2374" t="inlineStr">
        <is>
          <t>HALLANDS LÄN</t>
        </is>
      </c>
      <c r="G2374" t="inlineStr">
        <is>
          <t>FALKENBERG</t>
        </is>
      </c>
      <c r="I2374" t="n">
        <v>2.8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s="2" t="inlineStr"/>
    </row>
    <row r="2375" ht="15" customHeight="1">
      <c r="A2375" t="inlineStr">
        <is>
          <t>A 39698-2026</t>
        </is>
      </c>
      <c r="B2375" t="inlineStr">
        <is>
          <t>avverkningsanmälan</t>
        </is>
      </c>
      <c r="C2375" t="inlineStr">
        <is>
          <t>Föryngringsavverkning</t>
        </is>
      </c>
      <c r="D2375" s="1" t="n">
        <v>46289</v>
      </c>
      <c r="E2375" s="1" t="n">
        <v>46315</v>
      </c>
      <c r="F2375" t="inlineStr">
        <is>
          <t>HALLANDS LÄN</t>
        </is>
      </c>
      <c r="G2375" t="inlineStr">
        <is>
          <t>FALKENBERG</t>
        </is>
      </c>
      <c r="I2375" t="n">
        <v>1.9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s="2" t="inlineStr"/>
    </row>
    <row r="2376" ht="15" customHeight="1">
      <c r="A2376" t="inlineStr">
        <is>
          <t>A 20702-2024</t>
        </is>
      </c>
      <c r="B2376" t="inlineStr">
        <is>
          <t>avverkningsanmälan</t>
        </is>
      </c>
      <c r="C2376" t="inlineStr">
        <is>
          <t>Föryngringsavverkning</t>
        </is>
      </c>
      <c r="D2376" s="1" t="n">
        <v>45436</v>
      </c>
      <c r="E2376" s="1" t="n">
        <v>46315</v>
      </c>
      <c r="F2376" t="inlineStr">
        <is>
          <t>HALLANDS LÄN</t>
        </is>
      </c>
      <c r="G2376" t="inlineStr">
        <is>
          <t>VARBERG</t>
        </is>
      </c>
      <c r="H2376" t="inlineStr">
        <is>
          <t>Kyrkan</t>
        </is>
      </c>
      <c r="I2376" t="n">
        <v>1.3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s="2" t="inlineStr"/>
    </row>
    <row r="2377" ht="15" customHeight="1">
      <c r="A2377" t="inlineStr">
        <is>
          <t>A 5795-2023</t>
        </is>
      </c>
      <c r="B2377" t="inlineStr">
        <is>
          <t>avverkningsanmälan</t>
        </is>
      </c>
      <c r="C2377" t="inlineStr">
        <is>
          <t>Föryngringsavverkning</t>
        </is>
      </c>
      <c r="D2377" s="1" t="n">
        <v>44963</v>
      </c>
      <c r="E2377" s="1" t="n">
        <v>46315</v>
      </c>
      <c r="F2377" t="inlineStr">
        <is>
          <t>HALLANDS LÄN</t>
        </is>
      </c>
      <c r="G2377" t="inlineStr">
        <is>
          <t>FALKENBERG</t>
        </is>
      </c>
      <c r="I2377" t="n">
        <v>0.3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s="2" t="inlineStr"/>
    </row>
    <row r="2378" ht="15" customHeight="1">
      <c r="A2378" t="inlineStr">
        <is>
          <t>A 5796-2023</t>
        </is>
      </c>
      <c r="B2378" t="inlineStr">
        <is>
          <t>avverkningsanmälan</t>
        </is>
      </c>
      <c r="C2378" t="inlineStr">
        <is>
          <t>Föryngringsavverkning</t>
        </is>
      </c>
      <c r="D2378" s="1" t="n">
        <v>44963</v>
      </c>
      <c r="E2378" s="1" t="n">
        <v>46315</v>
      </c>
      <c r="F2378" t="inlineStr">
        <is>
          <t>HALLANDS LÄN</t>
        </is>
      </c>
      <c r="G2378" t="inlineStr">
        <is>
          <t>FALKENBERG</t>
        </is>
      </c>
      <c r="I2378" t="n">
        <v>0.6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s="2" t="inlineStr"/>
    </row>
    <row r="2379" ht="15" customHeight="1">
      <c r="A2379" t="inlineStr">
        <is>
          <t>A 31570-2026</t>
        </is>
      </c>
      <c r="B2379" t="inlineStr">
        <is>
          <t>avverkningsanmälan</t>
        </is>
      </c>
      <c r="C2379" t="inlineStr">
        <is>
          <t>Föryngringsavverkning</t>
        </is>
      </c>
      <c r="D2379" s="1" t="n">
        <v>46224</v>
      </c>
      <c r="E2379" s="1" t="n">
        <v>46315</v>
      </c>
      <c r="F2379" t="inlineStr">
        <is>
          <t>HALLANDS LÄN</t>
        </is>
      </c>
      <c r="G2379" t="inlineStr">
        <is>
          <t>HYLTE</t>
        </is>
      </c>
      <c r="I2379" t="n">
        <v>6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s="2" t="inlineStr"/>
    </row>
    <row r="2380" ht="15" customHeight="1">
      <c r="A2380" t="inlineStr">
        <is>
          <t>A 13600-2025</t>
        </is>
      </c>
      <c r="B2380" t="inlineStr">
        <is>
          <t>avverkningsanmälan</t>
        </is>
      </c>
      <c r="C2380" t="inlineStr">
        <is>
          <t>Avverkning för annat ändamål</t>
        </is>
      </c>
      <c r="D2380" s="1" t="n">
        <v>45736</v>
      </c>
      <c r="E2380" s="1" t="n">
        <v>46315</v>
      </c>
      <c r="F2380" t="inlineStr">
        <is>
          <t>HALLANDS LÄN</t>
        </is>
      </c>
      <c r="G2380" t="inlineStr">
        <is>
          <t>VARBERG</t>
        </is>
      </c>
      <c r="I2380" t="n">
        <v>0.5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s="2" t="inlineStr"/>
    </row>
    <row r="2381" ht="15" customHeight="1">
      <c r="A2381" t="inlineStr">
        <is>
          <t>A 58939-2022</t>
        </is>
      </c>
      <c r="B2381" t="inlineStr">
        <is>
          <t>avverkningsanmälan</t>
        </is>
      </c>
      <c r="C2381" t="inlineStr">
        <is>
          <t>Föryngringsavverkning</t>
        </is>
      </c>
      <c r="D2381" s="1" t="n">
        <v>44903</v>
      </c>
      <c r="E2381" s="1" t="n">
        <v>46315</v>
      </c>
      <c r="F2381" t="inlineStr">
        <is>
          <t>HALLANDS LÄN</t>
        </is>
      </c>
      <c r="G2381" t="inlineStr">
        <is>
          <t>FALKENBERG</t>
        </is>
      </c>
      <c r="I2381" t="n">
        <v>1.6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s="2" t="inlineStr"/>
    </row>
    <row r="2382" ht="15" customHeight="1">
      <c r="A2382" t="inlineStr">
        <is>
          <t>A 37971-2022</t>
        </is>
      </c>
      <c r="B2382" t="inlineStr">
        <is>
          <t>avverkningsanmälan</t>
        </is>
      </c>
      <c r="C2382" t="inlineStr">
        <is>
          <t>Föryngringsavverkning</t>
        </is>
      </c>
      <c r="D2382" s="1" t="n">
        <v>44811</v>
      </c>
      <c r="E2382" s="1" t="n">
        <v>46315</v>
      </c>
      <c r="F2382" t="inlineStr">
        <is>
          <t>HALLANDS LÄN</t>
        </is>
      </c>
      <c r="G2382" t="inlineStr">
        <is>
          <t>VARBERG</t>
        </is>
      </c>
      <c r="I2382" t="n">
        <v>2.2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s="2" t="inlineStr"/>
    </row>
    <row r="2383" ht="15" customHeight="1">
      <c r="A2383" t="inlineStr">
        <is>
          <t>A 39783-2026</t>
        </is>
      </c>
      <c r="B2383" t="inlineStr">
        <is>
          <t>avverkningsanmälan</t>
        </is>
      </c>
      <c r="C2383" t="inlineStr">
        <is>
          <t>Föryngringsavverkning</t>
        </is>
      </c>
      <c r="D2383" s="1" t="n">
        <v>46290</v>
      </c>
      <c r="E2383" s="1" t="n">
        <v>46315</v>
      </c>
      <c r="F2383" t="inlineStr">
        <is>
          <t>HALLANDS LÄN</t>
        </is>
      </c>
      <c r="G2383" t="inlineStr">
        <is>
          <t>LAHOLM</t>
        </is>
      </c>
      <c r="I2383" t="n">
        <v>2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s="2" t="inlineStr"/>
    </row>
    <row r="2384" ht="15" customHeight="1">
      <c r="A2384" t="inlineStr">
        <is>
          <t>A 33250-2026</t>
        </is>
      </c>
      <c r="B2384" t="inlineStr">
        <is>
          <t>avverkningsanmälan</t>
        </is>
      </c>
      <c r="C2384" t="inlineStr">
        <is>
          <t>Föryngringsavverkning</t>
        </is>
      </c>
      <c r="D2384" s="1" t="n">
        <v>46246</v>
      </c>
      <c r="E2384" s="1" t="n">
        <v>46315</v>
      </c>
      <c r="F2384" t="inlineStr">
        <is>
          <t>HALLANDS LÄN</t>
        </is>
      </c>
      <c r="G2384" t="inlineStr">
        <is>
          <t>LAHOLM</t>
        </is>
      </c>
      <c r="I2384" t="n">
        <v>2.3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s="2" t="inlineStr"/>
    </row>
    <row r="2385" ht="15" customHeight="1">
      <c r="A2385" t="inlineStr">
        <is>
          <t>A 31884-2022</t>
        </is>
      </c>
      <c r="B2385" t="inlineStr">
        <is>
          <t>avverkningsanmälan</t>
        </is>
      </c>
      <c r="C2385" t="inlineStr">
        <is>
          <t>Föryngringsavverkning</t>
        </is>
      </c>
      <c r="D2385" s="1" t="n">
        <v>44777</v>
      </c>
      <c r="E2385" s="1" t="n">
        <v>46315</v>
      </c>
      <c r="F2385" t="inlineStr">
        <is>
          <t>HALLANDS LÄN</t>
        </is>
      </c>
      <c r="G2385" t="inlineStr">
        <is>
          <t>KUNGSBACKA</t>
        </is>
      </c>
      <c r="I2385" t="n">
        <v>1.3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s="2" t="inlineStr"/>
    </row>
    <row r="2386" ht="15" customHeight="1">
      <c r="A2386" t="inlineStr">
        <is>
          <t>A 33248-2026</t>
        </is>
      </c>
      <c r="B2386" t="inlineStr">
        <is>
          <t>avverkningsanmälan</t>
        </is>
      </c>
      <c r="C2386" t="inlineStr">
        <is>
          <t>Föryngringsavverkning</t>
        </is>
      </c>
      <c r="D2386" s="1" t="n">
        <v>46246</v>
      </c>
      <c r="E2386" s="1" t="n">
        <v>46315</v>
      </c>
      <c r="F2386" t="inlineStr">
        <is>
          <t>HALLANDS LÄN</t>
        </is>
      </c>
      <c r="G2386" t="inlineStr">
        <is>
          <t>LAHOLM</t>
        </is>
      </c>
      <c r="I2386" t="n">
        <v>4.4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s="2" t="inlineStr"/>
    </row>
    <row r="2387" ht="15" customHeight="1">
      <c r="A2387" t="inlineStr">
        <is>
          <t>A 38497-2026</t>
        </is>
      </c>
      <c r="B2387" t="inlineStr">
        <is>
          <t>avverkningsanmälan</t>
        </is>
      </c>
      <c r="C2387" t="inlineStr">
        <is>
          <t>Föryngringsavverkning</t>
        </is>
      </c>
      <c r="D2387" s="1" t="n">
        <v>46282</v>
      </c>
      <c r="E2387" s="1" t="n">
        <v>46315</v>
      </c>
      <c r="F2387" t="inlineStr">
        <is>
          <t>HALLANDS LÄN</t>
        </is>
      </c>
      <c r="G2387" t="inlineStr">
        <is>
          <t>FALKENBERG</t>
        </is>
      </c>
      <c r="I2387" t="n">
        <v>1.9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s="2" t="inlineStr"/>
    </row>
    <row r="2388" ht="15" customHeight="1">
      <c r="A2388" t="inlineStr">
        <is>
          <t>A 17906-2023</t>
        </is>
      </c>
      <c r="B2388" t="inlineStr">
        <is>
          <t>avverkningsanmälan</t>
        </is>
      </c>
      <c r="C2388" t="inlineStr">
        <is>
          <t>Föryngringsavverkning</t>
        </is>
      </c>
      <c r="D2388" s="1" t="n">
        <v>45040</v>
      </c>
      <c r="E2388" s="1" t="n">
        <v>46315</v>
      </c>
      <c r="F2388" t="inlineStr">
        <is>
          <t>HALLANDS LÄN</t>
        </is>
      </c>
      <c r="G2388" t="inlineStr">
        <is>
          <t>LAHOLM</t>
        </is>
      </c>
      <c r="I2388" t="n">
        <v>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s="2" t="inlineStr"/>
    </row>
    <row r="2389" ht="15" customHeight="1">
      <c r="A2389" t="inlineStr">
        <is>
          <t>A 15276-2024</t>
        </is>
      </c>
      <c r="B2389" t="inlineStr">
        <is>
          <t>avverkningsanmälan</t>
        </is>
      </c>
      <c r="C2389" t="inlineStr">
        <is>
          <t>Föryngringsavverkning</t>
        </is>
      </c>
      <c r="D2389" s="1" t="n">
        <v>45400</v>
      </c>
      <c r="E2389" s="1" t="n">
        <v>46315</v>
      </c>
      <c r="F2389" t="inlineStr">
        <is>
          <t>HALLANDS LÄN</t>
        </is>
      </c>
      <c r="G2389" t="inlineStr">
        <is>
          <t>HYLTE</t>
        </is>
      </c>
      <c r="I2389" t="n">
        <v>1.2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s="2" t="inlineStr"/>
    </row>
    <row r="2390" ht="15" customHeight="1">
      <c r="A2390" t="inlineStr">
        <is>
          <t>A 51391-2023</t>
        </is>
      </c>
      <c r="B2390" t="inlineStr">
        <is>
          <t>avverkningsanmälan</t>
        </is>
      </c>
      <c r="C2390" t="inlineStr">
        <is>
          <t>Föryngringsavverkning</t>
        </is>
      </c>
      <c r="D2390" s="1" t="n">
        <v>45219</v>
      </c>
      <c r="E2390" s="1" t="n">
        <v>46315</v>
      </c>
      <c r="F2390" t="inlineStr">
        <is>
          <t>HALLANDS LÄN</t>
        </is>
      </c>
      <c r="G2390" t="inlineStr">
        <is>
          <t>FALKENBERG</t>
        </is>
      </c>
      <c r="I2390" t="n">
        <v>3.1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s="2" t="inlineStr"/>
    </row>
    <row r="2391" ht="15" customHeight="1">
      <c r="A2391" t="inlineStr">
        <is>
          <t>A 11178-2024</t>
        </is>
      </c>
      <c r="B2391" t="inlineStr">
        <is>
          <t>avverkningsanmälan</t>
        </is>
      </c>
      <c r="C2391" t="inlineStr">
        <is>
          <t>Föryngringsavverkning</t>
        </is>
      </c>
      <c r="D2391" s="1" t="n">
        <v>45371</v>
      </c>
      <c r="E2391" s="1" t="n">
        <v>46315</v>
      </c>
      <c r="F2391" t="inlineStr">
        <is>
          <t>HALLANDS LÄN</t>
        </is>
      </c>
      <c r="G2391" t="inlineStr">
        <is>
          <t>HYLTE</t>
        </is>
      </c>
      <c r="I2391" t="n">
        <v>1.1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s="2" t="inlineStr"/>
    </row>
    <row r="2392" ht="15" customHeight="1">
      <c r="A2392" t="inlineStr">
        <is>
          <t>A 24103-2023</t>
        </is>
      </c>
      <c r="B2392" t="inlineStr">
        <is>
          <t>avverkningsanmälan</t>
        </is>
      </c>
      <c r="C2392" t="inlineStr">
        <is>
          <t>Föryngringsavverkning</t>
        </is>
      </c>
      <c r="D2392" s="1" t="n">
        <v>45079</v>
      </c>
      <c r="E2392" s="1" t="n">
        <v>46315</v>
      </c>
      <c r="F2392" t="inlineStr">
        <is>
          <t>HALLANDS LÄN</t>
        </is>
      </c>
      <c r="G2392" t="inlineStr">
        <is>
          <t>HALMSTAD</t>
        </is>
      </c>
      <c r="I2392" t="n">
        <v>1.3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s="2" t="inlineStr"/>
    </row>
    <row r="2393" ht="15" customHeight="1">
      <c r="A2393" t="inlineStr">
        <is>
          <t>A 39793-2026</t>
        </is>
      </c>
      <c r="B2393" t="inlineStr">
        <is>
          <t>avverkningsanmälan</t>
        </is>
      </c>
      <c r="C2393" t="inlineStr">
        <is>
          <t>Föryngringsavverkning</t>
        </is>
      </c>
      <c r="D2393" s="1" t="n">
        <v>46290</v>
      </c>
      <c r="E2393" s="1" t="n">
        <v>46315</v>
      </c>
      <c r="F2393" t="inlineStr">
        <is>
          <t>HALLANDS LÄN</t>
        </is>
      </c>
      <c r="G2393" t="inlineStr">
        <is>
          <t>LAHOLM</t>
        </is>
      </c>
      <c r="I2393" t="n">
        <v>2.7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s="2" t="inlineStr"/>
    </row>
    <row r="2394" ht="15" customHeight="1">
      <c r="A2394" t="inlineStr">
        <is>
          <t>A 39741-2026</t>
        </is>
      </c>
      <c r="B2394" t="inlineStr">
        <is>
          <t>avverkningsanmälan</t>
        </is>
      </c>
      <c r="C2394" t="inlineStr">
        <is>
          <t>Föryngringsavverkning</t>
        </is>
      </c>
      <c r="D2394" s="1" t="n">
        <v>46290</v>
      </c>
      <c r="E2394" s="1" t="n">
        <v>46315</v>
      </c>
      <c r="F2394" t="inlineStr">
        <is>
          <t>HALLANDS LÄN</t>
        </is>
      </c>
      <c r="G2394" t="inlineStr">
        <is>
          <t>LAHOLM</t>
        </is>
      </c>
      <c r="I2394" t="n">
        <v>1.4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s="2" t="inlineStr"/>
    </row>
    <row r="2395" ht="15" customHeight="1">
      <c r="A2395" t="inlineStr">
        <is>
          <t>A 40374-2026</t>
        </is>
      </c>
      <c r="B2395" t="inlineStr">
        <is>
          <t>avverkningsanmälan</t>
        </is>
      </c>
      <c r="C2395" t="inlineStr">
        <is>
          <t>Föryngringsavverkning</t>
        </is>
      </c>
      <c r="D2395" s="1" t="n">
        <v>46294</v>
      </c>
      <c r="E2395" s="1" t="n">
        <v>46315</v>
      </c>
      <c r="F2395" t="inlineStr">
        <is>
          <t>HALLANDS LÄN</t>
        </is>
      </c>
      <c r="G2395" t="inlineStr">
        <is>
          <t>FALKENBERG</t>
        </is>
      </c>
      <c r="I2395" t="n">
        <v>0.8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s="2" t="inlineStr"/>
    </row>
    <row r="2396" ht="15" customHeight="1">
      <c r="A2396" t="inlineStr">
        <is>
          <t>A 54464-2024</t>
        </is>
      </c>
      <c r="B2396" t="inlineStr">
        <is>
          <t>avverkningsanmälan</t>
        </is>
      </c>
      <c r="C2396" t="inlineStr">
        <is>
          <t>Föryngringsavverkning</t>
        </is>
      </c>
      <c r="D2396" s="1" t="n">
        <v>45617</v>
      </c>
      <c r="E2396" s="1" t="n">
        <v>46315</v>
      </c>
      <c r="F2396" t="inlineStr">
        <is>
          <t>HALLANDS LÄN</t>
        </is>
      </c>
      <c r="G2396" t="inlineStr">
        <is>
          <t>LAHOLM</t>
        </is>
      </c>
      <c r="H2396" t="inlineStr">
        <is>
          <t>Sveaskog</t>
        </is>
      </c>
      <c r="I2396" t="n">
        <v>1.7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s="2" t="inlineStr"/>
    </row>
    <row r="2397" ht="15" customHeight="1">
      <c r="A2397" t="inlineStr">
        <is>
          <t>A 51223-2022</t>
        </is>
      </c>
      <c r="B2397" t="inlineStr">
        <is>
          <t>avverkningsanmälan</t>
        </is>
      </c>
      <c r="C2397" t="inlineStr">
        <is>
          <t>Avverkning för annat ändamål</t>
        </is>
      </c>
      <c r="D2397" s="1" t="n">
        <v>44868</v>
      </c>
      <c r="E2397" s="1" t="n">
        <v>46315</v>
      </c>
      <c r="F2397" t="inlineStr">
        <is>
          <t>HALLANDS LÄN</t>
        </is>
      </c>
      <c r="G2397" t="inlineStr">
        <is>
          <t>HYLTE</t>
        </is>
      </c>
      <c r="I2397" t="n">
        <v>1.8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s="2" t="inlineStr"/>
    </row>
    <row r="2398" ht="15" customHeight="1">
      <c r="A2398" t="inlineStr">
        <is>
          <t>A 43681-2022</t>
        </is>
      </c>
      <c r="B2398" t="inlineStr">
        <is>
          <t>avverkningsanmälan</t>
        </is>
      </c>
      <c r="C2398" t="inlineStr">
        <is>
          <t>Föryngringsavverkning</t>
        </is>
      </c>
      <c r="D2398" s="1" t="n">
        <v>44837</v>
      </c>
      <c r="E2398" s="1" t="n">
        <v>46315</v>
      </c>
      <c r="F2398" t="inlineStr">
        <is>
          <t>HALLANDS LÄN</t>
        </is>
      </c>
      <c r="G2398" t="inlineStr">
        <is>
          <t>VARBERG</t>
        </is>
      </c>
      <c r="I2398" t="n">
        <v>3.8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s="2" t="inlineStr"/>
    </row>
    <row r="2399" ht="15" customHeight="1">
      <c r="A2399" t="inlineStr">
        <is>
          <t>A 34051-2026</t>
        </is>
      </c>
      <c r="B2399" t="inlineStr">
        <is>
          <t>avverkningsanmälan</t>
        </is>
      </c>
      <c r="C2399" t="inlineStr">
        <is>
          <t>Föryngringsavverkning</t>
        </is>
      </c>
      <c r="D2399" s="1" t="n">
        <v>46251</v>
      </c>
      <c r="E2399" s="1" t="n">
        <v>46315</v>
      </c>
      <c r="F2399" t="inlineStr">
        <is>
          <t>HALLANDS LÄN</t>
        </is>
      </c>
      <c r="G2399" t="inlineStr">
        <is>
          <t>VARBERG</t>
        </is>
      </c>
      <c r="H2399" t="inlineStr">
        <is>
          <t>Övriga statliga verk och myndigheter</t>
        </is>
      </c>
      <c r="I2399" t="n">
        <v>1.3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s="2" t="inlineStr"/>
    </row>
    <row r="2400" ht="15" customHeight="1">
      <c r="A2400" t="inlineStr">
        <is>
          <t>A 40629-2023</t>
        </is>
      </c>
      <c r="B2400" t="inlineStr">
        <is>
          <t>avverkningsanmälan</t>
        </is>
      </c>
      <c r="C2400" t="inlineStr">
        <is>
          <t>Föryngringsavverkning</t>
        </is>
      </c>
      <c r="D2400" s="1" t="n">
        <v>45168</v>
      </c>
      <c r="E2400" s="1" t="n">
        <v>46315</v>
      </c>
      <c r="F2400" t="inlineStr">
        <is>
          <t>HALLANDS LÄN</t>
        </is>
      </c>
      <c r="G2400" t="inlineStr">
        <is>
          <t>HALMSTAD</t>
        </is>
      </c>
      <c r="H2400" t="inlineStr">
        <is>
          <t>Kommuner</t>
        </is>
      </c>
      <c r="I2400" t="n">
        <v>6.3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s="2" t="inlineStr"/>
    </row>
    <row r="2401" ht="15" customHeight="1">
      <c r="A2401" t="inlineStr">
        <is>
          <t>A 40147-2026</t>
        </is>
      </c>
      <c r="B2401" t="inlineStr">
        <is>
          <t>avverkningsanmälan</t>
        </is>
      </c>
      <c r="C2401" t="inlineStr">
        <is>
          <t>Föryngringsavverkning</t>
        </is>
      </c>
      <c r="D2401" s="1" t="n">
        <v>46293</v>
      </c>
      <c r="E2401" s="1" t="n">
        <v>46315</v>
      </c>
      <c r="F2401" t="inlineStr">
        <is>
          <t>HALLANDS LÄN</t>
        </is>
      </c>
      <c r="G2401" t="inlineStr">
        <is>
          <t>FALKENBERG</t>
        </is>
      </c>
      <c r="I2401" t="n">
        <v>4.6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s="2" t="inlineStr"/>
    </row>
    <row r="2402" ht="15" customHeight="1">
      <c r="A2402" t="inlineStr">
        <is>
          <t>A 13946-2025</t>
        </is>
      </c>
      <c r="B2402" t="inlineStr">
        <is>
          <t>avverkningsanmälan</t>
        </is>
      </c>
      <c r="C2402" t="inlineStr">
        <is>
          <t>Föryngringsavverkning</t>
        </is>
      </c>
      <c r="D2402" s="1" t="n">
        <v>45737</v>
      </c>
      <c r="E2402" s="1" t="n">
        <v>46315</v>
      </c>
      <c r="F2402" t="inlineStr">
        <is>
          <t>HALLANDS LÄN</t>
        </is>
      </c>
      <c r="G2402" t="inlineStr">
        <is>
          <t>HYLTE</t>
        </is>
      </c>
      <c r="I2402" t="n">
        <v>1.6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s="2" t="inlineStr"/>
    </row>
    <row r="2403" ht="15" customHeight="1">
      <c r="A2403" t="inlineStr">
        <is>
          <t>A 8679-2025</t>
        </is>
      </c>
      <c r="B2403" t="inlineStr">
        <is>
          <t>avverkningsanmälan</t>
        </is>
      </c>
      <c r="C2403" t="inlineStr">
        <is>
          <t>Föryngringsavverkning</t>
        </is>
      </c>
      <c r="D2403" s="1" t="n">
        <v>45712</v>
      </c>
      <c r="E2403" s="1" t="n">
        <v>46315</v>
      </c>
      <c r="F2403" t="inlineStr">
        <is>
          <t>HALLANDS LÄN</t>
        </is>
      </c>
      <c r="G2403" t="inlineStr">
        <is>
          <t>HALMSTAD</t>
        </is>
      </c>
      <c r="I2403" t="n">
        <v>1.8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s="2" t="inlineStr"/>
    </row>
    <row r="2404" ht="15" customHeight="1">
      <c r="A2404" t="inlineStr">
        <is>
          <t>A 40161-2026</t>
        </is>
      </c>
      <c r="B2404" t="inlineStr">
        <is>
          <t>avverkningsanmälan</t>
        </is>
      </c>
      <c r="C2404" t="inlineStr">
        <is>
          <t>Föryngringsavverkning</t>
        </is>
      </c>
      <c r="D2404" s="1" t="n">
        <v>46293</v>
      </c>
      <c r="E2404" s="1" t="n">
        <v>46315</v>
      </c>
      <c r="F2404" t="inlineStr">
        <is>
          <t>HALLANDS LÄN</t>
        </is>
      </c>
      <c r="G2404" t="inlineStr">
        <is>
          <t>HYLTE</t>
        </is>
      </c>
      <c r="I2404" t="n">
        <v>1.1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s="2" t="inlineStr"/>
    </row>
    <row r="2405" ht="15" customHeight="1">
      <c r="A2405" t="inlineStr">
        <is>
          <t>A 60017-2023</t>
        </is>
      </c>
      <c r="B2405" t="inlineStr">
        <is>
          <t>avverkningsanmälan</t>
        </is>
      </c>
      <c r="C2405" t="inlineStr">
        <is>
          <t>Föryngringsavverkning</t>
        </is>
      </c>
      <c r="D2405" s="1" t="n">
        <v>45258</v>
      </c>
      <c r="E2405" s="1" t="n">
        <v>46315</v>
      </c>
      <c r="F2405" t="inlineStr">
        <is>
          <t>HALLANDS LÄN</t>
        </is>
      </c>
      <c r="G2405" t="inlineStr">
        <is>
          <t>HYLTE</t>
        </is>
      </c>
      <c r="I2405" t="n">
        <v>1.1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s="2" t="inlineStr"/>
    </row>
    <row r="2406" ht="15" customHeight="1">
      <c r="A2406" t="inlineStr">
        <is>
          <t>A 33576-2026</t>
        </is>
      </c>
      <c r="B2406" t="inlineStr">
        <is>
          <t>avverkningsanmälan</t>
        </is>
      </c>
      <c r="C2406" t="inlineStr">
        <is>
          <t>Föryngringsavverkning</t>
        </is>
      </c>
      <c r="D2406" s="1" t="n">
        <v>46248</v>
      </c>
      <c r="E2406" s="1" t="n">
        <v>46315</v>
      </c>
      <c r="F2406" t="inlineStr">
        <is>
          <t>HALLANDS LÄN</t>
        </is>
      </c>
      <c r="G2406" t="inlineStr">
        <is>
          <t>FALKENBERG</t>
        </is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s="2" t="inlineStr"/>
    </row>
    <row r="2407" ht="15" customHeight="1">
      <c r="A2407" t="inlineStr">
        <is>
          <t>A 40741-2023</t>
        </is>
      </c>
      <c r="B2407" t="inlineStr">
        <is>
          <t>avverkningsanmälan</t>
        </is>
      </c>
      <c r="C2407" t="inlineStr">
        <is>
          <t>Föryngringsavverkning</t>
        </is>
      </c>
      <c r="D2407" s="1" t="n">
        <v>45170</v>
      </c>
      <c r="E2407" s="1" t="n">
        <v>46315</v>
      </c>
      <c r="F2407" t="inlineStr">
        <is>
          <t>HALLANDS LÄN</t>
        </is>
      </c>
      <c r="G2407" t="inlineStr">
        <is>
          <t>HALMSTAD</t>
        </is>
      </c>
      <c r="I2407" t="n">
        <v>4.1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s="2" t="inlineStr"/>
    </row>
    <row r="2408" ht="15" customHeight="1">
      <c r="A2408" t="inlineStr">
        <is>
          <t>A 40193-2026</t>
        </is>
      </c>
      <c r="B2408" t="inlineStr">
        <is>
          <t>avverkningsanmälan</t>
        </is>
      </c>
      <c r="C2408" t="inlineStr">
        <is>
          <t>Föryngringsavverkning</t>
        </is>
      </c>
      <c r="D2408" s="1" t="n">
        <v>46293</v>
      </c>
      <c r="E2408" s="1" t="n">
        <v>46315</v>
      </c>
      <c r="F2408" t="inlineStr">
        <is>
          <t>HALLANDS LÄN</t>
        </is>
      </c>
      <c r="G2408" t="inlineStr">
        <is>
          <t>FALKENBERG</t>
        </is>
      </c>
      <c r="I2408" t="n">
        <v>1.8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s="2" t="inlineStr"/>
    </row>
    <row r="2409" ht="15" customHeight="1">
      <c r="A2409" t="inlineStr">
        <is>
          <t>A 24227-2024</t>
        </is>
      </c>
      <c r="B2409" t="inlineStr">
        <is>
          <t>avverkningsanmälan</t>
        </is>
      </c>
      <c r="C2409" t="inlineStr">
        <is>
          <t>Föryngringsavverkning</t>
        </is>
      </c>
      <c r="D2409" s="1" t="n">
        <v>45457</v>
      </c>
      <c r="E2409" s="1" t="n">
        <v>46315</v>
      </c>
      <c r="F2409" t="inlineStr">
        <is>
          <t>HALLANDS LÄN</t>
        </is>
      </c>
      <c r="G2409" t="inlineStr">
        <is>
          <t>VARBERG</t>
        </is>
      </c>
      <c r="H2409" t="inlineStr">
        <is>
          <t>Kyrkan</t>
        </is>
      </c>
      <c r="I2409" t="n">
        <v>3.8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s="2" t="inlineStr"/>
    </row>
    <row r="2410" ht="15" customHeight="1">
      <c r="A2410" t="inlineStr">
        <is>
          <t>A 40171-2026</t>
        </is>
      </c>
      <c r="B2410" t="inlineStr">
        <is>
          <t>avverkningsanmälan</t>
        </is>
      </c>
      <c r="C2410" t="inlineStr">
        <is>
          <t>Föryngringsavverkning</t>
        </is>
      </c>
      <c r="D2410" s="1" t="n">
        <v>46293</v>
      </c>
      <c r="E2410" s="1" t="n">
        <v>46315</v>
      </c>
      <c r="F2410" t="inlineStr">
        <is>
          <t>HALLANDS LÄN</t>
        </is>
      </c>
      <c r="G2410" t="inlineStr">
        <is>
          <t>FALKENBERG</t>
        </is>
      </c>
      <c r="I2410" t="n">
        <v>1.3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s="2" t="inlineStr"/>
    </row>
    <row r="2411" ht="15" customHeight="1">
      <c r="A2411" t="inlineStr">
        <is>
          <t>A 35506-2024</t>
        </is>
      </c>
      <c r="B2411" t="inlineStr">
        <is>
          <t>avverkningsanmälan</t>
        </is>
      </c>
      <c r="C2411" t="inlineStr">
        <is>
          <t>Föryngringsavverkning</t>
        </is>
      </c>
      <c r="D2411" s="1" t="n">
        <v>45531</v>
      </c>
      <c r="E2411" s="1" t="n">
        <v>46315</v>
      </c>
      <c r="F2411" t="inlineStr">
        <is>
          <t>HALLANDS LÄN</t>
        </is>
      </c>
      <c r="G2411" t="inlineStr">
        <is>
          <t>VARBERG</t>
        </is>
      </c>
      <c r="I2411" t="n">
        <v>3.4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s="2" t="inlineStr"/>
    </row>
    <row r="2412" ht="15" customHeight="1">
      <c r="A2412" t="inlineStr">
        <is>
          <t>A 30031-2024</t>
        </is>
      </c>
      <c r="B2412" t="inlineStr">
        <is>
          <t>avverkningsanmälan</t>
        </is>
      </c>
      <c r="C2412" t="inlineStr">
        <is>
          <t>Föryngringsavverkning</t>
        </is>
      </c>
      <c r="D2412" s="1" t="n">
        <v>45485</v>
      </c>
      <c r="E2412" s="1" t="n">
        <v>46315</v>
      </c>
      <c r="F2412" t="inlineStr">
        <is>
          <t>HALLANDS LÄN</t>
        </is>
      </c>
      <c r="G2412" t="inlineStr">
        <is>
          <t>HYLTE</t>
        </is>
      </c>
      <c r="I2412" t="n">
        <v>2.7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s="2" t="inlineStr"/>
    </row>
    <row r="2413" ht="15" customHeight="1">
      <c r="A2413" t="inlineStr">
        <is>
          <t>A 60032-2023</t>
        </is>
      </c>
      <c r="B2413" t="inlineStr">
        <is>
          <t>avverkningsanmälan</t>
        </is>
      </c>
      <c r="C2413" t="inlineStr">
        <is>
          <t>Föryngringsavverkning</t>
        </is>
      </c>
      <c r="D2413" s="1" t="n">
        <v>45258</v>
      </c>
      <c r="E2413" s="1" t="n">
        <v>46315</v>
      </c>
      <c r="F2413" t="inlineStr">
        <is>
          <t>HALLANDS LÄN</t>
        </is>
      </c>
      <c r="G2413" t="inlineStr">
        <is>
          <t>HALMSTAD</t>
        </is>
      </c>
      <c r="I2413" t="n">
        <v>0.5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s="2" t="inlineStr"/>
    </row>
    <row r="2414" ht="15" customHeight="1">
      <c r="A2414" t="inlineStr">
        <is>
          <t>A 25067-2024</t>
        </is>
      </c>
      <c r="B2414" t="inlineStr">
        <is>
          <t>avverkningsanmälan</t>
        </is>
      </c>
      <c r="C2414" t="inlineStr">
        <is>
          <t>Föryngringsavverkning</t>
        </is>
      </c>
      <c r="D2414" s="1" t="n">
        <v>45462</v>
      </c>
      <c r="E2414" s="1" t="n">
        <v>46315</v>
      </c>
      <c r="F2414" t="inlineStr">
        <is>
          <t>HALLANDS LÄN</t>
        </is>
      </c>
      <c r="G2414" t="inlineStr">
        <is>
          <t>HYLTE</t>
        </is>
      </c>
      <c r="I2414" t="n">
        <v>1.9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s="2" t="inlineStr"/>
    </row>
    <row r="2415" ht="15" customHeight="1">
      <c r="A2415" t="inlineStr">
        <is>
          <t>A 66730-2021</t>
        </is>
      </c>
      <c r="B2415" t="inlineStr">
        <is>
          <t>avverkningsanmälan</t>
        </is>
      </c>
      <c r="C2415" t="inlineStr">
        <is>
          <t>Föryngringsavverkning</t>
        </is>
      </c>
      <c r="D2415" s="1" t="n">
        <v>44520</v>
      </c>
      <c r="E2415" s="1" t="n">
        <v>46315</v>
      </c>
      <c r="F2415" t="inlineStr">
        <is>
          <t>HALLANDS LÄN</t>
        </is>
      </c>
      <c r="G2415" t="inlineStr">
        <is>
          <t>HALMSTAD</t>
        </is>
      </c>
      <c r="I2415" t="n">
        <v>0.6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s="2" t="inlineStr"/>
    </row>
    <row r="2416" ht="15" customHeight="1">
      <c r="A2416" t="inlineStr">
        <is>
          <t>A 4713-2023</t>
        </is>
      </c>
      <c r="B2416" t="inlineStr">
        <is>
          <t>avverkningsanmälan</t>
        </is>
      </c>
      <c r="C2416" t="inlineStr">
        <is>
          <t>Föryngringsavverkning</t>
        </is>
      </c>
      <c r="D2416" s="1" t="n">
        <v>44957</v>
      </c>
      <c r="E2416" s="1" t="n">
        <v>46315</v>
      </c>
      <c r="F2416" t="inlineStr">
        <is>
          <t>HALLANDS LÄN</t>
        </is>
      </c>
      <c r="G2416" t="inlineStr">
        <is>
          <t>FALKENBERG</t>
        </is>
      </c>
      <c r="I2416" t="n">
        <v>2.4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s="2" t="inlineStr"/>
    </row>
    <row r="2417" ht="15" customHeight="1">
      <c r="A2417" t="inlineStr">
        <is>
          <t>A 34026-2026</t>
        </is>
      </c>
      <c r="B2417" t="inlineStr">
        <is>
          <t>avverkningsanmälan</t>
        </is>
      </c>
      <c r="C2417" t="inlineStr">
        <is>
          <t>Föryngringsavverkning</t>
        </is>
      </c>
      <c r="D2417" s="1" t="n">
        <v>46251</v>
      </c>
      <c r="E2417" s="1" t="n">
        <v>46315</v>
      </c>
      <c r="F2417" t="inlineStr">
        <is>
          <t>HALLANDS LÄN</t>
        </is>
      </c>
      <c r="G2417" t="inlineStr">
        <is>
          <t>VARBERG</t>
        </is>
      </c>
      <c r="H2417" t="inlineStr">
        <is>
          <t>Övriga statliga verk och myndigheter</t>
        </is>
      </c>
      <c r="I2417" t="n">
        <v>5.1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s="2" t="inlineStr"/>
    </row>
    <row r="2418" ht="15" customHeight="1">
      <c r="A2418" t="inlineStr">
        <is>
          <t>A 39977-2026</t>
        </is>
      </c>
      <c r="B2418" t="inlineStr">
        <is>
          <t>avverkningsanmälan</t>
        </is>
      </c>
      <c r="C2418" t="inlineStr">
        <is>
          <t>Föryngringsavverkning</t>
        </is>
      </c>
      <c r="D2418" s="1" t="n">
        <v>46293</v>
      </c>
      <c r="E2418" s="1" t="n">
        <v>46315</v>
      </c>
      <c r="F2418" t="inlineStr">
        <is>
          <t>HALLANDS LÄN</t>
        </is>
      </c>
      <c r="G2418" t="inlineStr">
        <is>
          <t>FALKENBERG</t>
        </is>
      </c>
      <c r="I2418" t="n">
        <v>3.2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s="2" t="inlineStr"/>
    </row>
    <row r="2419" ht="15" customHeight="1">
      <c r="A2419" t="inlineStr">
        <is>
          <t>A 33450-2023</t>
        </is>
      </c>
      <c r="B2419" t="inlineStr">
        <is>
          <t>avverkningsanmälan</t>
        </is>
      </c>
      <c r="C2419" t="inlineStr">
        <is>
          <t>Föryngringsavverkning</t>
        </is>
      </c>
      <c r="D2419" s="1" t="n">
        <v>45130</v>
      </c>
      <c r="E2419" s="1" t="n">
        <v>46315</v>
      </c>
      <c r="F2419" t="inlineStr">
        <is>
          <t>HALLANDS LÄN</t>
        </is>
      </c>
      <c r="G2419" t="inlineStr">
        <is>
          <t>LAHOLM</t>
        </is>
      </c>
      <c r="I2419" t="n">
        <v>0.7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s="2" t="inlineStr"/>
    </row>
    <row r="2420" ht="15" customHeight="1">
      <c r="A2420" t="inlineStr">
        <is>
          <t>A 10169-2024</t>
        </is>
      </c>
      <c r="B2420" t="inlineStr">
        <is>
          <t>avverkningsanmälan</t>
        </is>
      </c>
      <c r="C2420" t="inlineStr">
        <is>
          <t>Föryngringsavverkning</t>
        </is>
      </c>
      <c r="D2420" s="1" t="n">
        <v>45364</v>
      </c>
      <c r="E2420" s="1" t="n">
        <v>46315</v>
      </c>
      <c r="F2420" t="inlineStr">
        <is>
          <t>HALLANDS LÄN</t>
        </is>
      </c>
      <c r="G2420" t="inlineStr">
        <is>
          <t>VARBERG</t>
        </is>
      </c>
      <c r="I2420" t="n">
        <v>4.9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s="2" t="inlineStr"/>
    </row>
    <row r="2421" ht="15" customHeight="1">
      <c r="A2421" t="inlineStr">
        <is>
          <t>A 10170-2024</t>
        </is>
      </c>
      <c r="B2421" t="inlineStr">
        <is>
          <t>avverkningsanmälan</t>
        </is>
      </c>
      <c r="C2421" t="inlineStr">
        <is>
          <t>Föryngringsavverkning</t>
        </is>
      </c>
      <c r="D2421" s="1" t="n">
        <v>45364</v>
      </c>
      <c r="E2421" s="1" t="n">
        <v>46315</v>
      </c>
      <c r="F2421" t="inlineStr">
        <is>
          <t>HALLANDS LÄN</t>
        </is>
      </c>
      <c r="G2421" t="inlineStr">
        <is>
          <t>VARBERG</t>
        </is>
      </c>
      <c r="I2421" t="n">
        <v>2.6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s="2" t="inlineStr"/>
    </row>
    <row r="2422" ht="15" customHeight="1">
      <c r="A2422" t="inlineStr">
        <is>
          <t>A 3412-2025</t>
        </is>
      </c>
      <c r="B2422" t="inlineStr">
        <is>
          <t>avverkningsanmälan</t>
        </is>
      </c>
      <c r="C2422" t="inlineStr">
        <is>
          <t>Föryngringsavverkning</t>
        </is>
      </c>
      <c r="D2422" s="1" t="n">
        <v>45680</v>
      </c>
      <c r="E2422" s="1" t="n">
        <v>46315</v>
      </c>
      <c r="F2422" t="inlineStr">
        <is>
          <t>HALLANDS LÄN</t>
        </is>
      </c>
      <c r="G2422" t="inlineStr">
        <is>
          <t>HALMSTAD</t>
        </is>
      </c>
      <c r="I2422" t="n">
        <v>1.6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s="2" t="inlineStr"/>
    </row>
    <row r="2423" ht="15" customHeight="1">
      <c r="A2423" t="inlineStr">
        <is>
          <t>A 16430-2023</t>
        </is>
      </c>
      <c r="B2423" t="inlineStr">
        <is>
          <t>avverkningsanmälan</t>
        </is>
      </c>
      <c r="C2423" t="inlineStr">
        <is>
          <t>Föryngringsavverkning</t>
        </is>
      </c>
      <c r="D2423" s="1" t="n">
        <v>45029</v>
      </c>
      <c r="E2423" s="1" t="n">
        <v>46315</v>
      </c>
      <c r="F2423" t="inlineStr">
        <is>
          <t>HALLANDS LÄN</t>
        </is>
      </c>
      <c r="G2423" t="inlineStr">
        <is>
          <t>FALKENBERG</t>
        </is>
      </c>
      <c r="I2423" t="n">
        <v>1.5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s="2" t="inlineStr"/>
    </row>
    <row r="2424" ht="15" customHeight="1">
      <c r="A2424" t="inlineStr">
        <is>
          <t>A 11097-2023</t>
        </is>
      </c>
      <c r="B2424" t="inlineStr">
        <is>
          <t>avverkningsanmälan</t>
        </is>
      </c>
      <c r="C2424" t="inlineStr">
        <is>
          <t>Föryngringsavverkning</t>
        </is>
      </c>
      <c r="D2424" s="1" t="n">
        <v>44992</v>
      </c>
      <c r="E2424" s="1" t="n">
        <v>46315</v>
      </c>
      <c r="F2424" t="inlineStr">
        <is>
          <t>HALLANDS LÄN</t>
        </is>
      </c>
      <c r="G2424" t="inlineStr">
        <is>
          <t>KUNGSBACKA</t>
        </is>
      </c>
      <c r="I2424" t="n">
        <v>2.2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s="2" t="inlineStr"/>
    </row>
    <row r="2425" ht="15" customHeight="1">
      <c r="A2425" t="inlineStr">
        <is>
          <t>A 33498-2026</t>
        </is>
      </c>
      <c r="B2425" t="inlineStr">
        <is>
          <t>avverkningsanmälan</t>
        </is>
      </c>
      <c r="C2425" t="inlineStr">
        <is>
          <t>Föryngringsavverkning</t>
        </is>
      </c>
      <c r="D2425" s="1" t="n">
        <v>46248</v>
      </c>
      <c r="E2425" s="1" t="n">
        <v>46315</v>
      </c>
      <c r="F2425" t="inlineStr">
        <is>
          <t>HALLANDS LÄN</t>
        </is>
      </c>
      <c r="G2425" t="inlineStr">
        <is>
          <t>HYLTE</t>
        </is>
      </c>
      <c r="I2425" t="n">
        <v>0.5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s="2" t="inlineStr"/>
    </row>
    <row r="2426" ht="15" customHeight="1">
      <c r="A2426" t="inlineStr">
        <is>
          <t>A 811-2024</t>
        </is>
      </c>
      <c r="B2426" t="inlineStr">
        <is>
          <t>avverkningsanmälan</t>
        </is>
      </c>
      <c r="C2426" t="inlineStr">
        <is>
          <t>Föryngringsavverkning</t>
        </is>
      </c>
      <c r="D2426" s="1" t="n">
        <v>45300</v>
      </c>
      <c r="E2426" s="1" t="n">
        <v>46315</v>
      </c>
      <c r="F2426" t="inlineStr">
        <is>
          <t>HALLANDS LÄN</t>
        </is>
      </c>
      <c r="G2426" t="inlineStr">
        <is>
          <t>VARBERG</t>
        </is>
      </c>
      <c r="I2426" t="n">
        <v>1.2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s="2" t="inlineStr"/>
    </row>
    <row r="2427" ht="15" customHeight="1">
      <c r="A2427" t="inlineStr">
        <is>
          <t>A 10244-2023</t>
        </is>
      </c>
      <c r="B2427" t="inlineStr">
        <is>
          <t>avverkningsanmälan</t>
        </is>
      </c>
      <c r="C2427" t="inlineStr">
        <is>
          <t>Föryngringsavverkning</t>
        </is>
      </c>
      <c r="D2427" s="1" t="n">
        <v>44986</v>
      </c>
      <c r="E2427" s="1" t="n">
        <v>46315</v>
      </c>
      <c r="F2427" t="inlineStr">
        <is>
          <t>HALLANDS LÄN</t>
        </is>
      </c>
      <c r="G2427" t="inlineStr">
        <is>
          <t>FALKENBERG</t>
        </is>
      </c>
      <c r="I2427" t="n">
        <v>2.8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s="2" t="inlineStr"/>
    </row>
    <row r="2428" ht="15" customHeight="1">
      <c r="A2428" t="inlineStr">
        <is>
          <t>A 39971-2026</t>
        </is>
      </c>
      <c r="B2428" t="inlineStr">
        <is>
          <t>avverkningsanmälan</t>
        </is>
      </c>
      <c r="C2428" t="inlineStr">
        <is>
          <t>Föryngringsavverkning</t>
        </is>
      </c>
      <c r="D2428" s="1" t="n">
        <v>46292</v>
      </c>
      <c r="E2428" s="1" t="n">
        <v>46315</v>
      </c>
      <c r="F2428" t="inlineStr">
        <is>
          <t>HALLANDS LÄN</t>
        </is>
      </c>
      <c r="G2428" t="inlineStr">
        <is>
          <t>HYLTE</t>
        </is>
      </c>
      <c r="I2428" t="n">
        <v>0.9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s="2" t="inlineStr"/>
    </row>
    <row r="2429" ht="15" customHeight="1">
      <c r="A2429" t="inlineStr">
        <is>
          <t>A 10700-2025</t>
        </is>
      </c>
      <c r="B2429" t="inlineStr">
        <is>
          <t>avverkningsanmälan</t>
        </is>
      </c>
      <c r="C2429" t="inlineStr">
        <is>
          <t>Föryngringsavverkning</t>
        </is>
      </c>
      <c r="D2429" s="1" t="n">
        <v>45722</v>
      </c>
      <c r="E2429" s="1" t="n">
        <v>46315</v>
      </c>
      <c r="F2429" t="inlineStr">
        <is>
          <t>HALLANDS LÄN</t>
        </is>
      </c>
      <c r="G2429" t="inlineStr">
        <is>
          <t>VARBERG</t>
        </is>
      </c>
      <c r="I2429" t="n">
        <v>4.1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s="2" t="inlineStr"/>
    </row>
    <row r="2430" ht="15" customHeight="1">
      <c r="A2430" t="inlineStr">
        <is>
          <t>A 12939-2023</t>
        </is>
      </c>
      <c r="B2430" t="inlineStr">
        <is>
          <t>avverkningsanmälan</t>
        </is>
      </c>
      <c r="C2430" t="inlineStr">
        <is>
          <t>Föryngringsavverkning</t>
        </is>
      </c>
      <c r="D2430" s="1" t="n">
        <v>45001</v>
      </c>
      <c r="E2430" s="1" t="n">
        <v>46315</v>
      </c>
      <c r="F2430" t="inlineStr">
        <is>
          <t>HALLANDS LÄN</t>
        </is>
      </c>
      <c r="G2430" t="inlineStr">
        <is>
          <t>FALKENBERG</t>
        </is>
      </c>
      <c r="I2430" t="n">
        <v>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s="2" t="inlineStr"/>
    </row>
    <row r="2431" ht="15" customHeight="1">
      <c r="A2431" t="inlineStr">
        <is>
          <t>A 41503-2024</t>
        </is>
      </c>
      <c r="B2431" t="inlineStr">
        <is>
          <t>avverkningsanmälan</t>
        </is>
      </c>
      <c r="C2431" t="inlineStr">
        <is>
          <t>Föryngringsavverkning</t>
        </is>
      </c>
      <c r="D2431" s="1" t="n">
        <v>45560</v>
      </c>
      <c r="E2431" s="1" t="n">
        <v>46315</v>
      </c>
      <c r="F2431" t="inlineStr">
        <is>
          <t>HALLANDS LÄN</t>
        </is>
      </c>
      <c r="G2431" t="inlineStr">
        <is>
          <t>HYLTE</t>
        </is>
      </c>
      <c r="I2431" t="n">
        <v>1.3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s="2" t="inlineStr"/>
    </row>
    <row r="2432" ht="15" customHeight="1">
      <c r="A2432" t="inlineStr">
        <is>
          <t>A 19804-2026</t>
        </is>
      </c>
      <c r="B2432" t="inlineStr">
        <is>
          <t>avverkningsanmälan</t>
        </is>
      </c>
      <c r="C2432" t="inlineStr">
        <is>
          <t>Föryngringsavverkning</t>
        </is>
      </c>
      <c r="D2432" s="1" t="n">
        <v>46135</v>
      </c>
      <c r="E2432" s="1" t="n">
        <v>46315</v>
      </c>
      <c r="F2432" t="inlineStr">
        <is>
          <t>HALLANDS LÄN</t>
        </is>
      </c>
      <c r="G2432" t="inlineStr">
        <is>
          <t>LAHOLM</t>
        </is>
      </c>
      <c r="I2432" t="n">
        <v>3.2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s="2" t="inlineStr"/>
    </row>
    <row r="2433" ht="15" customHeight="1">
      <c r="A2433" t="inlineStr">
        <is>
          <t>A 14303-2025</t>
        </is>
      </c>
      <c r="B2433" t="inlineStr">
        <is>
          <t>avverkningsanmälan</t>
        </is>
      </c>
      <c r="C2433" t="inlineStr">
        <is>
          <t>Föryngringsavverkning</t>
        </is>
      </c>
      <c r="D2433" s="1" t="n">
        <v>45740</v>
      </c>
      <c r="E2433" s="1" t="n">
        <v>46315</v>
      </c>
      <c r="F2433" t="inlineStr">
        <is>
          <t>HALLANDS LÄN</t>
        </is>
      </c>
      <c r="G2433" t="inlineStr">
        <is>
          <t>VARBERG</t>
        </is>
      </c>
      <c r="I2433" t="n">
        <v>1.1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s="2" t="inlineStr"/>
    </row>
    <row r="2434" ht="15" customHeight="1">
      <c r="A2434" t="inlineStr">
        <is>
          <t>A 16045-2025</t>
        </is>
      </c>
      <c r="B2434" t="inlineStr">
        <is>
          <t>avverkningsanmälan</t>
        </is>
      </c>
      <c r="C2434" t="inlineStr">
        <is>
          <t>Föryngringsavverkning</t>
        </is>
      </c>
      <c r="D2434" s="1" t="n">
        <v>45749</v>
      </c>
      <c r="E2434" s="1" t="n">
        <v>46315</v>
      </c>
      <c r="F2434" t="inlineStr">
        <is>
          <t>HALLANDS LÄN</t>
        </is>
      </c>
      <c r="G2434" t="inlineStr">
        <is>
          <t>KUNGSBACKA</t>
        </is>
      </c>
      <c r="I2434" t="n">
        <v>0.7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s="2" t="inlineStr"/>
    </row>
    <row r="2435" ht="15" customHeight="1">
      <c r="A2435" t="inlineStr">
        <is>
          <t>A 358-2023</t>
        </is>
      </c>
      <c r="B2435" t="inlineStr">
        <is>
          <t>avverkningsanmälan</t>
        </is>
      </c>
      <c r="C2435" t="inlineStr">
        <is>
          <t>Föryngringsavverkning</t>
        </is>
      </c>
      <c r="D2435" s="1" t="n">
        <v>44929</v>
      </c>
      <c r="E2435" s="1" t="n">
        <v>46315</v>
      </c>
      <c r="F2435" t="inlineStr">
        <is>
          <t>HALLANDS LÄN</t>
        </is>
      </c>
      <c r="G2435" t="inlineStr">
        <is>
          <t>LAHOLM</t>
        </is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s="2" t="inlineStr"/>
    </row>
    <row r="2436" ht="15" customHeight="1">
      <c r="A2436" t="inlineStr">
        <is>
          <t>A 23151-2023</t>
        </is>
      </c>
      <c r="B2436" t="inlineStr">
        <is>
          <t>avverkningsanmälan</t>
        </is>
      </c>
      <c r="C2436" t="inlineStr">
        <is>
          <t>Föryngringsavverkning</t>
        </is>
      </c>
      <c r="D2436" s="1" t="n">
        <v>45075</v>
      </c>
      <c r="E2436" s="1" t="n">
        <v>46315</v>
      </c>
      <c r="F2436" t="inlineStr">
        <is>
          <t>HALLANDS LÄN</t>
        </is>
      </c>
      <c r="G2436" t="inlineStr">
        <is>
          <t>LAHOLM</t>
        </is>
      </c>
      <c r="H2436" t="inlineStr">
        <is>
          <t>Övriga Aktiebolag</t>
        </is>
      </c>
      <c r="I2436" t="n">
        <v>5.9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s="2" t="inlineStr"/>
    </row>
    <row r="2437" ht="15" customHeight="1">
      <c r="A2437" t="inlineStr">
        <is>
          <t>A 25537-2023</t>
        </is>
      </c>
      <c r="B2437" t="inlineStr">
        <is>
          <t>avverkningsanmälan</t>
        </is>
      </c>
      <c r="C2437" t="inlineStr">
        <is>
          <t>Föryngringsavverkning</t>
        </is>
      </c>
      <c r="D2437" s="1" t="n">
        <v>45089</v>
      </c>
      <c r="E2437" s="1" t="n">
        <v>46315</v>
      </c>
      <c r="F2437" t="inlineStr">
        <is>
          <t>HALLANDS LÄN</t>
        </is>
      </c>
      <c r="G2437" t="inlineStr">
        <is>
          <t>HYLTE</t>
        </is>
      </c>
      <c r="I2437" t="n">
        <v>5.7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s="2" t="inlineStr"/>
    </row>
    <row r="2438" ht="15" customHeight="1">
      <c r="A2438" t="inlineStr">
        <is>
          <t>A 33526-2026</t>
        </is>
      </c>
      <c r="B2438" t="inlineStr">
        <is>
          <t>avverkningsanmälan</t>
        </is>
      </c>
      <c r="C2438" t="inlineStr">
        <is>
          <t>Föryngringsavverkning</t>
        </is>
      </c>
      <c r="D2438" s="1" t="n">
        <v>46248</v>
      </c>
      <c r="E2438" s="1" t="n">
        <v>46315</v>
      </c>
      <c r="F2438" t="inlineStr">
        <is>
          <t>HALLANDS LÄN</t>
        </is>
      </c>
      <c r="G2438" t="inlineStr">
        <is>
          <t>HYLTE</t>
        </is>
      </c>
      <c r="I2438" t="n">
        <v>0.8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s="2" t="inlineStr"/>
    </row>
    <row r="2439" ht="15" customHeight="1">
      <c r="A2439" t="inlineStr">
        <is>
          <t>A 61975-2024</t>
        </is>
      </c>
      <c r="B2439" t="inlineStr">
        <is>
          <t>avverkningsanmälan</t>
        </is>
      </c>
      <c r="C2439" t="inlineStr">
        <is>
          <t>Föryngringsavverkning</t>
        </is>
      </c>
      <c r="D2439" s="1" t="n">
        <v>45653</v>
      </c>
      <c r="E2439" s="1" t="n">
        <v>46315</v>
      </c>
      <c r="F2439" t="inlineStr">
        <is>
          <t>HALLANDS LÄN</t>
        </is>
      </c>
      <c r="G2439" t="inlineStr">
        <is>
          <t>KUNGSBACKA</t>
        </is>
      </c>
      <c r="I2439" t="n">
        <v>0.3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s="2" t="inlineStr"/>
    </row>
    <row r="2440" ht="15" customHeight="1">
      <c r="A2440" t="inlineStr">
        <is>
          <t>A 61977-2024</t>
        </is>
      </c>
      <c r="B2440" t="inlineStr">
        <is>
          <t>avverkningsanmälan</t>
        </is>
      </c>
      <c r="C2440" t="inlineStr">
        <is>
          <t>Föryngringsavverkning</t>
        </is>
      </c>
      <c r="D2440" s="1" t="n">
        <v>45653</v>
      </c>
      <c r="E2440" s="1" t="n">
        <v>46315</v>
      </c>
      <c r="F2440" t="inlineStr">
        <is>
          <t>HALLANDS LÄN</t>
        </is>
      </c>
      <c r="G2440" t="inlineStr">
        <is>
          <t>KUNGSBACKA</t>
        </is>
      </c>
      <c r="I2440" t="n">
        <v>0.1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s="2" t="inlineStr"/>
    </row>
    <row r="2441" ht="15" customHeight="1">
      <c r="A2441" t="inlineStr">
        <is>
          <t>A 40511-2026</t>
        </is>
      </c>
      <c r="B2441" t="inlineStr">
        <is>
          <t>avverkningsanmälan</t>
        </is>
      </c>
      <c r="C2441" t="inlineStr">
        <is>
          <t>Föryngringsavverkning</t>
        </is>
      </c>
      <c r="D2441" s="1" t="n">
        <v>46295</v>
      </c>
      <c r="E2441" s="1" t="n">
        <v>46315</v>
      </c>
      <c r="F2441" t="inlineStr">
        <is>
          <t>HALLANDS LÄN</t>
        </is>
      </c>
      <c r="G2441" t="inlineStr">
        <is>
          <t>KUNGSBACKA</t>
        </is>
      </c>
      <c r="I2441" t="n">
        <v>4.5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s="2" t="inlineStr"/>
      <c r="Z2441">
        <f>HYPERLINK("https://klasma.github.io/Logging_1384/knärot/A 40511-2026 karta knärot.png", "A 40511-2026")</f>
        <v/>
      </c>
      <c r="AA2441">
        <f>HYPERLINK("https://klasma.github.io/Logging_1384/klagomål/A 40511-2026 FSC-klagomål.docx", "A 40511-2026")</f>
        <v/>
      </c>
      <c r="AB2441">
        <f>HYPERLINK("https://klasma.github.io/Logging_1384/klagomålsmail/A 40511-2026 FSC-klagomål mail.docx", "A 40511-2026")</f>
        <v/>
      </c>
      <c r="AC2441">
        <f>HYPERLINK("https://klasma.github.io/Logging_1384/tillsyn/A 40511-2026 tillsynsbegäran.docx", "A 40511-2026")</f>
        <v/>
      </c>
      <c r="AD2441">
        <f>HYPERLINK("https://klasma.github.io/Logging_1384/tillsynsmail/A 40511-2026 tillsynsbegäran mail.docx", "A 40511-2026")</f>
        <v/>
      </c>
    </row>
    <row r="2442" ht="15" customHeight="1">
      <c r="A2442" t="inlineStr">
        <is>
          <t>A 40514-2026</t>
        </is>
      </c>
      <c r="B2442" t="inlineStr">
        <is>
          <t>avverkningsanmälan</t>
        </is>
      </c>
      <c r="C2442" t="inlineStr">
        <is>
          <t>Föryngringsavverkning</t>
        </is>
      </c>
      <c r="D2442" s="1" t="n">
        <v>46295</v>
      </c>
      <c r="E2442" s="1" t="n">
        <v>46315</v>
      </c>
      <c r="F2442" t="inlineStr">
        <is>
          <t>HALLANDS LÄN</t>
        </is>
      </c>
      <c r="G2442" t="inlineStr">
        <is>
          <t>VARBERG</t>
        </is>
      </c>
      <c r="I2442" t="n">
        <v>4.6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s="2" t="inlineStr"/>
    </row>
    <row r="2443" ht="15" customHeight="1">
      <c r="A2443" t="inlineStr">
        <is>
          <t>A 40682-2026</t>
        </is>
      </c>
      <c r="B2443" t="inlineStr">
        <is>
          <t>avverkningsanmälan</t>
        </is>
      </c>
      <c r="C2443" t="inlineStr">
        <is>
          <t>Föryngringsavverkning</t>
        </is>
      </c>
      <c r="D2443" s="1" t="n">
        <v>46296</v>
      </c>
      <c r="E2443" s="1" t="n">
        <v>46315</v>
      </c>
      <c r="F2443" t="inlineStr">
        <is>
          <t>HALLANDS LÄN</t>
        </is>
      </c>
      <c r="G2443" t="inlineStr">
        <is>
          <t>HALMSTAD</t>
        </is>
      </c>
      <c r="I2443" t="n">
        <v>2.6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s="2" t="inlineStr"/>
    </row>
    <row r="2444" ht="15" customHeight="1">
      <c r="A2444" t="inlineStr">
        <is>
          <t>A 40718-2026</t>
        </is>
      </c>
      <c r="B2444" t="inlineStr">
        <is>
          <t>avverkningsanmälan</t>
        </is>
      </c>
      <c r="C2444" t="inlineStr">
        <is>
          <t>Föryngringsavverkning</t>
        </is>
      </c>
      <c r="D2444" s="1" t="n">
        <v>46296</v>
      </c>
      <c r="E2444" s="1" t="n">
        <v>46315</v>
      </c>
      <c r="F2444" t="inlineStr">
        <is>
          <t>HALLANDS LÄN</t>
        </is>
      </c>
      <c r="G2444" t="inlineStr">
        <is>
          <t>FALKENBERG</t>
        </is>
      </c>
      <c r="I2444" t="n">
        <v>0.8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s="2" t="inlineStr"/>
    </row>
    <row r="2445" ht="15" customHeight="1">
      <c r="A2445" t="inlineStr">
        <is>
          <t>A 54125-2024</t>
        </is>
      </c>
      <c r="B2445" t="inlineStr">
        <is>
          <t>avverkningsanmälan</t>
        </is>
      </c>
      <c r="C2445" t="inlineStr">
        <is>
          <t>Föryngringsavverkning</t>
        </is>
      </c>
      <c r="D2445" s="1" t="n">
        <v>45616</v>
      </c>
      <c r="E2445" s="1" t="n">
        <v>46315</v>
      </c>
      <c r="F2445" t="inlineStr">
        <is>
          <t>HALLANDS LÄN</t>
        </is>
      </c>
      <c r="G2445" t="inlineStr">
        <is>
          <t>FALKENBERG</t>
        </is>
      </c>
      <c r="I2445" t="n">
        <v>6.3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s="2" t="inlineStr"/>
    </row>
    <row r="2446" ht="15" customHeight="1">
      <c r="A2446" t="inlineStr">
        <is>
          <t>A 1214-2025</t>
        </is>
      </c>
      <c r="B2446" t="inlineStr">
        <is>
          <t>avverkningsanmälan</t>
        </is>
      </c>
      <c r="C2446" t="inlineStr">
        <is>
          <t>Föryngringsavverkning</t>
        </is>
      </c>
      <c r="D2446" s="1" t="n">
        <v>45667</v>
      </c>
      <c r="E2446" s="1" t="n">
        <v>46315</v>
      </c>
      <c r="F2446" t="inlineStr">
        <is>
          <t>HALLANDS LÄN</t>
        </is>
      </c>
      <c r="G2446" t="inlineStr">
        <is>
          <t>FALKENBERG</t>
        </is>
      </c>
      <c r="I2446" t="n">
        <v>0.5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s="2" t="inlineStr"/>
    </row>
    <row r="2447" ht="15" customHeight="1">
      <c r="A2447" t="inlineStr">
        <is>
          <t>A 12831-2025</t>
        </is>
      </c>
      <c r="B2447" t="inlineStr">
        <is>
          <t>avverkningsanmälan</t>
        </is>
      </c>
      <c r="C2447" t="inlineStr">
        <is>
          <t>Föryngringsavverkning</t>
        </is>
      </c>
      <c r="D2447" s="1" t="n">
        <v>45733</v>
      </c>
      <c r="E2447" s="1" t="n">
        <v>46315</v>
      </c>
      <c r="F2447" t="inlineStr">
        <is>
          <t>HALLANDS LÄN</t>
        </is>
      </c>
      <c r="G2447" t="inlineStr">
        <is>
          <t>KUNGSBACKA</t>
        </is>
      </c>
      <c r="I2447" t="n">
        <v>0.8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s="2" t="inlineStr"/>
    </row>
    <row r="2448" ht="15" customHeight="1">
      <c r="A2448" t="inlineStr">
        <is>
          <t>A 4869-2024</t>
        </is>
      </c>
      <c r="B2448" t="inlineStr">
        <is>
          <t>avverkningsanmälan</t>
        </is>
      </c>
      <c r="C2448" t="inlineStr">
        <is>
          <t>Föryngringsavverkning</t>
        </is>
      </c>
      <c r="D2448" s="1" t="n">
        <v>45329</v>
      </c>
      <c r="E2448" s="1" t="n">
        <v>46315</v>
      </c>
      <c r="F2448" t="inlineStr">
        <is>
          <t>HALLANDS LÄN</t>
        </is>
      </c>
      <c r="G2448" t="inlineStr">
        <is>
          <t>HALMSTAD</t>
        </is>
      </c>
      <c r="I2448" t="n">
        <v>3.2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s="2" t="inlineStr"/>
    </row>
    <row r="2449" ht="15" customHeight="1">
      <c r="A2449" t="inlineStr">
        <is>
          <t>A 682-2024</t>
        </is>
      </c>
      <c r="B2449" t="inlineStr">
        <is>
          <t>avverkningsanmälan</t>
        </is>
      </c>
      <c r="C2449" t="inlineStr">
        <is>
          <t>Föryngringsavverkning</t>
        </is>
      </c>
      <c r="D2449" s="1" t="n">
        <v>45300</v>
      </c>
      <c r="E2449" s="1" t="n">
        <v>46315</v>
      </c>
      <c r="F2449" t="inlineStr">
        <is>
          <t>HALLANDS LÄN</t>
        </is>
      </c>
      <c r="G2449" t="inlineStr">
        <is>
          <t>HYLTE</t>
        </is>
      </c>
      <c r="I2449" t="n">
        <v>1.7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s="2" t="inlineStr"/>
    </row>
    <row r="2450" ht="15" customHeight="1">
      <c r="A2450" t="inlineStr">
        <is>
          <t>A 61903-2023</t>
        </is>
      </c>
      <c r="B2450" t="inlineStr">
        <is>
          <t>avverkningsanmälan</t>
        </is>
      </c>
      <c r="C2450" t="inlineStr">
        <is>
          <t>Föryngringsavverkning</t>
        </is>
      </c>
      <c r="D2450" s="1" t="n">
        <v>45264</v>
      </c>
      <c r="E2450" s="1" t="n">
        <v>46315</v>
      </c>
      <c r="F2450" t="inlineStr">
        <is>
          <t>HALLANDS LÄN</t>
        </is>
      </c>
      <c r="G2450" t="inlineStr">
        <is>
          <t>LAHOLM</t>
        </is>
      </c>
      <c r="I2450" t="n">
        <v>1.7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s="2" t="inlineStr"/>
    </row>
    <row r="2451" ht="15" customHeight="1">
      <c r="A2451" t="inlineStr">
        <is>
          <t>A 33247-2023</t>
        </is>
      </c>
      <c r="B2451" t="inlineStr">
        <is>
          <t>avverkningsanmälan</t>
        </is>
      </c>
      <c r="C2451" t="inlineStr">
        <is>
          <t>Föryngringsavverkning</t>
        </is>
      </c>
      <c r="D2451" s="1" t="n">
        <v>45127</v>
      </c>
      <c r="E2451" s="1" t="n">
        <v>46315</v>
      </c>
      <c r="F2451" t="inlineStr">
        <is>
          <t>HALLANDS LÄN</t>
        </is>
      </c>
      <c r="G2451" t="inlineStr">
        <is>
          <t>FALKENBERG</t>
        </is>
      </c>
      <c r="H2451" t="inlineStr">
        <is>
          <t>Kommuner</t>
        </is>
      </c>
      <c r="I2451" t="n">
        <v>3.2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s="2" t="inlineStr"/>
    </row>
    <row r="2452" ht="15" customHeight="1">
      <c r="A2452" t="inlineStr">
        <is>
          <t>A 12960-2025</t>
        </is>
      </c>
      <c r="B2452" t="inlineStr">
        <is>
          <t>avverkningsanmälan</t>
        </is>
      </c>
      <c r="C2452" t="inlineStr">
        <is>
          <t>Föryngringsavverkning</t>
        </is>
      </c>
      <c r="D2452" s="1" t="n">
        <v>45734</v>
      </c>
      <c r="E2452" s="1" t="n">
        <v>46315</v>
      </c>
      <c r="F2452" t="inlineStr">
        <is>
          <t>HALLANDS LÄN</t>
        </is>
      </c>
      <c r="G2452" t="inlineStr">
        <is>
          <t>HALMSTAD</t>
        </is>
      </c>
      <c r="I2452" t="n">
        <v>2.3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s="2" t="inlineStr"/>
    </row>
    <row r="2453" ht="15" customHeight="1">
      <c r="A2453" t="inlineStr">
        <is>
          <t>A 37872-2026</t>
        </is>
      </c>
      <c r="B2453" t="inlineStr">
        <is>
          <t>avverkningsanmälan</t>
        </is>
      </c>
      <c r="C2453" t="inlineStr">
        <is>
          <t>Avverkning för annat ändamål</t>
        </is>
      </c>
      <c r="D2453" s="1" t="n">
        <v>46279</v>
      </c>
      <c r="E2453" s="1" t="n">
        <v>46315</v>
      </c>
      <c r="F2453" t="inlineStr">
        <is>
          <t>HALLANDS LÄN</t>
        </is>
      </c>
      <c r="G2453" t="inlineStr">
        <is>
          <t>VARBERG</t>
        </is>
      </c>
      <c r="I2453" t="n">
        <v>1.9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s="2" t="inlineStr"/>
    </row>
    <row r="2454" ht="15" customHeight="1">
      <c r="A2454" t="inlineStr">
        <is>
          <t>A 34174-2026</t>
        </is>
      </c>
      <c r="B2454" t="inlineStr">
        <is>
          <t>avverkningsanmälan</t>
        </is>
      </c>
      <c r="C2454" t="inlineStr">
        <is>
          <t>Föryngringsavverkning</t>
        </is>
      </c>
      <c r="D2454" s="1" t="n">
        <v>46253</v>
      </c>
      <c r="E2454" s="1" t="n">
        <v>46315</v>
      </c>
      <c r="F2454" t="inlineStr">
        <is>
          <t>HALLANDS LÄN</t>
        </is>
      </c>
      <c r="G2454" t="inlineStr">
        <is>
          <t>LAHOLM</t>
        </is>
      </c>
      <c r="I2454" t="n">
        <v>1.7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s="2" t="inlineStr"/>
    </row>
    <row r="2455" ht="15" customHeight="1">
      <c r="A2455" t="inlineStr">
        <is>
          <t>A 34181-2026</t>
        </is>
      </c>
      <c r="B2455" t="inlineStr">
        <is>
          <t>avverkningsanmälan</t>
        </is>
      </c>
      <c r="C2455" t="inlineStr">
        <is>
          <t>Föryngringsavverkning</t>
        </is>
      </c>
      <c r="D2455" s="1" t="n">
        <v>46253</v>
      </c>
      <c r="E2455" s="1" t="n">
        <v>46315</v>
      </c>
      <c r="F2455" t="inlineStr">
        <is>
          <t>HALLANDS LÄN</t>
        </is>
      </c>
      <c r="G2455" t="inlineStr">
        <is>
          <t>FALKENBERG</t>
        </is>
      </c>
      <c r="I2455" t="n">
        <v>1.3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s="2" t="inlineStr"/>
    </row>
    <row r="2456" ht="15" customHeight="1">
      <c r="A2456" t="inlineStr">
        <is>
          <t>A 13717-2025</t>
        </is>
      </c>
      <c r="B2456" t="inlineStr">
        <is>
          <t>avverkningsanmälan</t>
        </is>
      </c>
      <c r="C2456" t="inlineStr">
        <is>
          <t>Föryngringsavverkning</t>
        </is>
      </c>
      <c r="D2456" s="1" t="n">
        <v>45737</v>
      </c>
      <c r="E2456" s="1" t="n">
        <v>46315</v>
      </c>
      <c r="F2456" t="inlineStr">
        <is>
          <t>HALLANDS LÄN</t>
        </is>
      </c>
      <c r="G2456" t="inlineStr">
        <is>
          <t>VARBERG</t>
        </is>
      </c>
      <c r="I2456" t="n">
        <v>4.2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s="2" t="inlineStr"/>
    </row>
    <row r="2457" ht="15" customHeight="1">
      <c r="A2457" t="inlineStr">
        <is>
          <t>A 40681-2026</t>
        </is>
      </c>
      <c r="B2457" t="inlineStr">
        <is>
          <t>avverkningsanmälan</t>
        </is>
      </c>
      <c r="C2457" t="inlineStr">
        <is>
          <t>Föryngringsavverkning</t>
        </is>
      </c>
      <c r="D2457" s="1" t="n">
        <v>46296</v>
      </c>
      <c r="E2457" s="1" t="n">
        <v>46315</v>
      </c>
      <c r="F2457" t="inlineStr">
        <is>
          <t>HALLANDS LÄN</t>
        </is>
      </c>
      <c r="G2457" t="inlineStr">
        <is>
          <t>HALMSTAD</t>
        </is>
      </c>
      <c r="I2457" t="n">
        <v>1.7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s="2" t="inlineStr"/>
    </row>
    <row r="2458" ht="15" customHeight="1">
      <c r="A2458" t="inlineStr">
        <is>
          <t>A 50130-2022</t>
        </is>
      </c>
      <c r="B2458" t="inlineStr">
        <is>
          <t>avverkningsanmälan</t>
        </is>
      </c>
      <c r="C2458" t="inlineStr">
        <is>
          <t>Föryngringsavverkning</t>
        </is>
      </c>
      <c r="D2458" s="1" t="n">
        <v>44865</v>
      </c>
      <c r="E2458" s="1" t="n">
        <v>46315</v>
      </c>
      <c r="F2458" t="inlineStr">
        <is>
          <t>HALLANDS LÄN</t>
        </is>
      </c>
      <c r="G2458" t="inlineStr">
        <is>
          <t>LAHOLM</t>
        </is>
      </c>
      <c r="H2458" t="inlineStr">
        <is>
          <t>Sveaskog</t>
        </is>
      </c>
      <c r="I2458" t="n">
        <v>0.9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s="2" t="inlineStr"/>
    </row>
    <row r="2459" ht="15" customHeight="1">
      <c r="A2459" t="inlineStr">
        <is>
          <t>A 9149-2024</t>
        </is>
      </c>
      <c r="B2459" t="inlineStr">
        <is>
          <t>avverkningsanmälan</t>
        </is>
      </c>
      <c r="C2459" t="inlineStr">
        <is>
          <t>Föryngringsavverkning</t>
        </is>
      </c>
      <c r="D2459" s="1" t="n">
        <v>45358</v>
      </c>
      <c r="E2459" s="1" t="n">
        <v>46315</v>
      </c>
      <c r="F2459" t="inlineStr">
        <is>
          <t>HALLANDS LÄN</t>
        </is>
      </c>
      <c r="G2459" t="inlineStr">
        <is>
          <t>HALMSTAD</t>
        </is>
      </c>
      <c r="I2459" t="n">
        <v>2.3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s="2" t="inlineStr"/>
    </row>
    <row r="2460" ht="15" customHeight="1">
      <c r="A2460" t="inlineStr">
        <is>
          <t>A 8298-2024</t>
        </is>
      </c>
      <c r="B2460" t="inlineStr">
        <is>
          <t>avverkningsanmälan</t>
        </is>
      </c>
      <c r="C2460" t="inlineStr">
        <is>
          <t>Föryngringsavverkning</t>
        </is>
      </c>
      <c r="D2460" s="1" t="n">
        <v>45352</v>
      </c>
      <c r="E2460" s="1" t="n">
        <v>46315</v>
      </c>
      <c r="F2460" t="inlineStr">
        <is>
          <t>HALLANDS LÄN</t>
        </is>
      </c>
      <c r="G2460" t="inlineStr">
        <is>
          <t>HYLTE</t>
        </is>
      </c>
      <c r="I2460" t="n">
        <v>4.6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s="2" t="inlineStr"/>
    </row>
    <row r="2461" ht="15" customHeight="1">
      <c r="A2461" t="inlineStr">
        <is>
          <t>A 28608-2023</t>
        </is>
      </c>
      <c r="B2461" t="inlineStr">
        <is>
          <t>avverkningsanmälan</t>
        </is>
      </c>
      <c r="C2461" t="inlineStr">
        <is>
          <t>Föryngringsavverkning</t>
        </is>
      </c>
      <c r="D2461" s="1" t="n">
        <v>45103</v>
      </c>
      <c r="E2461" s="1" t="n">
        <v>46315</v>
      </c>
      <c r="F2461" t="inlineStr">
        <is>
          <t>HALLANDS LÄN</t>
        </is>
      </c>
      <c r="G2461" t="inlineStr">
        <is>
          <t>KUNGSBACKA</t>
        </is>
      </c>
      <c r="I2461" t="n">
        <v>0.6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s="2" t="inlineStr"/>
    </row>
    <row r="2462" ht="15" customHeight="1">
      <c r="A2462" t="inlineStr">
        <is>
          <t>A 40636-2026</t>
        </is>
      </c>
      <c r="B2462" t="inlineStr">
        <is>
          <t>avverkningsanmälan</t>
        </is>
      </c>
      <c r="C2462" t="inlineStr">
        <is>
          <t>Föryngringsavverkning</t>
        </is>
      </c>
      <c r="D2462" s="1" t="n">
        <v>46295</v>
      </c>
      <c r="E2462" s="1" t="n">
        <v>46315</v>
      </c>
      <c r="F2462" t="inlineStr">
        <is>
          <t>HALLANDS LÄN</t>
        </is>
      </c>
      <c r="G2462" t="inlineStr">
        <is>
          <t>HYLTE</t>
        </is>
      </c>
      <c r="I2462" t="n">
        <v>7.5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s="2" t="inlineStr"/>
    </row>
    <row r="2463" ht="15" customHeight="1">
      <c r="A2463" t="inlineStr">
        <is>
          <t>A 54319-2024</t>
        </is>
      </c>
      <c r="B2463" t="inlineStr">
        <is>
          <t>avverkningsanmälan</t>
        </is>
      </c>
      <c r="C2463" t="inlineStr">
        <is>
          <t>Föryngringsavverkning</t>
        </is>
      </c>
      <c r="D2463" s="1" t="n">
        <v>45617</v>
      </c>
      <c r="E2463" s="1" t="n">
        <v>46315</v>
      </c>
      <c r="F2463" t="inlineStr">
        <is>
          <t>HALLANDS LÄN</t>
        </is>
      </c>
      <c r="G2463" t="inlineStr">
        <is>
          <t>KUNGSBACKA</t>
        </is>
      </c>
      <c r="I2463" t="n">
        <v>2.6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s="2" t="inlineStr"/>
    </row>
    <row r="2464" ht="15" customHeight="1">
      <c r="A2464" t="inlineStr">
        <is>
          <t>A 59348-2023</t>
        </is>
      </c>
      <c r="B2464" t="inlineStr">
        <is>
          <t>avverkningsanmälan</t>
        </is>
      </c>
      <c r="C2464" t="inlineStr">
        <is>
          <t>Föryngringsavverkning</t>
        </is>
      </c>
      <c r="D2464" s="1" t="n">
        <v>45253</v>
      </c>
      <c r="E2464" s="1" t="n">
        <v>46315</v>
      </c>
      <c r="F2464" t="inlineStr">
        <is>
          <t>HALLANDS LÄN</t>
        </is>
      </c>
      <c r="G2464" t="inlineStr">
        <is>
          <t>KUNGSBACKA</t>
        </is>
      </c>
      <c r="I2464" t="n">
        <v>0.5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s="2" t="inlineStr"/>
    </row>
    <row r="2465" ht="15" customHeight="1">
      <c r="A2465" t="inlineStr">
        <is>
          <t>A 48446-2023</t>
        </is>
      </c>
      <c r="B2465" t="inlineStr">
        <is>
          <t>avverkningsanmälan</t>
        </is>
      </c>
      <c r="C2465" t="inlineStr">
        <is>
          <t>Föryngringsavverkning</t>
        </is>
      </c>
      <c r="D2465" s="1" t="n">
        <v>45206</v>
      </c>
      <c r="E2465" s="1" t="n">
        <v>46315</v>
      </c>
      <c r="F2465" t="inlineStr">
        <is>
          <t>HALLANDS LÄN</t>
        </is>
      </c>
      <c r="G2465" t="inlineStr">
        <is>
          <t>LAHOLM</t>
        </is>
      </c>
      <c r="I2465" t="n">
        <v>6.5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s="2" t="inlineStr"/>
    </row>
    <row r="2466" ht="15" customHeight="1">
      <c r="A2466" t="inlineStr">
        <is>
          <t>A 6647-2024</t>
        </is>
      </c>
      <c r="B2466" t="inlineStr">
        <is>
          <t>avverkningsanmälan</t>
        </is>
      </c>
      <c r="C2466" t="inlineStr">
        <is>
          <t>Föryngringsavverkning</t>
        </is>
      </c>
      <c r="D2466" s="1" t="n">
        <v>45341</v>
      </c>
      <c r="E2466" s="1" t="n">
        <v>46315</v>
      </c>
      <c r="F2466" t="inlineStr">
        <is>
          <t>HALLANDS LÄN</t>
        </is>
      </c>
      <c r="G2466" t="inlineStr">
        <is>
          <t>VARBERG</t>
        </is>
      </c>
      <c r="I2466" t="n">
        <v>3.6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s="2" t="inlineStr"/>
    </row>
    <row r="2467" ht="15" customHeight="1">
      <c r="A2467" t="inlineStr">
        <is>
          <t>A 15914-2025</t>
        </is>
      </c>
      <c r="B2467" t="inlineStr">
        <is>
          <t>avverkningsanmälan</t>
        </is>
      </c>
      <c r="C2467" t="inlineStr">
        <is>
          <t>Föryngringsavverkning</t>
        </is>
      </c>
      <c r="D2467" s="1" t="n">
        <v>45749</v>
      </c>
      <c r="E2467" s="1" t="n">
        <v>46315</v>
      </c>
      <c r="F2467" t="inlineStr">
        <is>
          <t>HALLANDS LÄN</t>
        </is>
      </c>
      <c r="G2467" t="inlineStr">
        <is>
          <t>VARBERG</t>
        </is>
      </c>
      <c r="I2467" t="n">
        <v>0.7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s="2" t="inlineStr"/>
    </row>
    <row r="2468" ht="15" customHeight="1">
      <c r="A2468" t="inlineStr">
        <is>
          <t>A 33787-2026</t>
        </is>
      </c>
      <c r="B2468" t="inlineStr">
        <is>
          <t>avverkningsanmälan</t>
        </is>
      </c>
      <c r="C2468" t="inlineStr">
        <is>
          <t>Föryngringsavverkning</t>
        </is>
      </c>
      <c r="D2468" s="1" t="n">
        <v>46251</v>
      </c>
      <c r="E2468" s="1" t="n">
        <v>46315</v>
      </c>
      <c r="F2468" t="inlineStr">
        <is>
          <t>HALLANDS LÄN</t>
        </is>
      </c>
      <c r="G2468" t="inlineStr">
        <is>
          <t>LAHOLM</t>
        </is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s="2" t="inlineStr"/>
    </row>
    <row r="2469" ht="15" customHeight="1">
      <c r="A2469" t="inlineStr">
        <is>
          <t>A 40510-2026</t>
        </is>
      </c>
      <c r="B2469" t="inlineStr">
        <is>
          <t>avverkningsanmälan</t>
        </is>
      </c>
      <c r="C2469" t="inlineStr">
        <is>
          <t>Föryngringsavverkning</t>
        </is>
      </c>
      <c r="D2469" s="1" t="n">
        <v>46295</v>
      </c>
      <c r="E2469" s="1" t="n">
        <v>46315</v>
      </c>
      <c r="F2469" t="inlineStr">
        <is>
          <t>HALLANDS LÄN</t>
        </is>
      </c>
      <c r="G2469" t="inlineStr">
        <is>
          <t>KUNGSBACKA</t>
        </is>
      </c>
      <c r="I2469" t="n">
        <v>2.5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s="2" t="inlineStr"/>
    </row>
    <row r="2470" ht="15" customHeight="1">
      <c r="A2470" t="inlineStr">
        <is>
          <t>A 9741-2025</t>
        </is>
      </c>
      <c r="B2470" t="inlineStr">
        <is>
          <t>avverkningsanmälan</t>
        </is>
      </c>
      <c r="C2470" t="inlineStr">
        <is>
          <t>Föryngringsavverkning</t>
        </is>
      </c>
      <c r="D2470" s="1" t="n">
        <v>45716</v>
      </c>
      <c r="E2470" s="1" t="n">
        <v>46315</v>
      </c>
      <c r="F2470" t="inlineStr">
        <is>
          <t>HALLANDS LÄN</t>
        </is>
      </c>
      <c r="G2470" t="inlineStr">
        <is>
          <t>VARBERG</t>
        </is>
      </c>
      <c r="I2470" t="n">
        <v>0.7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s="2" t="inlineStr"/>
    </row>
    <row r="2471" ht="15" customHeight="1">
      <c r="A2471" t="inlineStr">
        <is>
          <t>A 52852-2023</t>
        </is>
      </c>
      <c r="B2471" t="inlineStr">
        <is>
          <t>avverkningsanmälan</t>
        </is>
      </c>
      <c r="C2471" t="inlineStr">
        <is>
          <t>Föryngringsavverkning</t>
        </is>
      </c>
      <c r="D2471" s="1" t="n">
        <v>45226</v>
      </c>
      <c r="E2471" s="1" t="n">
        <v>46315</v>
      </c>
      <c r="F2471" t="inlineStr">
        <is>
          <t>HALLANDS LÄN</t>
        </is>
      </c>
      <c r="G2471" t="inlineStr">
        <is>
          <t>FALKENBERG</t>
        </is>
      </c>
      <c r="I2471" t="n">
        <v>4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s="2" t="inlineStr"/>
    </row>
    <row r="2472" ht="15" customHeight="1">
      <c r="A2472" t="inlineStr">
        <is>
          <t>A 17476-2024</t>
        </is>
      </c>
      <c r="B2472" t="inlineStr">
        <is>
          <t>avverkningsanmälan</t>
        </is>
      </c>
      <c r="C2472" t="inlineStr">
        <is>
          <t>Föryngringsavverkning</t>
        </is>
      </c>
      <c r="D2472" s="1" t="n">
        <v>45415</v>
      </c>
      <c r="E2472" s="1" t="n">
        <v>46315</v>
      </c>
      <c r="F2472" t="inlineStr">
        <is>
          <t>HALLANDS LÄN</t>
        </is>
      </c>
      <c r="G2472" t="inlineStr">
        <is>
          <t>HALMSTAD</t>
        </is>
      </c>
      <c r="I2472" t="n">
        <v>1.9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s="2" t="inlineStr"/>
    </row>
    <row r="2473" ht="15" customHeight="1">
      <c r="A2473" t="inlineStr">
        <is>
          <t>A 12139-2024</t>
        </is>
      </c>
      <c r="B2473" t="inlineStr">
        <is>
          <t>avverkningsanmälan</t>
        </is>
      </c>
      <c r="C2473" t="inlineStr">
        <is>
          <t>Föryngringsavverkning</t>
        </is>
      </c>
      <c r="D2473" s="1" t="n">
        <v>45377</v>
      </c>
      <c r="E2473" s="1" t="n">
        <v>46315</v>
      </c>
      <c r="F2473" t="inlineStr">
        <is>
          <t>HALLANDS LÄN</t>
        </is>
      </c>
      <c r="G2473" t="inlineStr">
        <is>
          <t>HYLTE</t>
        </is>
      </c>
      <c r="H2473" t="inlineStr">
        <is>
          <t>Kyrkan</t>
        </is>
      </c>
      <c r="I2473" t="n">
        <v>1.3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s="2" t="inlineStr"/>
    </row>
    <row r="2474" ht="15" customHeight="1">
      <c r="A2474" t="inlineStr">
        <is>
          <t>A 34106-2026</t>
        </is>
      </c>
      <c r="B2474" t="inlineStr">
        <is>
          <t>avverkningsanmälan</t>
        </is>
      </c>
      <c r="C2474" t="inlineStr">
        <is>
          <t>Föryngringsavverkning</t>
        </is>
      </c>
      <c r="D2474" s="1" t="n">
        <v>46253</v>
      </c>
      <c r="E2474" s="1" t="n">
        <v>46315</v>
      </c>
      <c r="F2474" t="inlineStr">
        <is>
          <t>HALLANDS LÄN</t>
        </is>
      </c>
      <c r="G2474" t="inlineStr">
        <is>
          <t>HALMSTAD</t>
        </is>
      </c>
      <c r="I2474" t="n">
        <v>1.7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s="2" t="inlineStr"/>
    </row>
    <row r="2475" ht="15" customHeight="1">
      <c r="A2475" t="inlineStr">
        <is>
          <t>A 34185-2026</t>
        </is>
      </c>
      <c r="B2475" t="inlineStr">
        <is>
          <t>avverkningsanmälan</t>
        </is>
      </c>
      <c r="C2475" t="inlineStr">
        <is>
          <t>Föryngringsavverkning</t>
        </is>
      </c>
      <c r="D2475" s="1" t="n">
        <v>46253</v>
      </c>
      <c r="E2475" s="1" t="n">
        <v>46315</v>
      </c>
      <c r="F2475" t="inlineStr">
        <is>
          <t>HALLANDS LÄN</t>
        </is>
      </c>
      <c r="G2475" t="inlineStr">
        <is>
          <t>HALMSTAD</t>
        </is>
      </c>
      <c r="I2475" t="n">
        <v>1.7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s="2" t="inlineStr"/>
    </row>
    <row r="2476" ht="15" customHeight="1">
      <c r="A2476" t="inlineStr">
        <is>
          <t>A 61446-2024</t>
        </is>
      </c>
      <c r="B2476" t="inlineStr">
        <is>
          <t>avverkningsanmälan</t>
        </is>
      </c>
      <c r="C2476" t="inlineStr">
        <is>
          <t>Föryngringsavverkning</t>
        </is>
      </c>
      <c r="D2476" s="1" t="n">
        <v>45646</v>
      </c>
      <c r="E2476" s="1" t="n">
        <v>46315</v>
      </c>
      <c r="F2476" t="inlineStr">
        <is>
          <t>HALLANDS LÄN</t>
        </is>
      </c>
      <c r="G2476" t="inlineStr">
        <is>
          <t>KUNGSBACKA</t>
        </is>
      </c>
      <c r="I2476" t="n">
        <v>0.8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s="2" t="inlineStr"/>
    </row>
    <row r="2477" ht="15" customHeight="1">
      <c r="A2477" t="inlineStr">
        <is>
          <t>A 3743-2025</t>
        </is>
      </c>
      <c r="B2477" t="inlineStr">
        <is>
          <t>avverkningsanmälan</t>
        </is>
      </c>
      <c r="C2477" t="inlineStr">
        <is>
          <t>Föryngringsavverkning</t>
        </is>
      </c>
      <c r="D2477" s="1" t="n">
        <v>45681</v>
      </c>
      <c r="E2477" s="1" t="n">
        <v>46315</v>
      </c>
      <c r="F2477" t="inlineStr">
        <is>
          <t>HALLANDS LÄN</t>
        </is>
      </c>
      <c r="G2477" t="inlineStr">
        <is>
          <t>FALKENBERG</t>
        </is>
      </c>
      <c r="I2477" t="n">
        <v>1.6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s="2" t="inlineStr"/>
    </row>
    <row r="2478" ht="15" customHeight="1">
      <c r="A2478" t="inlineStr">
        <is>
          <t>A 33854-2026</t>
        </is>
      </c>
      <c r="B2478" t="inlineStr">
        <is>
          <t>avverkningsanmälan</t>
        </is>
      </c>
      <c r="C2478" t="inlineStr">
        <is>
          <t>Föryngringsavverkning</t>
        </is>
      </c>
      <c r="D2478" s="1" t="n">
        <v>46251</v>
      </c>
      <c r="E2478" s="1" t="n">
        <v>46315</v>
      </c>
      <c r="F2478" t="inlineStr">
        <is>
          <t>HALLANDS LÄN</t>
        </is>
      </c>
      <c r="G2478" t="inlineStr">
        <is>
          <t>FALKENBERG</t>
        </is>
      </c>
      <c r="I2478" t="n">
        <v>1.7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s="2" t="inlineStr"/>
    </row>
    <row r="2479" ht="15" customHeight="1">
      <c r="A2479" t="inlineStr">
        <is>
          <t>A 4145-2024</t>
        </is>
      </c>
      <c r="B2479" t="inlineStr">
        <is>
          <t>avverkningsanmälan</t>
        </is>
      </c>
      <c r="C2479" t="inlineStr">
        <is>
          <t>Föryngringsavverkning</t>
        </is>
      </c>
      <c r="D2479" s="1" t="n">
        <v>45323</v>
      </c>
      <c r="E2479" s="1" t="n">
        <v>46315</v>
      </c>
      <c r="F2479" t="inlineStr">
        <is>
          <t>HALLANDS LÄN</t>
        </is>
      </c>
      <c r="G2479" t="inlineStr">
        <is>
          <t>KUNGSBACKA</t>
        </is>
      </c>
      <c r="I2479" t="n">
        <v>2.2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s="2" t="inlineStr"/>
    </row>
    <row r="2480" ht="15" customHeight="1">
      <c r="A2480" t="inlineStr">
        <is>
          <t>A 16739-2025</t>
        </is>
      </c>
      <c r="B2480" t="inlineStr">
        <is>
          <t>avverkningsanmälan</t>
        </is>
      </c>
      <c r="C2480" t="inlineStr">
        <is>
          <t>Föryngringsavverkning</t>
        </is>
      </c>
      <c r="D2480" s="1" t="n">
        <v>45754</v>
      </c>
      <c r="E2480" s="1" t="n">
        <v>46315</v>
      </c>
      <c r="F2480" t="inlineStr">
        <is>
          <t>HALLANDS LÄN</t>
        </is>
      </c>
      <c r="G2480" t="inlineStr">
        <is>
          <t>VARBERG</t>
        </is>
      </c>
      <c r="I2480" t="n">
        <v>1.7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s="2" t="inlineStr"/>
    </row>
    <row r="2481" ht="15" customHeight="1">
      <c r="A2481" t="inlineStr">
        <is>
          <t>A 51901-2024</t>
        </is>
      </c>
      <c r="B2481" t="inlineStr">
        <is>
          <t>avverkningsanmälan</t>
        </is>
      </c>
      <c r="C2481" t="inlineStr">
        <is>
          <t>Föryngringsavverkning</t>
        </is>
      </c>
      <c r="D2481" s="1" t="n">
        <v>45607</v>
      </c>
      <c r="E2481" s="1" t="n">
        <v>46315</v>
      </c>
      <c r="F2481" t="inlineStr">
        <is>
          <t>HALLANDS LÄN</t>
        </is>
      </c>
      <c r="G2481" t="inlineStr">
        <is>
          <t>HALMSTAD</t>
        </is>
      </c>
      <c r="I2481" t="n">
        <v>2.6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s="2" t="inlineStr"/>
    </row>
    <row r="2482" ht="15" customHeight="1">
      <c r="A2482" t="inlineStr">
        <is>
          <t>A 40520-2026</t>
        </is>
      </c>
      <c r="B2482" t="inlineStr">
        <is>
          <t>avverkningsanmälan</t>
        </is>
      </c>
      <c r="C2482" t="inlineStr">
        <is>
          <t>Avverkning för att bevara och utveckla /försöksver</t>
        </is>
      </c>
      <c r="D2482" s="1" t="n">
        <v>46295</v>
      </c>
      <c r="E2482" s="1" t="n">
        <v>46315</v>
      </c>
      <c r="F2482" t="inlineStr">
        <is>
          <t>HALLANDS LÄN</t>
        </is>
      </c>
      <c r="G2482" t="inlineStr">
        <is>
          <t>KUNGSBACKA</t>
        </is>
      </c>
      <c r="I2482" t="n">
        <v>2.1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s="2" t="inlineStr"/>
    </row>
    <row r="2483" ht="15" customHeight="1">
      <c r="A2483" t="inlineStr">
        <is>
          <t>A 44740-2023</t>
        </is>
      </c>
      <c r="B2483" t="inlineStr">
        <is>
          <t>avverkningsanmälan</t>
        </is>
      </c>
      <c r="C2483" t="inlineStr">
        <is>
          <t>Föryngringsavverkning</t>
        </is>
      </c>
      <c r="D2483" s="1" t="n">
        <v>45184</v>
      </c>
      <c r="E2483" s="1" t="n">
        <v>46315</v>
      </c>
      <c r="F2483" t="inlineStr">
        <is>
          <t>HALLANDS LÄN</t>
        </is>
      </c>
      <c r="G2483" t="inlineStr">
        <is>
          <t>VARBERG</t>
        </is>
      </c>
      <c r="I2483" t="n">
        <v>6.7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s="2" t="inlineStr"/>
    </row>
    <row r="2484" ht="15" customHeight="1">
      <c r="A2484" t="inlineStr">
        <is>
          <t>A 40488-2026</t>
        </is>
      </c>
      <c r="B2484" t="inlineStr">
        <is>
          <t>avverkningsanmälan</t>
        </is>
      </c>
      <c r="C2484" t="inlineStr">
        <is>
          <t>Föryngringsavverkning</t>
        </is>
      </c>
      <c r="D2484" s="1" t="n">
        <v>46295</v>
      </c>
      <c r="E2484" s="1" t="n">
        <v>46315</v>
      </c>
      <c r="F2484" t="inlineStr">
        <is>
          <t>HALLANDS LÄN</t>
        </is>
      </c>
      <c r="G2484" t="inlineStr">
        <is>
          <t>FALKENBERG</t>
        </is>
      </c>
      <c r="I2484" t="n">
        <v>2.5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s="2" t="inlineStr"/>
    </row>
    <row r="2485" ht="15" customHeight="1">
      <c r="A2485" t="inlineStr">
        <is>
          <t>A 761-2024</t>
        </is>
      </c>
      <c r="B2485" t="inlineStr">
        <is>
          <t>avverkningsanmälan</t>
        </is>
      </c>
      <c r="C2485" t="inlineStr">
        <is>
          <t>Föryngringsavverkning</t>
        </is>
      </c>
      <c r="D2485" s="1" t="n">
        <v>45300</v>
      </c>
      <c r="E2485" s="1" t="n">
        <v>46315</v>
      </c>
      <c r="F2485" t="inlineStr">
        <is>
          <t>HALLANDS LÄN</t>
        </is>
      </c>
      <c r="G2485" t="inlineStr">
        <is>
          <t>FALKENBERG</t>
        </is>
      </c>
      <c r="I2485" t="n">
        <v>0.7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s="2" t="inlineStr"/>
    </row>
    <row r="2486" ht="15" customHeight="1">
      <c r="A2486" t="inlineStr">
        <is>
          <t>A 7780-2024</t>
        </is>
      </c>
      <c r="B2486" t="inlineStr">
        <is>
          <t>avverkningsanmälan</t>
        </is>
      </c>
      <c r="C2486" t="inlineStr">
        <is>
          <t>Föryngringsavverkning</t>
        </is>
      </c>
      <c r="D2486" s="1" t="n">
        <v>45349</v>
      </c>
      <c r="E2486" s="1" t="n">
        <v>46315</v>
      </c>
      <c r="F2486" t="inlineStr">
        <is>
          <t>HALLANDS LÄN</t>
        </is>
      </c>
      <c r="G2486" t="inlineStr">
        <is>
          <t>LAHOLM</t>
        </is>
      </c>
      <c r="I2486" t="n">
        <v>2.5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s="2" t="inlineStr"/>
    </row>
    <row r="2487" ht="15" customHeight="1">
      <c r="A2487" t="inlineStr">
        <is>
          <t>A 40512-2026</t>
        </is>
      </c>
      <c r="B2487" t="inlineStr">
        <is>
          <t>avverkningsanmälan</t>
        </is>
      </c>
      <c r="C2487" t="inlineStr">
        <is>
          <t>Föryngringsavverkning</t>
        </is>
      </c>
      <c r="D2487" s="1" t="n">
        <v>46295</v>
      </c>
      <c r="E2487" s="1" t="n">
        <v>46315</v>
      </c>
      <c r="F2487" t="inlineStr">
        <is>
          <t>HALLANDS LÄN</t>
        </is>
      </c>
      <c r="G2487" t="inlineStr">
        <is>
          <t>KUNGSBACKA</t>
        </is>
      </c>
      <c r="I2487" t="n">
        <v>0.5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s="2" t="inlineStr"/>
    </row>
    <row r="2488" ht="15" customHeight="1">
      <c r="A2488" t="inlineStr">
        <is>
          <t>A 2407-2024</t>
        </is>
      </c>
      <c r="B2488" t="inlineStr">
        <is>
          <t>avverkningsanmälan</t>
        </is>
      </c>
      <c r="C2488" t="inlineStr">
        <is>
          <t>Föryngringsavverkning</t>
        </is>
      </c>
      <c r="D2488" s="1" t="n">
        <v>45310</v>
      </c>
      <c r="E2488" s="1" t="n">
        <v>46315</v>
      </c>
      <c r="F2488" t="inlineStr">
        <is>
          <t>HALLANDS LÄN</t>
        </is>
      </c>
      <c r="G2488" t="inlineStr">
        <is>
          <t>VARBERG</t>
        </is>
      </c>
      <c r="I2488" t="n">
        <v>8.5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s="2" t="inlineStr"/>
    </row>
    <row r="2489" ht="15" customHeight="1">
      <c r="A2489" t="inlineStr">
        <is>
          <t>A 40461-2026</t>
        </is>
      </c>
      <c r="B2489" t="inlineStr">
        <is>
          <t>avverkningsanmälan</t>
        </is>
      </c>
      <c r="C2489" t="inlineStr">
        <is>
          <t>Föryngringsavverkning</t>
        </is>
      </c>
      <c r="D2489" s="1" t="n">
        <v>46295</v>
      </c>
      <c r="E2489" s="1" t="n">
        <v>46315</v>
      </c>
      <c r="F2489" t="inlineStr">
        <is>
          <t>HALLANDS LÄN</t>
        </is>
      </c>
      <c r="G2489" t="inlineStr">
        <is>
          <t>VARBERG</t>
        </is>
      </c>
      <c r="I2489" t="n">
        <v>0.9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s="2" t="inlineStr"/>
    </row>
    <row r="2490" ht="15" customHeight="1">
      <c r="A2490" t="inlineStr">
        <is>
          <t>A 42657-2023</t>
        </is>
      </c>
      <c r="B2490" t="inlineStr">
        <is>
          <t>avverkningsanmälan</t>
        </is>
      </c>
      <c r="C2490" t="inlineStr">
        <is>
          <t>Föryngringsavverkning</t>
        </is>
      </c>
      <c r="D2490" s="1" t="n">
        <v>45176</v>
      </c>
      <c r="E2490" s="1" t="n">
        <v>46315</v>
      </c>
      <c r="F2490" t="inlineStr">
        <is>
          <t>HALLANDS LÄN</t>
        </is>
      </c>
      <c r="G2490" t="inlineStr">
        <is>
          <t>HYLTE</t>
        </is>
      </c>
      <c r="H2490" t="inlineStr">
        <is>
          <t>Kyrkan</t>
        </is>
      </c>
      <c r="I2490" t="n">
        <v>1.5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s="2" t="inlineStr"/>
    </row>
    <row r="2491" ht="15" customHeight="1">
      <c r="A2491" t="inlineStr">
        <is>
          <t>A 10268-2022</t>
        </is>
      </c>
      <c r="B2491" t="inlineStr">
        <is>
          <t>avverkningsanmälan</t>
        </is>
      </c>
      <c r="C2491" t="inlineStr">
        <is>
          <t>Föryngringsavverkning</t>
        </is>
      </c>
      <c r="D2491" s="1" t="n">
        <v>44622</v>
      </c>
      <c r="E2491" s="1" t="n">
        <v>46315</v>
      </c>
      <c r="F2491" t="inlineStr">
        <is>
          <t>HALLANDS LÄN</t>
        </is>
      </c>
      <c r="G2491" t="inlineStr">
        <is>
          <t>FALKENBERG</t>
        </is>
      </c>
      <c r="I2491" t="n">
        <v>1.7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s="2" t="inlineStr"/>
    </row>
    <row r="2492" ht="15" customHeight="1">
      <c r="A2492" t="inlineStr">
        <is>
          <t>A 1294-2025</t>
        </is>
      </c>
      <c r="B2492" t="inlineStr">
        <is>
          <t>avverkningsanmälan</t>
        </is>
      </c>
      <c r="C2492" t="inlineStr">
        <is>
          <t>Föryngringsavverkning</t>
        </is>
      </c>
      <c r="D2492" s="1" t="n">
        <v>45667</v>
      </c>
      <c r="E2492" s="1" t="n">
        <v>46315</v>
      </c>
      <c r="F2492" t="inlineStr">
        <is>
          <t>HALLANDS LÄN</t>
        </is>
      </c>
      <c r="G2492" t="inlineStr">
        <is>
          <t>FALKENBERG</t>
        </is>
      </c>
      <c r="I2492" t="n">
        <v>4.3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s="2" t="inlineStr"/>
    </row>
    <row r="2493" ht="15" customHeight="1">
      <c r="A2493" t="inlineStr">
        <is>
          <t>A 40496-2026</t>
        </is>
      </c>
      <c r="B2493" t="inlineStr">
        <is>
          <t>avverkningsanmälan</t>
        </is>
      </c>
      <c r="C2493" t="inlineStr">
        <is>
          <t>Föryngringsavverkning</t>
        </is>
      </c>
      <c r="D2493" s="1" t="n">
        <v>46295</v>
      </c>
      <c r="E2493" s="1" t="n">
        <v>46315</v>
      </c>
      <c r="F2493" t="inlineStr">
        <is>
          <t>HALLANDS LÄN</t>
        </is>
      </c>
      <c r="G2493" t="inlineStr">
        <is>
          <t>KUNGSBACKA</t>
        </is>
      </c>
      <c r="I2493" t="n">
        <v>5.5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s="2" t="inlineStr"/>
    </row>
    <row r="2494" ht="15" customHeight="1">
      <c r="A2494" t="inlineStr">
        <is>
          <t>A 20781-2025</t>
        </is>
      </c>
      <c r="B2494" t="inlineStr">
        <is>
          <t>avverkningsanmälan</t>
        </is>
      </c>
      <c r="C2494" t="inlineStr">
        <is>
          <t>Föryngringsavverkning</t>
        </is>
      </c>
      <c r="D2494" s="1" t="n">
        <v>45776</v>
      </c>
      <c r="E2494" s="1" t="n">
        <v>46315</v>
      </c>
      <c r="F2494" t="inlineStr">
        <is>
          <t>HALLANDS LÄN</t>
        </is>
      </c>
      <c r="G2494" t="inlineStr">
        <is>
          <t>KUNGSBACKA</t>
        </is>
      </c>
      <c r="I2494" t="n">
        <v>5.7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s="2" t="inlineStr"/>
    </row>
    <row r="2495" ht="15" customHeight="1">
      <c r="A2495" t="inlineStr">
        <is>
          <t>A 34625-2026</t>
        </is>
      </c>
      <c r="B2495" t="inlineStr">
        <is>
          <t>avverkningsanmälan</t>
        </is>
      </c>
      <c r="C2495" t="inlineStr">
        <is>
          <t>Föryngringsavverkning</t>
        </is>
      </c>
      <c r="D2495" s="1" t="n">
        <v>46254</v>
      </c>
      <c r="E2495" s="1" t="n">
        <v>46315</v>
      </c>
      <c r="F2495" t="inlineStr">
        <is>
          <t>HALLANDS LÄN</t>
        </is>
      </c>
      <c r="G2495" t="inlineStr">
        <is>
          <t>HALMSTAD</t>
        </is>
      </c>
      <c r="I2495" t="n">
        <v>4.2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s="2" t="inlineStr"/>
    </row>
    <row r="2496" ht="15" customHeight="1">
      <c r="A2496" t="inlineStr">
        <is>
          <t>A 32307-2025</t>
        </is>
      </c>
      <c r="B2496" t="inlineStr">
        <is>
          <t>avverkningsanmälan</t>
        </is>
      </c>
      <c r="C2496" t="inlineStr">
        <is>
          <t>Föryngringsavverkning</t>
        </is>
      </c>
      <c r="D2496" s="1" t="n">
        <v>45835</v>
      </c>
      <c r="E2496" s="1" t="n">
        <v>46315</v>
      </c>
      <c r="F2496" t="inlineStr">
        <is>
          <t>HALLANDS LÄN</t>
        </is>
      </c>
      <c r="G2496" t="inlineStr">
        <is>
          <t>VARBERG</t>
        </is>
      </c>
      <c r="I2496" t="n">
        <v>2.9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s="2" t="inlineStr"/>
    </row>
    <row r="2497" ht="15" customHeight="1">
      <c r="A2497" t="inlineStr">
        <is>
          <t>A 59595-2024</t>
        </is>
      </c>
      <c r="B2497" t="inlineStr">
        <is>
          <t>avverkningsanmälan</t>
        </is>
      </c>
      <c r="C2497" t="inlineStr">
        <is>
          <t>Föryngringsavverkning</t>
        </is>
      </c>
      <c r="D2497" s="1" t="n">
        <v>45638</v>
      </c>
      <c r="E2497" s="1" t="n">
        <v>46315</v>
      </c>
      <c r="F2497" t="inlineStr">
        <is>
          <t>HALLANDS LÄN</t>
        </is>
      </c>
      <c r="G2497" t="inlineStr">
        <is>
          <t>HYLTE</t>
        </is>
      </c>
      <c r="I2497" t="n">
        <v>2.3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s="2" t="inlineStr"/>
    </row>
    <row r="2498" ht="15" customHeight="1">
      <c r="A2498" t="inlineStr">
        <is>
          <t>A 23031-2026</t>
        </is>
      </c>
      <c r="B2498" t="inlineStr">
        <is>
          <t>avverkningsanmälan</t>
        </is>
      </c>
      <c r="C2498" t="inlineStr">
        <is>
          <t>Föryngringsavverkning</t>
        </is>
      </c>
      <c r="D2498" s="1" t="n">
        <v>46161</v>
      </c>
      <c r="E2498" s="1" t="n">
        <v>46315</v>
      </c>
      <c r="F2498" t="inlineStr">
        <is>
          <t>HALLANDS LÄN</t>
        </is>
      </c>
      <c r="G2498" t="inlineStr">
        <is>
          <t>HYLTE</t>
        </is>
      </c>
      <c r="H2498" t="inlineStr">
        <is>
          <t>Bergvik skog väst AB</t>
        </is>
      </c>
      <c r="I2498" t="n">
        <v>4.5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s="2" t="inlineStr"/>
    </row>
    <row r="2499" ht="15" customHeight="1">
      <c r="A2499" t="inlineStr">
        <is>
          <t>A 20907-2025</t>
        </is>
      </c>
      <c r="B2499" t="inlineStr">
        <is>
          <t>avverkningsanmälan</t>
        </is>
      </c>
      <c r="C2499" t="inlineStr">
        <is>
          <t>Föryngringsavverkning</t>
        </is>
      </c>
      <c r="D2499" s="1" t="n">
        <v>45777</v>
      </c>
      <c r="E2499" s="1" t="n">
        <v>46315</v>
      </c>
      <c r="F2499" t="inlineStr">
        <is>
          <t>HALLANDS LÄN</t>
        </is>
      </c>
      <c r="G2499" t="inlineStr">
        <is>
          <t>FALKENBERG</t>
        </is>
      </c>
      <c r="I2499" t="n">
        <v>0.5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s="2" t="inlineStr"/>
    </row>
    <row r="2500" ht="15" customHeight="1">
      <c r="A2500" t="inlineStr">
        <is>
          <t>A 41066-2026</t>
        </is>
      </c>
      <c r="B2500" t="inlineStr">
        <is>
          <t>avverkningsanmälan</t>
        </is>
      </c>
      <c r="C2500" t="inlineStr">
        <is>
          <t>Föryngringsavverkning</t>
        </is>
      </c>
      <c r="D2500" s="1" t="n">
        <v>46300</v>
      </c>
      <c r="E2500" s="1" t="n">
        <v>46315</v>
      </c>
      <c r="F2500" t="inlineStr">
        <is>
          <t>HALLANDS LÄN</t>
        </is>
      </c>
      <c r="G2500" t="inlineStr">
        <is>
          <t>KUNGSBACKA</t>
        </is>
      </c>
      <c r="I2500" t="n">
        <v>5.6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s="2" t="inlineStr"/>
    </row>
    <row r="2501" ht="15" customHeight="1">
      <c r="A2501" t="inlineStr">
        <is>
          <t>A 20881-2025</t>
        </is>
      </c>
      <c r="B2501" t="inlineStr">
        <is>
          <t>avverkningsanmälan</t>
        </is>
      </c>
      <c r="C2501" t="inlineStr">
        <is>
          <t>Föryngringsavverkning</t>
        </is>
      </c>
      <c r="D2501" s="1" t="n">
        <v>45777</v>
      </c>
      <c r="E2501" s="1" t="n">
        <v>46315</v>
      </c>
      <c r="F2501" t="inlineStr">
        <is>
          <t>HALLANDS LÄN</t>
        </is>
      </c>
      <c r="G2501" t="inlineStr">
        <is>
          <t>KUNGSBACKA</t>
        </is>
      </c>
      <c r="I2501" t="n">
        <v>0.5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s="2" t="inlineStr"/>
    </row>
    <row r="2502" ht="15" customHeight="1">
      <c r="A2502" t="inlineStr">
        <is>
          <t>A 20883-2025</t>
        </is>
      </c>
      <c r="B2502" t="inlineStr">
        <is>
          <t>avverkningsanmälan</t>
        </is>
      </c>
      <c r="C2502" t="inlineStr">
        <is>
          <t>Föryngringsavverkning</t>
        </is>
      </c>
      <c r="D2502" s="1" t="n">
        <v>45777</v>
      </c>
      <c r="E2502" s="1" t="n">
        <v>46315</v>
      </c>
      <c r="F2502" t="inlineStr">
        <is>
          <t>HALLANDS LÄN</t>
        </is>
      </c>
      <c r="G2502" t="inlineStr">
        <is>
          <t>KUNGSBACKA</t>
        </is>
      </c>
      <c r="I2502" t="n">
        <v>1.9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s="2" t="inlineStr"/>
    </row>
    <row r="2503" ht="15" customHeight="1">
      <c r="A2503" t="inlineStr">
        <is>
          <t>A 47772-2024</t>
        </is>
      </c>
      <c r="B2503" t="inlineStr">
        <is>
          <t>avverkningsanmälan</t>
        </is>
      </c>
      <c r="C2503" t="inlineStr">
        <is>
          <t>Föryngringsavverkning</t>
        </is>
      </c>
      <c r="D2503" s="1" t="n">
        <v>45588</v>
      </c>
      <c r="E2503" s="1" t="n">
        <v>46315</v>
      </c>
      <c r="F2503" t="inlineStr">
        <is>
          <t>HALLANDS LÄN</t>
        </is>
      </c>
      <c r="G2503" t="inlineStr">
        <is>
          <t>HYLTE</t>
        </is>
      </c>
      <c r="H2503" t="inlineStr">
        <is>
          <t>Kyrkan</t>
        </is>
      </c>
      <c r="I2503" t="n">
        <v>4.7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s="2" t="inlineStr"/>
    </row>
    <row r="2504" ht="15" customHeight="1">
      <c r="A2504" t="inlineStr">
        <is>
          <t>A 17823-2025</t>
        </is>
      </c>
      <c r="B2504" t="inlineStr">
        <is>
          <t>avverkningsanmälan</t>
        </is>
      </c>
      <c r="C2504" t="inlineStr">
        <is>
          <t>Föryngringsavverkning</t>
        </is>
      </c>
      <c r="D2504" s="1" t="n">
        <v>45758</v>
      </c>
      <c r="E2504" s="1" t="n">
        <v>46315</v>
      </c>
      <c r="F2504" t="inlineStr">
        <is>
          <t>HALLANDS LÄN</t>
        </is>
      </c>
      <c r="G2504" t="inlineStr">
        <is>
          <t>LAHOLM</t>
        </is>
      </c>
      <c r="I2504" t="n">
        <v>8.9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s="2" t="inlineStr"/>
    </row>
    <row r="2505" ht="15" customHeight="1">
      <c r="A2505" t="inlineStr">
        <is>
          <t>A 21512-2025</t>
        </is>
      </c>
      <c r="B2505" t="inlineStr">
        <is>
          <t>avverkningsanmälan</t>
        </is>
      </c>
      <c r="C2505" t="inlineStr">
        <is>
          <t>Föryngringsavverkning</t>
        </is>
      </c>
      <c r="D2505" s="1" t="n">
        <v>45782</v>
      </c>
      <c r="E2505" s="1" t="n">
        <v>46315</v>
      </c>
      <c r="F2505" t="inlineStr">
        <is>
          <t>HALLANDS LÄN</t>
        </is>
      </c>
      <c r="G2505" t="inlineStr">
        <is>
          <t>FALKENBERG</t>
        </is>
      </c>
      <c r="I2505" t="n">
        <v>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s="2" t="inlineStr"/>
    </row>
    <row r="2506" ht="15" customHeight="1">
      <c r="A2506" t="inlineStr">
        <is>
          <t>A 32909-2026</t>
        </is>
      </c>
      <c r="B2506" t="inlineStr">
        <is>
          <t>avverkningsanmälan</t>
        </is>
      </c>
      <c r="C2506" t="inlineStr">
        <is>
          <t>Föryngringsavverkning</t>
        </is>
      </c>
      <c r="D2506" s="1" t="n">
        <v>46244</v>
      </c>
      <c r="E2506" s="1" t="n">
        <v>46315</v>
      </c>
      <c r="F2506" t="inlineStr">
        <is>
          <t>HALLANDS LÄN</t>
        </is>
      </c>
      <c r="G2506" t="inlineStr">
        <is>
          <t>HYLTE</t>
        </is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s="2" t="inlineStr"/>
    </row>
    <row r="2507" ht="15" customHeight="1">
      <c r="A2507" t="inlineStr">
        <is>
          <t>A 34307-2026</t>
        </is>
      </c>
      <c r="B2507" t="inlineStr">
        <is>
          <t>avverkningsanmälan</t>
        </is>
      </c>
      <c r="C2507" t="inlineStr">
        <is>
          <t>Föryngringsavverkning</t>
        </is>
      </c>
      <c r="D2507" s="1" t="n">
        <v>46254</v>
      </c>
      <c r="E2507" s="1" t="n">
        <v>46315</v>
      </c>
      <c r="F2507" t="inlineStr">
        <is>
          <t>HALLANDS LÄN</t>
        </is>
      </c>
      <c r="G2507" t="inlineStr">
        <is>
          <t>VARBERG</t>
        </is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s="2" t="inlineStr"/>
    </row>
    <row r="2508" ht="15" customHeight="1">
      <c r="A2508" t="inlineStr">
        <is>
          <t>A 63852-2023</t>
        </is>
      </c>
      <c r="B2508" t="inlineStr">
        <is>
          <t>avverkningsanmälan</t>
        </is>
      </c>
      <c r="C2508" t="inlineStr">
        <is>
          <t>Föryngringsavverkning</t>
        </is>
      </c>
      <c r="D2508" s="1" t="n">
        <v>45278</v>
      </c>
      <c r="E2508" s="1" t="n">
        <v>46315</v>
      </c>
      <c r="F2508" t="inlineStr">
        <is>
          <t>HALLANDS LÄN</t>
        </is>
      </c>
      <c r="G2508" t="inlineStr">
        <is>
          <t>FALKENBERG</t>
        </is>
      </c>
      <c r="I2508" t="n">
        <v>1.9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s="2" t="inlineStr"/>
    </row>
    <row r="2509" ht="15" customHeight="1">
      <c r="A2509" t="inlineStr">
        <is>
          <t>A 34533-2026</t>
        </is>
      </c>
      <c r="B2509" t="inlineStr">
        <is>
          <t>avverkningsanmälan</t>
        </is>
      </c>
      <c r="C2509" t="inlineStr">
        <is>
          <t>Föryngringsavverkning</t>
        </is>
      </c>
      <c r="D2509" s="1" t="n">
        <v>46255</v>
      </c>
      <c r="E2509" s="1" t="n">
        <v>46315</v>
      </c>
      <c r="F2509" t="inlineStr">
        <is>
          <t>HALLANDS LÄN</t>
        </is>
      </c>
      <c r="G2509" t="inlineStr">
        <is>
          <t>VARBERG</t>
        </is>
      </c>
      <c r="I2509" t="n">
        <v>2.8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s="2" t="inlineStr"/>
    </row>
    <row r="2510" ht="15" customHeight="1">
      <c r="A2510" t="inlineStr">
        <is>
          <t>A 54170-2024</t>
        </is>
      </c>
      <c r="B2510" t="inlineStr">
        <is>
          <t>avverkningsanmälan</t>
        </is>
      </c>
      <c r="C2510" t="inlineStr">
        <is>
          <t>Föryngringsavverkning</t>
        </is>
      </c>
      <c r="D2510" s="1" t="n">
        <v>45616</v>
      </c>
      <c r="E2510" s="1" t="n">
        <v>46315</v>
      </c>
      <c r="F2510" t="inlineStr">
        <is>
          <t>HALLANDS LÄN</t>
        </is>
      </c>
      <c r="G2510" t="inlineStr">
        <is>
          <t>HYLTE</t>
        </is>
      </c>
      <c r="I2510" t="n">
        <v>1.4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s="2" t="inlineStr"/>
    </row>
    <row r="2511" ht="15" customHeight="1">
      <c r="A2511" t="inlineStr">
        <is>
          <t>A 40870-2026</t>
        </is>
      </c>
      <c r="B2511" t="inlineStr">
        <is>
          <t>avverkningsanmälan</t>
        </is>
      </c>
      <c r="C2511" t="inlineStr">
        <is>
          <t>Föryngringsavverkning</t>
        </is>
      </c>
      <c r="D2511" s="1" t="n">
        <v>46297</v>
      </c>
      <c r="E2511" s="1" t="n">
        <v>46315</v>
      </c>
      <c r="F2511" t="inlineStr">
        <is>
          <t>HALLANDS LÄN</t>
        </is>
      </c>
      <c r="G2511" t="inlineStr">
        <is>
          <t>LAHOLM</t>
        </is>
      </c>
      <c r="I2511" t="n">
        <v>2.8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s="2" t="inlineStr"/>
    </row>
    <row r="2512" ht="15" customHeight="1">
      <c r="A2512" t="inlineStr">
        <is>
          <t>A 21946-2024</t>
        </is>
      </c>
      <c r="B2512" t="inlineStr">
        <is>
          <t>avverkningsanmälan</t>
        </is>
      </c>
      <c r="C2512" t="inlineStr">
        <is>
          <t>Föryngringsavverkning</t>
        </is>
      </c>
      <c r="D2512" s="1" t="n">
        <v>45443</v>
      </c>
      <c r="E2512" s="1" t="n">
        <v>46315</v>
      </c>
      <c r="F2512" t="inlineStr">
        <is>
          <t>HALLANDS LÄN</t>
        </is>
      </c>
      <c r="G2512" t="inlineStr">
        <is>
          <t>HALMSTAD</t>
        </is>
      </c>
      <c r="I2512" t="n">
        <v>1.7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s="2" t="inlineStr"/>
    </row>
    <row r="2513" ht="15" customHeight="1">
      <c r="A2513" t="inlineStr">
        <is>
          <t>A 40418-2024</t>
        </is>
      </c>
      <c r="B2513" t="inlineStr">
        <is>
          <t>avverkningsanmälan</t>
        </is>
      </c>
      <c r="C2513" t="inlineStr">
        <is>
          <t>Föryngringsavverkning</t>
        </is>
      </c>
      <c r="D2513" s="1" t="n">
        <v>45555</v>
      </c>
      <c r="E2513" s="1" t="n">
        <v>46315</v>
      </c>
      <c r="F2513" t="inlineStr">
        <is>
          <t>HALLANDS LÄN</t>
        </is>
      </c>
      <c r="G2513" t="inlineStr">
        <is>
          <t>HALMSTAD</t>
        </is>
      </c>
      <c r="I2513" t="n">
        <v>1.9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s="2" t="inlineStr"/>
    </row>
    <row r="2514" ht="15" customHeight="1">
      <c r="A2514" t="inlineStr">
        <is>
          <t>A 13789-2024</t>
        </is>
      </c>
      <c r="B2514" t="inlineStr">
        <is>
          <t>avverkningsanmälan</t>
        </is>
      </c>
      <c r="C2514" t="inlineStr">
        <is>
          <t>Föryngringsavverkning</t>
        </is>
      </c>
      <c r="D2514" s="1" t="n">
        <v>45391</v>
      </c>
      <c r="E2514" s="1" t="n">
        <v>46315</v>
      </c>
      <c r="F2514" t="inlineStr">
        <is>
          <t>HALLANDS LÄN</t>
        </is>
      </c>
      <c r="G2514" t="inlineStr">
        <is>
          <t>HYLTE</t>
        </is>
      </c>
      <c r="I2514" t="n">
        <v>3.7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s="2" t="inlineStr"/>
    </row>
    <row r="2515" ht="15" customHeight="1">
      <c r="A2515" t="inlineStr">
        <is>
          <t>A 31907-2024</t>
        </is>
      </c>
      <c r="B2515" t="inlineStr">
        <is>
          <t>avverkningsanmälan</t>
        </is>
      </c>
      <c r="C2515" t="inlineStr">
        <is>
          <t>Föryngringsavverkning</t>
        </is>
      </c>
      <c r="D2515" s="1" t="n">
        <v>45510</v>
      </c>
      <c r="E2515" s="1" t="n">
        <v>46315</v>
      </c>
      <c r="F2515" t="inlineStr">
        <is>
          <t>HALLANDS LÄN</t>
        </is>
      </c>
      <c r="G2515" t="inlineStr">
        <is>
          <t>HYLTE</t>
        </is>
      </c>
      <c r="I2515" t="n">
        <v>3.1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s="2" t="inlineStr"/>
    </row>
    <row r="2516" ht="15" customHeight="1">
      <c r="A2516" t="inlineStr">
        <is>
          <t>A 40862-2026</t>
        </is>
      </c>
      <c r="B2516" t="inlineStr">
        <is>
          <t>avverkningsanmälan</t>
        </is>
      </c>
      <c r="C2516" t="inlineStr">
        <is>
          <t>Föryngringsavverkning</t>
        </is>
      </c>
      <c r="D2516" s="1" t="n">
        <v>46297</v>
      </c>
      <c r="E2516" s="1" t="n">
        <v>46315</v>
      </c>
      <c r="F2516" t="inlineStr">
        <is>
          <t>HALLANDS LÄN</t>
        </is>
      </c>
      <c r="G2516" t="inlineStr">
        <is>
          <t>LAHOLM</t>
        </is>
      </c>
      <c r="I2516" t="n">
        <v>1.7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s="2" t="inlineStr"/>
    </row>
    <row r="2517" ht="15" customHeight="1">
      <c r="A2517" t="inlineStr">
        <is>
          <t>A 9325-2026</t>
        </is>
      </c>
      <c r="B2517" t="inlineStr">
        <is>
          <t>avverkningsanmälan</t>
        </is>
      </c>
      <c r="C2517" t="inlineStr">
        <is>
          <t>Föryngringsavverkning</t>
        </is>
      </c>
      <c r="D2517" s="1" t="n">
        <v>46070</v>
      </c>
      <c r="E2517" s="1" t="n">
        <v>46315</v>
      </c>
      <c r="F2517" t="inlineStr">
        <is>
          <t>HALLANDS LÄN</t>
        </is>
      </c>
      <c r="G2517" t="inlineStr">
        <is>
          <t>HYLTE</t>
        </is>
      </c>
      <c r="I2517" t="n">
        <v>1.5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s="2" t="inlineStr"/>
    </row>
    <row r="2518" ht="15" customHeight="1">
      <c r="A2518" t="inlineStr">
        <is>
          <t>A 41044-2026</t>
        </is>
      </c>
      <c r="B2518" t="inlineStr">
        <is>
          <t>avverkningsanmälan</t>
        </is>
      </c>
      <c r="C2518" t="inlineStr">
        <is>
          <t>Föryngringsavverkning</t>
        </is>
      </c>
      <c r="D2518" s="1" t="n">
        <v>46299</v>
      </c>
      <c r="E2518" s="1" t="n">
        <v>46315</v>
      </c>
      <c r="F2518" t="inlineStr">
        <is>
          <t>HALLANDS LÄN</t>
        </is>
      </c>
      <c r="G2518" t="inlineStr">
        <is>
          <t>VARBERG</t>
        </is>
      </c>
      <c r="I2518" t="n">
        <v>0.7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s="2" t="inlineStr"/>
    </row>
    <row r="2519" ht="15" customHeight="1">
      <c r="A2519" t="inlineStr">
        <is>
          <t>A 21767-2025</t>
        </is>
      </c>
      <c r="B2519" t="inlineStr">
        <is>
          <t>avverkningsanmälan</t>
        </is>
      </c>
      <c r="C2519" t="inlineStr">
        <is>
          <t>Föryngringsavverkning</t>
        </is>
      </c>
      <c r="D2519" s="1" t="n">
        <v>45783</v>
      </c>
      <c r="E2519" s="1" t="n">
        <v>46315</v>
      </c>
      <c r="F2519" t="inlineStr">
        <is>
          <t>HALLANDS LÄN</t>
        </is>
      </c>
      <c r="G2519" t="inlineStr">
        <is>
          <t>HYLTE</t>
        </is>
      </c>
      <c r="I2519" t="n">
        <v>0.6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s="2" t="inlineStr"/>
    </row>
    <row r="2520" ht="15" customHeight="1">
      <c r="A2520" t="inlineStr">
        <is>
          <t>A 54230-2024</t>
        </is>
      </c>
      <c r="B2520" t="inlineStr">
        <is>
          <t>avverkningsanmälan</t>
        </is>
      </c>
      <c r="C2520" t="inlineStr">
        <is>
          <t>Föryngringsavverkning</t>
        </is>
      </c>
      <c r="D2520" s="1" t="n">
        <v>45616</v>
      </c>
      <c r="E2520" s="1" t="n">
        <v>46315</v>
      </c>
      <c r="F2520" t="inlineStr">
        <is>
          <t>HALLANDS LÄN</t>
        </is>
      </c>
      <c r="G2520" t="inlineStr">
        <is>
          <t>HYLTE</t>
        </is>
      </c>
      <c r="I2520" t="n">
        <v>1.1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s="2" t="inlineStr"/>
    </row>
    <row r="2521" ht="15" customHeight="1">
      <c r="A2521" t="inlineStr">
        <is>
          <t>A 34525-2026</t>
        </is>
      </c>
      <c r="B2521" t="inlineStr">
        <is>
          <t>avverkningsanmälan</t>
        </is>
      </c>
      <c r="C2521" t="inlineStr">
        <is>
          <t>Föryngringsavverkning</t>
        </is>
      </c>
      <c r="D2521" s="1" t="n">
        <v>46255</v>
      </c>
      <c r="E2521" s="1" t="n">
        <v>46315</v>
      </c>
      <c r="F2521" t="inlineStr">
        <is>
          <t>HALLANDS LÄN</t>
        </is>
      </c>
      <c r="G2521" t="inlineStr">
        <is>
          <t>VARBERG</t>
        </is>
      </c>
      <c r="I2521" t="n">
        <v>5.5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s="2" t="inlineStr"/>
    </row>
    <row r="2522" ht="15" customHeight="1">
      <c r="A2522" t="inlineStr">
        <is>
          <t>A 22323-2025</t>
        </is>
      </c>
      <c r="B2522" t="inlineStr">
        <is>
          <t>avverkningsanmälan</t>
        </is>
      </c>
      <c r="C2522" t="inlineStr">
        <is>
          <t>Föryngringsavverkning</t>
        </is>
      </c>
      <c r="D2522" s="1" t="n">
        <v>45786</v>
      </c>
      <c r="E2522" s="1" t="n">
        <v>46315</v>
      </c>
      <c r="F2522" t="inlineStr">
        <is>
          <t>HALLANDS LÄN</t>
        </is>
      </c>
      <c r="G2522" t="inlineStr">
        <is>
          <t>HYLTE</t>
        </is>
      </c>
      <c r="H2522" t="inlineStr">
        <is>
          <t>Kyrkan</t>
        </is>
      </c>
      <c r="I2522" t="n">
        <v>7.3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s="2" t="inlineStr"/>
    </row>
    <row r="2523" ht="15" customHeight="1">
      <c r="A2523" t="inlineStr">
        <is>
          <t>A 42103-2025</t>
        </is>
      </c>
      <c r="B2523" t="inlineStr">
        <is>
          <t>avverkningsanmälan</t>
        </is>
      </c>
      <c r="C2523" t="inlineStr">
        <is>
          <t>Föryngringsavverkning</t>
        </is>
      </c>
      <c r="D2523" s="1" t="n">
        <v>45903</v>
      </c>
      <c r="E2523" s="1" t="n">
        <v>46315</v>
      </c>
      <c r="F2523" t="inlineStr">
        <is>
          <t>HALLANDS LÄN</t>
        </is>
      </c>
      <c r="G2523" t="inlineStr">
        <is>
          <t>LAHOLM</t>
        </is>
      </c>
      <c r="I2523" t="n">
        <v>9.6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s="2" t="inlineStr"/>
    </row>
    <row r="2524" ht="15" customHeight="1">
      <c r="A2524" t="inlineStr">
        <is>
          <t>A 46754-2024</t>
        </is>
      </c>
      <c r="B2524" t="inlineStr">
        <is>
          <t>avverkningsanmälan</t>
        </is>
      </c>
      <c r="C2524" t="inlineStr">
        <is>
          <t>Föryngringsavverkning</t>
        </is>
      </c>
      <c r="D2524" s="1" t="n">
        <v>45583</v>
      </c>
      <c r="E2524" s="1" t="n">
        <v>46315</v>
      </c>
      <c r="F2524" t="inlineStr">
        <is>
          <t>HALLANDS LÄN</t>
        </is>
      </c>
      <c r="G2524" t="inlineStr">
        <is>
          <t>HALMSTAD</t>
        </is>
      </c>
      <c r="I2524" t="n">
        <v>3.1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s="2" t="inlineStr"/>
    </row>
    <row r="2525" ht="15" customHeight="1">
      <c r="A2525" t="inlineStr">
        <is>
          <t>A 41340-2024</t>
        </is>
      </c>
      <c r="B2525" t="inlineStr">
        <is>
          <t>avverkningsanmälan</t>
        </is>
      </c>
      <c r="C2525" t="inlineStr">
        <is>
          <t>Föryngringsavverkning</t>
        </is>
      </c>
      <c r="D2525" s="1" t="n">
        <v>45559</v>
      </c>
      <c r="E2525" s="1" t="n">
        <v>46315</v>
      </c>
      <c r="F2525" t="inlineStr">
        <is>
          <t>HALLANDS LÄN</t>
        </is>
      </c>
      <c r="G2525" t="inlineStr">
        <is>
          <t>HYLTE</t>
        </is>
      </c>
      <c r="I2525" t="n">
        <v>1.3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s="2" t="inlineStr"/>
    </row>
    <row r="2526" ht="15" customHeight="1">
      <c r="A2526" t="inlineStr">
        <is>
          <t>A 3397-2025</t>
        </is>
      </c>
      <c r="B2526" t="inlineStr">
        <is>
          <t>avverkningsanmälan</t>
        </is>
      </c>
      <c r="C2526" t="inlineStr">
        <is>
          <t>Föryngringsavverkning</t>
        </is>
      </c>
      <c r="D2526" s="1" t="n">
        <v>45680</v>
      </c>
      <c r="E2526" s="1" t="n">
        <v>46315</v>
      </c>
      <c r="F2526" t="inlineStr">
        <is>
          <t>HALLANDS LÄN</t>
        </is>
      </c>
      <c r="G2526" t="inlineStr">
        <is>
          <t>HYLTE</t>
        </is>
      </c>
      <c r="I2526" t="n">
        <v>2.3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s="2" t="inlineStr"/>
    </row>
    <row r="2527" ht="15" customHeight="1">
      <c r="A2527" t="inlineStr">
        <is>
          <t>A 52666-2023</t>
        </is>
      </c>
      <c r="B2527" t="inlineStr">
        <is>
          <t>avverkningsanmälan</t>
        </is>
      </c>
      <c r="C2527" t="inlineStr">
        <is>
          <t>Föryngringsavverkning</t>
        </is>
      </c>
      <c r="D2527" s="1" t="n">
        <v>45225</v>
      </c>
      <c r="E2527" s="1" t="n">
        <v>46315</v>
      </c>
      <c r="F2527" t="inlineStr">
        <is>
          <t>HALLANDS LÄN</t>
        </is>
      </c>
      <c r="G2527" t="inlineStr">
        <is>
          <t>HYLTE</t>
        </is>
      </c>
      <c r="I2527" t="n">
        <v>4.9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s="2" t="inlineStr"/>
    </row>
    <row r="2528" ht="15" customHeight="1">
      <c r="A2528" t="inlineStr">
        <is>
          <t>A 57543-2023</t>
        </is>
      </c>
      <c r="B2528" t="inlineStr">
        <is>
          <t>avverkningsanmälan</t>
        </is>
      </c>
      <c r="C2528" t="inlineStr">
        <is>
          <t>Föryngringsavverkning</t>
        </is>
      </c>
      <c r="D2528" s="1" t="n">
        <v>45246</v>
      </c>
      <c r="E2528" s="1" t="n">
        <v>46315</v>
      </c>
      <c r="F2528" t="inlineStr">
        <is>
          <t>HALLANDS LÄN</t>
        </is>
      </c>
      <c r="G2528" t="inlineStr">
        <is>
          <t>LAHOLM</t>
        </is>
      </c>
      <c r="H2528" t="inlineStr">
        <is>
          <t>Kommuner</t>
        </is>
      </c>
      <c r="I2528" t="n">
        <v>1.1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s="2" t="inlineStr"/>
    </row>
    <row r="2529" ht="15" customHeight="1">
      <c r="A2529" t="inlineStr">
        <is>
          <t>A 47983-2024</t>
        </is>
      </c>
      <c r="B2529" t="inlineStr">
        <is>
          <t>avverkningsanmälan</t>
        </is>
      </c>
      <c r="C2529" t="inlineStr">
        <is>
          <t>Föryngringsavverkning</t>
        </is>
      </c>
      <c r="D2529" s="1" t="n">
        <v>45589</v>
      </c>
      <c r="E2529" s="1" t="n">
        <v>46315</v>
      </c>
      <c r="F2529" t="inlineStr">
        <is>
          <t>HALLANDS LÄN</t>
        </is>
      </c>
      <c r="G2529" t="inlineStr">
        <is>
          <t>HYLTE</t>
        </is>
      </c>
      <c r="H2529" t="inlineStr">
        <is>
          <t>Kyrkan</t>
        </is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s="2" t="inlineStr"/>
    </row>
    <row r="2530" ht="15" customHeight="1">
      <c r="A2530" t="inlineStr">
        <is>
          <t>A 54818-2024</t>
        </is>
      </c>
      <c r="B2530" t="inlineStr">
        <is>
          <t>avverkningsanmälan</t>
        </is>
      </c>
      <c r="C2530" t="inlineStr">
        <is>
          <t>Föryngringsavverkning</t>
        </is>
      </c>
      <c r="D2530" s="1" t="n">
        <v>45618</v>
      </c>
      <c r="E2530" s="1" t="n">
        <v>46315</v>
      </c>
      <c r="F2530" t="inlineStr">
        <is>
          <t>HALLANDS LÄN</t>
        </is>
      </c>
      <c r="G2530" t="inlineStr">
        <is>
          <t>HYLTE</t>
        </is>
      </c>
      <c r="I2530" t="n">
        <v>3.5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s="2" t="inlineStr"/>
    </row>
    <row r="2531" ht="15" customHeight="1">
      <c r="A2531" t="inlineStr">
        <is>
          <t>A 22094-2025</t>
        </is>
      </c>
      <c r="B2531" t="inlineStr">
        <is>
          <t>avverkningsanmälan</t>
        </is>
      </c>
      <c r="C2531" t="inlineStr">
        <is>
          <t>Föryngringsavverkning</t>
        </is>
      </c>
      <c r="D2531" s="1" t="n">
        <v>45785</v>
      </c>
      <c r="E2531" s="1" t="n">
        <v>46315</v>
      </c>
      <c r="F2531" t="inlineStr">
        <is>
          <t>HALLANDS LÄN</t>
        </is>
      </c>
      <c r="G2531" t="inlineStr">
        <is>
          <t>FALKENBERG</t>
        </is>
      </c>
      <c r="I2531" t="n">
        <v>0.5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s="2" t="inlineStr"/>
    </row>
    <row r="2532" ht="15" customHeight="1">
      <c r="A2532" t="inlineStr">
        <is>
          <t>A 40987-2026</t>
        </is>
      </c>
      <c r="B2532" t="inlineStr">
        <is>
          <t>avverkningsanmälan</t>
        </is>
      </c>
      <c r="C2532" t="inlineStr">
        <is>
          <t>Föryngringsavverkning</t>
        </is>
      </c>
      <c r="D2532" s="1" t="n">
        <v>46297</v>
      </c>
      <c r="E2532" s="1" t="n">
        <v>46315</v>
      </c>
      <c r="F2532" t="inlineStr">
        <is>
          <t>HALLANDS LÄN</t>
        </is>
      </c>
      <c r="G2532" t="inlineStr">
        <is>
          <t>LAHOLM</t>
        </is>
      </c>
      <c r="I2532" t="n">
        <v>1.3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s="2" t="inlineStr"/>
    </row>
    <row r="2533" ht="15" customHeight="1">
      <c r="A2533" t="inlineStr">
        <is>
          <t>A 34482-2026</t>
        </is>
      </c>
      <c r="B2533" t="inlineStr">
        <is>
          <t>avverkningsanmälan</t>
        </is>
      </c>
      <c r="C2533" t="inlineStr">
        <is>
          <t>Föryngringsavverkning</t>
        </is>
      </c>
      <c r="D2533" s="1" t="n">
        <v>46254</v>
      </c>
      <c r="E2533" s="1" t="n">
        <v>46315</v>
      </c>
      <c r="F2533" t="inlineStr">
        <is>
          <t>HALLANDS LÄN</t>
        </is>
      </c>
      <c r="G2533" t="inlineStr">
        <is>
          <t>HALMSTAD</t>
        </is>
      </c>
      <c r="I2533" t="n">
        <v>0.9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s="2" t="inlineStr"/>
    </row>
    <row r="2534" ht="15" customHeight="1">
      <c r="A2534" t="inlineStr">
        <is>
          <t>A 37324-2025</t>
        </is>
      </c>
      <c r="B2534" t="inlineStr">
        <is>
          <t>avverkningsanmälan</t>
        </is>
      </c>
      <c r="C2534" t="inlineStr">
        <is>
          <t>Föryngringsavverkning</t>
        </is>
      </c>
      <c r="D2534" s="1" t="n">
        <v>45876</v>
      </c>
      <c r="E2534" s="1" t="n">
        <v>46315</v>
      </c>
      <c r="F2534" t="inlineStr">
        <is>
          <t>HALLANDS LÄN</t>
        </is>
      </c>
      <c r="G2534" t="inlineStr">
        <is>
          <t>HYLTE</t>
        </is>
      </c>
      <c r="I2534" t="n">
        <v>1.2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s="2" t="inlineStr"/>
    </row>
    <row r="2535" ht="15" customHeight="1">
      <c r="A2535" t="inlineStr">
        <is>
          <t>A 61498-2024</t>
        </is>
      </c>
      <c r="B2535" t="inlineStr">
        <is>
          <t>avverkningsanmälan</t>
        </is>
      </c>
      <c r="C2535" t="inlineStr">
        <is>
          <t>Föryngringsavverkning</t>
        </is>
      </c>
      <c r="D2535" s="1" t="n">
        <v>45646</v>
      </c>
      <c r="E2535" s="1" t="n">
        <v>46315</v>
      </c>
      <c r="F2535" t="inlineStr">
        <is>
          <t>HALLANDS LÄN</t>
        </is>
      </c>
      <c r="G2535" t="inlineStr">
        <is>
          <t>LAHOLM</t>
        </is>
      </c>
      <c r="I2535" t="n">
        <v>0.7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s="2" t="inlineStr"/>
    </row>
    <row r="2536" ht="15" customHeight="1">
      <c r="A2536" t="inlineStr">
        <is>
          <t>A 11461-2025</t>
        </is>
      </c>
      <c r="B2536" t="inlineStr">
        <is>
          <t>avverkningsanmälan</t>
        </is>
      </c>
      <c r="C2536" t="inlineStr">
        <is>
          <t>Föryngringsavverkning</t>
        </is>
      </c>
      <c r="D2536" s="1" t="n">
        <v>45726</v>
      </c>
      <c r="E2536" s="1" t="n">
        <v>46315</v>
      </c>
      <c r="F2536" t="inlineStr">
        <is>
          <t>HALLANDS LÄN</t>
        </is>
      </c>
      <c r="G2536" t="inlineStr">
        <is>
          <t>HYLTE</t>
        </is>
      </c>
      <c r="I2536" t="n">
        <v>1.7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s="2" t="inlineStr"/>
    </row>
    <row r="2537" ht="15" customHeight="1">
      <c r="A2537" t="inlineStr">
        <is>
          <t>A 14486-2025</t>
        </is>
      </c>
      <c r="B2537" t="inlineStr">
        <is>
          <t>avverkningsanmälan</t>
        </is>
      </c>
      <c r="C2537" t="inlineStr">
        <is>
          <t>Föryngringsavverkning</t>
        </is>
      </c>
      <c r="D2537" s="1" t="n">
        <v>45741</v>
      </c>
      <c r="E2537" s="1" t="n">
        <v>46315</v>
      </c>
      <c r="F2537" t="inlineStr">
        <is>
          <t>HALLANDS LÄN</t>
        </is>
      </c>
      <c r="G2537" t="inlineStr">
        <is>
          <t>HYLTE</t>
        </is>
      </c>
      <c r="I2537" t="n">
        <v>3.3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s="2" t="inlineStr"/>
    </row>
    <row r="2538" ht="15" customHeight="1">
      <c r="A2538" t="inlineStr">
        <is>
          <t>A 14505-2025</t>
        </is>
      </c>
      <c r="B2538" t="inlineStr">
        <is>
          <t>avverkningsanmälan</t>
        </is>
      </c>
      <c r="C2538" t="inlineStr">
        <is>
          <t>Föryngringsavverkning</t>
        </is>
      </c>
      <c r="D2538" s="1" t="n">
        <v>45741</v>
      </c>
      <c r="E2538" s="1" t="n">
        <v>46315</v>
      </c>
      <c r="F2538" t="inlineStr">
        <is>
          <t>HALLANDS LÄN</t>
        </is>
      </c>
      <c r="G2538" t="inlineStr">
        <is>
          <t>FALKENBERG</t>
        </is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s="2" t="inlineStr"/>
    </row>
    <row r="2539" ht="15" customHeight="1">
      <c r="A2539" t="inlineStr">
        <is>
          <t>A 21925-2024</t>
        </is>
      </c>
      <c r="B2539" t="inlineStr">
        <is>
          <t>avverkningsanmälan</t>
        </is>
      </c>
      <c r="C2539" t="inlineStr">
        <is>
          <t>Föryngringsavverkning</t>
        </is>
      </c>
      <c r="D2539" s="1" t="n">
        <v>45443</v>
      </c>
      <c r="E2539" s="1" t="n">
        <v>46315</v>
      </c>
      <c r="F2539" t="inlineStr">
        <is>
          <t>HALLANDS LÄN</t>
        </is>
      </c>
      <c r="G2539" t="inlineStr">
        <is>
          <t>FALKENBERG</t>
        </is>
      </c>
      <c r="I2539" t="n">
        <v>1.7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s="2" t="inlineStr"/>
    </row>
    <row r="2540" ht="15" customHeight="1">
      <c r="A2540" t="inlineStr">
        <is>
          <t>A 45354-2024</t>
        </is>
      </c>
      <c r="B2540" t="inlineStr">
        <is>
          <t>avverkningsanmälan</t>
        </is>
      </c>
      <c r="C2540" t="inlineStr">
        <is>
          <t>Föryngringsavverkning</t>
        </is>
      </c>
      <c r="D2540" s="1" t="n">
        <v>45576</v>
      </c>
      <c r="E2540" s="1" t="n">
        <v>46315</v>
      </c>
      <c r="F2540" t="inlineStr">
        <is>
          <t>HALLANDS LÄN</t>
        </is>
      </c>
      <c r="G2540" t="inlineStr">
        <is>
          <t>LAHOLM</t>
        </is>
      </c>
      <c r="I2540" t="n">
        <v>2.8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s="2" t="inlineStr"/>
    </row>
    <row r="2541" ht="15" customHeight="1">
      <c r="A2541" t="inlineStr">
        <is>
          <t>A 29488-2024</t>
        </is>
      </c>
      <c r="B2541" t="inlineStr">
        <is>
          <t>avverkningsanmälan</t>
        </is>
      </c>
      <c r="C2541" t="inlineStr">
        <is>
          <t>Föryngringsavverkning</t>
        </is>
      </c>
      <c r="D2541" s="1" t="n">
        <v>45483</v>
      </c>
      <c r="E2541" s="1" t="n">
        <v>46315</v>
      </c>
      <c r="F2541" t="inlineStr">
        <is>
          <t>HALLANDS LÄN</t>
        </is>
      </c>
      <c r="G2541" t="inlineStr">
        <is>
          <t>HYLTE</t>
        </is>
      </c>
      <c r="I2541" t="n">
        <v>0.8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s="2" t="inlineStr"/>
    </row>
    <row r="2542" ht="15" customHeight="1">
      <c r="A2542" t="inlineStr">
        <is>
          <t>A 40942-2026</t>
        </is>
      </c>
      <c r="B2542" t="inlineStr">
        <is>
          <t>avverkningsanmälan</t>
        </is>
      </c>
      <c r="C2542" t="inlineStr">
        <is>
          <t>Föryngringsavverkning</t>
        </is>
      </c>
      <c r="D2542" s="1" t="n">
        <v>46297</v>
      </c>
      <c r="E2542" s="1" t="n">
        <v>46315</v>
      </c>
      <c r="F2542" t="inlineStr">
        <is>
          <t>HALLANDS LÄN</t>
        </is>
      </c>
      <c r="G2542" t="inlineStr">
        <is>
          <t>LAHOLM</t>
        </is>
      </c>
      <c r="I2542" t="n">
        <v>1.1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s="2" t="inlineStr"/>
    </row>
    <row r="2543" ht="15" customHeight="1">
      <c r="A2543" t="inlineStr">
        <is>
          <t>A 22913-2025</t>
        </is>
      </c>
      <c r="B2543" t="inlineStr">
        <is>
          <t>avverkningsanmälan</t>
        </is>
      </c>
      <c r="C2543" t="inlineStr">
        <is>
          <t>Föryngringsavverkning</t>
        </is>
      </c>
      <c r="D2543" s="1" t="n">
        <v>45790</v>
      </c>
      <c r="E2543" s="1" t="n">
        <v>46315</v>
      </c>
      <c r="F2543" t="inlineStr">
        <is>
          <t>HALLANDS LÄN</t>
        </is>
      </c>
      <c r="G2543" t="inlineStr">
        <is>
          <t>FALKENBERG</t>
        </is>
      </c>
      <c r="I2543" t="n">
        <v>3.3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s="2" t="inlineStr"/>
    </row>
    <row r="2544" ht="15" customHeight="1">
      <c r="A2544" t="inlineStr">
        <is>
          <t>A 52488-2024</t>
        </is>
      </c>
      <c r="B2544" t="inlineStr">
        <is>
          <t>avverkningsanmälan</t>
        </is>
      </c>
      <c r="C2544" t="inlineStr">
        <is>
          <t>Föryngringsavverkning</t>
        </is>
      </c>
      <c r="D2544" s="1" t="n">
        <v>45609</v>
      </c>
      <c r="E2544" s="1" t="n">
        <v>46315</v>
      </c>
      <c r="F2544" t="inlineStr">
        <is>
          <t>HALLANDS LÄN</t>
        </is>
      </c>
      <c r="G2544" t="inlineStr">
        <is>
          <t>HYLTE</t>
        </is>
      </c>
      <c r="I2544" t="n">
        <v>2.7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s="2" t="inlineStr"/>
    </row>
    <row r="2545" ht="15" customHeight="1">
      <c r="A2545" t="inlineStr">
        <is>
          <t>A 34771-2026</t>
        </is>
      </c>
      <c r="B2545" t="inlineStr">
        <is>
          <t>avverkningsanmälan</t>
        </is>
      </c>
      <c r="C2545" t="inlineStr">
        <is>
          <t>Föryngringsavverkning</t>
        </is>
      </c>
      <c r="D2545" s="1" t="n">
        <v>46255</v>
      </c>
      <c r="E2545" s="1" t="n">
        <v>46315</v>
      </c>
      <c r="F2545" t="inlineStr">
        <is>
          <t>HALLANDS LÄN</t>
        </is>
      </c>
      <c r="G2545" t="inlineStr">
        <is>
          <t>LAHOLM</t>
        </is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s="2" t="inlineStr"/>
    </row>
    <row r="2546" ht="15" customHeight="1">
      <c r="A2546" t="inlineStr">
        <is>
          <t>A 42074-2024</t>
        </is>
      </c>
      <c r="B2546" t="inlineStr">
        <is>
          <t>avverkningsanmälan</t>
        </is>
      </c>
      <c r="C2546" t="inlineStr">
        <is>
          <t>Föryngringsavverkning</t>
        </is>
      </c>
      <c r="D2546" s="1" t="n">
        <v>45562</v>
      </c>
      <c r="E2546" s="1" t="n">
        <v>46315</v>
      </c>
      <c r="F2546" t="inlineStr">
        <is>
          <t>HALLANDS LÄN</t>
        </is>
      </c>
      <c r="G2546" t="inlineStr">
        <is>
          <t>FALKENBERG</t>
        </is>
      </c>
      <c r="I2546" t="n">
        <v>3.6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s="2" t="inlineStr"/>
    </row>
    <row r="2547" ht="15" customHeight="1">
      <c r="A2547" t="inlineStr">
        <is>
          <t>A 36930-2024</t>
        </is>
      </c>
      <c r="B2547" t="inlineStr">
        <is>
          <t>avverkningsanmälan</t>
        </is>
      </c>
      <c r="C2547" t="inlineStr">
        <is>
          <t>Föryngringsavverkning</t>
        </is>
      </c>
      <c r="D2547" s="1" t="n">
        <v>45538</v>
      </c>
      <c r="E2547" s="1" t="n">
        <v>46315</v>
      </c>
      <c r="F2547" t="inlineStr">
        <is>
          <t>HALLANDS LÄN</t>
        </is>
      </c>
      <c r="G2547" t="inlineStr">
        <is>
          <t>LAHOLM</t>
        </is>
      </c>
      <c r="I2547" t="n">
        <v>5.2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s="2" t="inlineStr"/>
    </row>
    <row r="2548" ht="15" customHeight="1">
      <c r="A2548" t="inlineStr">
        <is>
          <t>A 41023-2026</t>
        </is>
      </c>
      <c r="B2548" t="inlineStr">
        <is>
          <t>avverkningsanmälan</t>
        </is>
      </c>
      <c r="C2548" t="inlineStr">
        <is>
          <t>Föryngringsavverkning</t>
        </is>
      </c>
      <c r="D2548" s="1" t="n">
        <v>46297</v>
      </c>
      <c r="E2548" s="1" t="n">
        <v>46315</v>
      </c>
      <c r="F2548" t="inlineStr">
        <is>
          <t>HALLANDS LÄN</t>
        </is>
      </c>
      <c r="G2548" t="inlineStr">
        <is>
          <t>KUNGSBACKA</t>
        </is>
      </c>
      <c r="I2548" t="n">
        <v>4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s="2" t="inlineStr"/>
    </row>
    <row r="2549" ht="15" customHeight="1">
      <c r="A2549" t="inlineStr">
        <is>
          <t>A 41264-2026</t>
        </is>
      </c>
      <c r="B2549" t="inlineStr">
        <is>
          <t>avverkningsanmälan</t>
        </is>
      </c>
      <c r="C2549" t="inlineStr">
        <is>
          <t>Föryngringsavverkning</t>
        </is>
      </c>
      <c r="D2549" s="1" t="n">
        <v>46300</v>
      </c>
      <c r="E2549" s="1" t="n">
        <v>46315</v>
      </c>
      <c r="F2549" t="inlineStr">
        <is>
          <t>HALLANDS LÄN</t>
        </is>
      </c>
      <c r="G2549" t="inlineStr">
        <is>
          <t>VARBERG</t>
        </is>
      </c>
      <c r="I2549" t="n">
        <v>3.3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s="2" t="inlineStr"/>
    </row>
    <row r="2550" ht="15" customHeight="1">
      <c r="A2550" t="inlineStr">
        <is>
          <t>A 46522-2024</t>
        </is>
      </c>
      <c r="B2550" t="inlineStr">
        <is>
          <t>avverkningsanmälan</t>
        </is>
      </c>
      <c r="C2550" t="inlineStr">
        <is>
          <t>Föryngringsavverkning</t>
        </is>
      </c>
      <c r="D2550" s="1" t="n">
        <v>45582</v>
      </c>
      <c r="E2550" s="1" t="n">
        <v>46315</v>
      </c>
      <c r="F2550" t="inlineStr">
        <is>
          <t>HALLANDS LÄN</t>
        </is>
      </c>
      <c r="G2550" t="inlineStr">
        <is>
          <t>FALKENBERG</t>
        </is>
      </c>
      <c r="I2550" t="n">
        <v>1.5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s="2" t="inlineStr"/>
    </row>
    <row r="2551" ht="15" customHeight="1">
      <c r="A2551" t="inlineStr">
        <is>
          <t>A 5904-2025</t>
        </is>
      </c>
      <c r="B2551" t="inlineStr">
        <is>
          <t>avverkningsanmälan</t>
        </is>
      </c>
      <c r="C2551" t="inlineStr">
        <is>
          <t>Föryngringsavverkning</t>
        </is>
      </c>
      <c r="D2551" s="1" t="n">
        <v>45695</v>
      </c>
      <c r="E2551" s="1" t="n">
        <v>46315</v>
      </c>
      <c r="F2551" t="inlineStr">
        <is>
          <t>HALLANDS LÄN</t>
        </is>
      </c>
      <c r="G2551" t="inlineStr">
        <is>
          <t>LAHOLM</t>
        </is>
      </c>
      <c r="I2551" t="n">
        <v>1.4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s="2" t="inlineStr"/>
    </row>
    <row r="2552" ht="15" customHeight="1">
      <c r="A2552" t="inlineStr">
        <is>
          <t>A 63283-2023</t>
        </is>
      </c>
      <c r="B2552" t="inlineStr">
        <is>
          <t>avverkningsanmälan</t>
        </is>
      </c>
      <c r="C2552" t="inlineStr">
        <is>
          <t>Föryngringsavverkning</t>
        </is>
      </c>
      <c r="D2552" s="1" t="n">
        <v>45273</v>
      </c>
      <c r="E2552" s="1" t="n">
        <v>46315</v>
      </c>
      <c r="F2552" t="inlineStr">
        <is>
          <t>HALLANDS LÄN</t>
        </is>
      </c>
      <c r="G2552" t="inlineStr">
        <is>
          <t>LAHOLM</t>
        </is>
      </c>
      <c r="I2552" t="n">
        <v>2.1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s="2" t="inlineStr"/>
    </row>
    <row r="2553" ht="15" customHeight="1">
      <c r="A2553" t="inlineStr">
        <is>
          <t>A 29434-2024</t>
        </is>
      </c>
      <c r="B2553" t="inlineStr">
        <is>
          <t>avverkningsanmälan</t>
        </is>
      </c>
      <c r="C2553" t="inlineStr">
        <is>
          <t>Föryngringsavverkning</t>
        </is>
      </c>
      <c r="D2553" s="1" t="n">
        <v>45483</v>
      </c>
      <c r="E2553" s="1" t="n">
        <v>46315</v>
      </c>
      <c r="F2553" t="inlineStr">
        <is>
          <t>HALLANDS LÄN</t>
        </is>
      </c>
      <c r="G2553" t="inlineStr">
        <is>
          <t>HYLTE</t>
        </is>
      </c>
      <c r="I2553" t="n">
        <v>3.4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s="2" t="inlineStr"/>
    </row>
    <row r="2554" ht="15" customHeight="1">
      <c r="A2554" t="inlineStr">
        <is>
          <t>A 41683-2026</t>
        </is>
      </c>
      <c r="B2554" t="inlineStr">
        <is>
          <t>avverkningsanmälan</t>
        </is>
      </c>
      <c r="C2554" t="inlineStr">
        <is>
          <t>Föryngringsavverkning</t>
        </is>
      </c>
      <c r="D2554" s="1" t="n">
        <v>46302</v>
      </c>
      <c r="E2554" s="1" t="n">
        <v>46315</v>
      </c>
      <c r="F2554" t="inlineStr">
        <is>
          <t>HALLANDS LÄN</t>
        </is>
      </c>
      <c r="G2554" t="inlineStr">
        <is>
          <t>HYLTE</t>
        </is>
      </c>
      <c r="I2554" t="n">
        <v>4.4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s="2" t="inlineStr"/>
    </row>
    <row r="2555" ht="15" customHeight="1">
      <c r="A2555" t="inlineStr">
        <is>
          <t>A 23366-2025</t>
        </is>
      </c>
      <c r="B2555" t="inlineStr">
        <is>
          <t>avverkningsanmälan</t>
        </is>
      </c>
      <c r="C2555" t="inlineStr">
        <is>
          <t>Föryngringsavverkning</t>
        </is>
      </c>
      <c r="D2555" s="1" t="n">
        <v>45791</v>
      </c>
      <c r="E2555" s="1" t="n">
        <v>46315</v>
      </c>
      <c r="F2555" t="inlineStr">
        <is>
          <t>HALLANDS LÄN</t>
        </is>
      </c>
      <c r="G2555" t="inlineStr">
        <is>
          <t>VARBERG</t>
        </is>
      </c>
      <c r="I2555" t="n">
        <v>0.7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s="2" t="inlineStr"/>
    </row>
    <row r="2556" ht="15" customHeight="1">
      <c r="A2556" t="inlineStr">
        <is>
          <t>A 12661-2023</t>
        </is>
      </c>
      <c r="B2556" t="inlineStr">
        <is>
          <t>avverkningsanmälan</t>
        </is>
      </c>
      <c r="C2556" t="inlineStr">
        <is>
          <t>Föryngringsavverkning</t>
        </is>
      </c>
      <c r="D2556" s="1" t="n">
        <v>45000</v>
      </c>
      <c r="E2556" s="1" t="n">
        <v>46315</v>
      </c>
      <c r="F2556" t="inlineStr">
        <is>
          <t>HALLANDS LÄN</t>
        </is>
      </c>
      <c r="G2556" t="inlineStr">
        <is>
          <t>LAHOLM</t>
        </is>
      </c>
      <c r="I2556" t="n">
        <v>1.3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s="2" t="inlineStr"/>
    </row>
    <row r="2557" ht="15" customHeight="1">
      <c r="A2557" t="inlineStr">
        <is>
          <t>A 34953-2026</t>
        </is>
      </c>
      <c r="B2557" t="inlineStr">
        <is>
          <t>avverkningsanmälan</t>
        </is>
      </c>
      <c r="C2557" t="inlineStr">
        <is>
          <t>Föryngringsavverkning</t>
        </is>
      </c>
      <c r="D2557" s="1" t="n">
        <v>46259</v>
      </c>
      <c r="E2557" s="1" t="n">
        <v>46315</v>
      </c>
      <c r="F2557" t="inlineStr">
        <is>
          <t>HALLANDS LÄN</t>
        </is>
      </c>
      <c r="G2557" t="inlineStr">
        <is>
          <t>FALKENBERG</t>
        </is>
      </c>
      <c r="I2557" t="n">
        <v>1.5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s="2" t="inlineStr"/>
    </row>
    <row r="2558" ht="15" customHeight="1">
      <c r="A2558" t="inlineStr">
        <is>
          <t>A 12299-2024</t>
        </is>
      </c>
      <c r="B2558" t="inlineStr">
        <is>
          <t>avverkningsanmälan</t>
        </is>
      </c>
      <c r="C2558" t="inlineStr">
        <is>
          <t>Föryngringsavverkning</t>
        </is>
      </c>
      <c r="D2558" s="1" t="n">
        <v>45378</v>
      </c>
      <c r="E2558" s="1" t="n">
        <v>46315</v>
      </c>
      <c r="F2558" t="inlineStr">
        <is>
          <t>HALLANDS LÄN</t>
        </is>
      </c>
      <c r="G2558" t="inlineStr">
        <is>
          <t>VARBERG</t>
        </is>
      </c>
      <c r="I2558" t="n">
        <v>2.3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s="2" t="inlineStr"/>
    </row>
    <row r="2559" ht="15" customHeight="1">
      <c r="A2559" t="inlineStr">
        <is>
          <t>A 23609-2025</t>
        </is>
      </c>
      <c r="B2559" t="inlineStr">
        <is>
          <t>avverkningsanmälan</t>
        </is>
      </c>
      <c r="C2559" t="inlineStr">
        <is>
          <t>Föryngringsavverkning</t>
        </is>
      </c>
      <c r="D2559" s="1" t="n">
        <v>45792</v>
      </c>
      <c r="E2559" s="1" t="n">
        <v>46315</v>
      </c>
      <c r="F2559" t="inlineStr">
        <is>
          <t>HALLANDS LÄN</t>
        </is>
      </c>
      <c r="G2559" t="inlineStr">
        <is>
          <t>HALMSTAD</t>
        </is>
      </c>
      <c r="I2559" t="n">
        <v>0.7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s="2" t="inlineStr"/>
    </row>
    <row r="2560" ht="15" customHeight="1">
      <c r="A2560" t="inlineStr">
        <is>
          <t>A 34889-2026</t>
        </is>
      </c>
      <c r="B2560" t="inlineStr">
        <is>
          <t>avverkningsanmälan</t>
        </is>
      </c>
      <c r="C2560" t="inlineStr">
        <is>
          <t>Föryngringsavverkning</t>
        </is>
      </c>
      <c r="D2560" s="1" t="n">
        <v>46259</v>
      </c>
      <c r="E2560" s="1" t="n">
        <v>46315</v>
      </c>
      <c r="F2560" t="inlineStr">
        <is>
          <t>HALLANDS LÄN</t>
        </is>
      </c>
      <c r="G2560" t="inlineStr">
        <is>
          <t>HALMSTAD</t>
        </is>
      </c>
      <c r="I2560" t="n">
        <v>3.7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s="2" t="inlineStr"/>
    </row>
    <row r="2561" ht="15" customHeight="1">
      <c r="A2561" t="inlineStr">
        <is>
          <t>A 14985-2025</t>
        </is>
      </c>
      <c r="B2561" t="inlineStr">
        <is>
          <t>avverkningsanmälan</t>
        </is>
      </c>
      <c r="C2561" t="inlineStr">
        <is>
          <t>Föryngringsavverkning</t>
        </is>
      </c>
      <c r="D2561" s="1" t="n">
        <v>45743</v>
      </c>
      <c r="E2561" s="1" t="n">
        <v>46315</v>
      </c>
      <c r="F2561" t="inlineStr">
        <is>
          <t>HALLANDS LÄN</t>
        </is>
      </c>
      <c r="G2561" t="inlineStr">
        <is>
          <t>HYLTE</t>
        </is>
      </c>
      <c r="H2561" t="inlineStr">
        <is>
          <t>Bergvik skog väst AB</t>
        </is>
      </c>
      <c r="I2561" t="n">
        <v>4.2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s="2" t="inlineStr"/>
    </row>
    <row r="2562" ht="15" customHeight="1">
      <c r="A2562" t="inlineStr">
        <is>
          <t>A 34892-2026</t>
        </is>
      </c>
      <c r="B2562" t="inlineStr">
        <is>
          <t>avverkningsanmälan</t>
        </is>
      </c>
      <c r="C2562" t="inlineStr">
        <is>
          <t>Föryngringsavverkning</t>
        </is>
      </c>
      <c r="D2562" s="1" t="n">
        <v>46259</v>
      </c>
      <c r="E2562" s="1" t="n">
        <v>46315</v>
      </c>
      <c r="F2562" t="inlineStr">
        <is>
          <t>HALLANDS LÄN</t>
        </is>
      </c>
      <c r="G2562" t="inlineStr">
        <is>
          <t>FALKENBERG</t>
        </is>
      </c>
      <c r="I2562" t="n">
        <v>0.8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s="2" t="inlineStr"/>
    </row>
    <row r="2563" ht="15" customHeight="1">
      <c r="A2563" t="inlineStr">
        <is>
          <t>A 23579-2025</t>
        </is>
      </c>
      <c r="B2563" t="inlineStr">
        <is>
          <t>avverkningsanmälan</t>
        </is>
      </c>
      <c r="C2563" t="inlineStr">
        <is>
          <t>Föryngringsavverkning</t>
        </is>
      </c>
      <c r="D2563" s="1" t="n">
        <v>45792</v>
      </c>
      <c r="E2563" s="1" t="n">
        <v>46315</v>
      </c>
      <c r="F2563" t="inlineStr">
        <is>
          <t>HALLANDS LÄN</t>
        </is>
      </c>
      <c r="G2563" t="inlineStr">
        <is>
          <t>KUNGSBACKA</t>
        </is>
      </c>
      <c r="I2563" t="n">
        <v>0.6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s="2" t="inlineStr"/>
    </row>
    <row r="2564" ht="15" customHeight="1">
      <c r="A2564" t="inlineStr">
        <is>
          <t>A 23365-2025</t>
        </is>
      </c>
      <c r="B2564" t="inlineStr">
        <is>
          <t>avverkningsanmälan</t>
        </is>
      </c>
      <c r="C2564" t="inlineStr">
        <is>
          <t>Föryngringsavverkning</t>
        </is>
      </c>
      <c r="D2564" s="1" t="n">
        <v>45791</v>
      </c>
      <c r="E2564" s="1" t="n">
        <v>46315</v>
      </c>
      <c r="F2564" t="inlineStr">
        <is>
          <t>HALLANDS LÄN</t>
        </is>
      </c>
      <c r="G2564" t="inlineStr">
        <is>
          <t>VARBERG</t>
        </is>
      </c>
      <c r="I2564" t="n">
        <v>0.9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s="2" t="inlineStr"/>
    </row>
    <row r="2565" ht="15" customHeight="1">
      <c r="A2565" t="inlineStr">
        <is>
          <t>A 47586-2024</t>
        </is>
      </c>
      <c r="B2565" t="inlineStr">
        <is>
          <t>avverkningsanmälan</t>
        </is>
      </c>
      <c r="C2565" t="inlineStr">
        <is>
          <t>Föryngringsavverkning</t>
        </is>
      </c>
      <c r="D2565" s="1" t="n">
        <v>45587</v>
      </c>
      <c r="E2565" s="1" t="n">
        <v>46315</v>
      </c>
      <c r="F2565" t="inlineStr">
        <is>
          <t>HALLANDS LÄN</t>
        </is>
      </c>
      <c r="G2565" t="inlineStr">
        <is>
          <t>LAHOLM</t>
        </is>
      </c>
      <c r="I2565" t="n">
        <v>1.5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s="2" t="inlineStr"/>
    </row>
    <row r="2566" ht="15" customHeight="1">
      <c r="A2566" t="inlineStr">
        <is>
          <t>A 60830-2024</t>
        </is>
      </c>
      <c r="B2566" t="inlineStr">
        <is>
          <t>avverkningsanmälan</t>
        </is>
      </c>
      <c r="C2566" t="inlineStr">
        <is>
          <t>Föryngringsavverkning</t>
        </is>
      </c>
      <c r="D2566" s="1" t="n">
        <v>45644</v>
      </c>
      <c r="E2566" s="1" t="n">
        <v>46315</v>
      </c>
      <c r="F2566" t="inlineStr">
        <is>
          <t>HALLANDS LÄN</t>
        </is>
      </c>
      <c r="G2566" t="inlineStr">
        <is>
          <t>LAHOLM</t>
        </is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s="2" t="inlineStr"/>
    </row>
    <row r="2567" ht="15" customHeight="1">
      <c r="A2567" t="inlineStr">
        <is>
          <t>A 34763-2026</t>
        </is>
      </c>
      <c r="B2567" t="inlineStr">
        <is>
          <t>avverkningsanmälan</t>
        </is>
      </c>
      <c r="C2567" t="inlineStr">
        <is>
          <t>Föryngringsavverkning</t>
        </is>
      </c>
      <c r="D2567" s="1" t="n">
        <v>46258</v>
      </c>
      <c r="E2567" s="1" t="n">
        <v>46315</v>
      </c>
      <c r="F2567" t="inlineStr">
        <is>
          <t>HALLANDS LÄN</t>
        </is>
      </c>
      <c r="G2567" t="inlineStr">
        <is>
          <t>HALMSTAD</t>
        </is>
      </c>
      <c r="I2567" t="n">
        <v>1.7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s="2" t="inlineStr"/>
    </row>
    <row r="2568" ht="15" customHeight="1">
      <c r="A2568" t="inlineStr">
        <is>
          <t>A 23392-2025</t>
        </is>
      </c>
      <c r="B2568" t="inlineStr">
        <is>
          <t>avverkningsanmälan</t>
        </is>
      </c>
      <c r="C2568" t="inlineStr">
        <is>
          <t>Föryngringsavverkning</t>
        </is>
      </c>
      <c r="D2568" s="1" t="n">
        <v>45791</v>
      </c>
      <c r="E2568" s="1" t="n">
        <v>46315</v>
      </c>
      <c r="F2568" t="inlineStr">
        <is>
          <t>HALLANDS LÄN</t>
        </is>
      </c>
      <c r="G2568" t="inlineStr">
        <is>
          <t>VARBERG</t>
        </is>
      </c>
      <c r="I2568" t="n">
        <v>3.7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s="2" t="inlineStr"/>
    </row>
    <row r="2569" ht="15" customHeight="1">
      <c r="A2569" t="inlineStr">
        <is>
          <t>A 48217-2024</t>
        </is>
      </c>
      <c r="B2569" t="inlineStr">
        <is>
          <t>avverkningsanmälan</t>
        </is>
      </c>
      <c r="C2569" t="inlineStr">
        <is>
          <t>Föryngringsavverkning</t>
        </is>
      </c>
      <c r="D2569" s="1" t="n">
        <v>45590</v>
      </c>
      <c r="E2569" s="1" t="n">
        <v>46315</v>
      </c>
      <c r="F2569" t="inlineStr">
        <is>
          <t>HALLANDS LÄN</t>
        </is>
      </c>
      <c r="G2569" t="inlineStr">
        <is>
          <t>HYLTE</t>
        </is>
      </c>
      <c r="I2569" t="n">
        <v>1.6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s="2" t="inlineStr"/>
    </row>
    <row r="2570" ht="15" customHeight="1">
      <c r="A2570" t="inlineStr">
        <is>
          <t>A 57634-2025</t>
        </is>
      </c>
      <c r="B2570" t="inlineStr">
        <is>
          <t>avverkningsanmälan</t>
        </is>
      </c>
      <c r="C2570" t="inlineStr">
        <is>
          <t>Föryngringsavverkning</t>
        </is>
      </c>
      <c r="D2570" s="1" t="n">
        <v>45981</v>
      </c>
      <c r="E2570" s="1" t="n">
        <v>46315</v>
      </c>
      <c r="F2570" t="inlineStr">
        <is>
          <t>HALLANDS LÄN</t>
        </is>
      </c>
      <c r="G2570" t="inlineStr">
        <is>
          <t>LAHOLM</t>
        </is>
      </c>
      <c r="I2570" t="n">
        <v>0.7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s="2" t="inlineStr"/>
    </row>
    <row r="2571" ht="15" customHeight="1">
      <c r="A2571" t="inlineStr">
        <is>
          <t>A 35015-2026</t>
        </is>
      </c>
      <c r="B2571" t="inlineStr">
        <is>
          <t>avverkningsanmälan</t>
        </is>
      </c>
      <c r="C2571" t="inlineStr">
        <is>
          <t>Föryngringsavverkning</t>
        </is>
      </c>
      <c r="D2571" s="1" t="n">
        <v>46259</v>
      </c>
      <c r="E2571" s="1" t="n">
        <v>46315</v>
      </c>
      <c r="F2571" t="inlineStr">
        <is>
          <t>HALLANDS LÄN</t>
        </is>
      </c>
      <c r="G2571" t="inlineStr">
        <is>
          <t>FALKENBERG</t>
        </is>
      </c>
      <c r="I2571" t="n">
        <v>2.7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s="2" t="inlineStr"/>
    </row>
    <row r="2572" ht="15" customHeight="1">
      <c r="A2572" t="inlineStr">
        <is>
          <t>A 53194-2024</t>
        </is>
      </c>
      <c r="B2572" t="inlineStr">
        <is>
          <t>avverkningsanmälan</t>
        </is>
      </c>
      <c r="C2572" t="inlineStr">
        <is>
          <t>Föryngringsavverkning</t>
        </is>
      </c>
      <c r="D2572" s="1" t="n">
        <v>45610</v>
      </c>
      <c r="E2572" s="1" t="n">
        <v>46315</v>
      </c>
      <c r="F2572" t="inlineStr">
        <is>
          <t>HALLANDS LÄN</t>
        </is>
      </c>
      <c r="G2572" t="inlineStr">
        <is>
          <t>KUNGSBACKA</t>
        </is>
      </c>
      <c r="I2572" t="n">
        <v>3.1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s="2" t="inlineStr"/>
    </row>
    <row r="2573" ht="15" customHeight="1">
      <c r="A2573" t="inlineStr">
        <is>
          <t>A 34792-2026</t>
        </is>
      </c>
      <c r="B2573" t="inlineStr">
        <is>
          <t>avverkningsanmälan</t>
        </is>
      </c>
      <c r="C2573" t="inlineStr">
        <is>
          <t>Föryngringsavverkning</t>
        </is>
      </c>
      <c r="D2573" s="1" t="n">
        <v>46258</v>
      </c>
      <c r="E2573" s="1" t="n">
        <v>46315</v>
      </c>
      <c r="F2573" t="inlineStr">
        <is>
          <t>HALLANDS LÄN</t>
        </is>
      </c>
      <c r="G2573" t="inlineStr">
        <is>
          <t>FALKENBERG</t>
        </is>
      </c>
      <c r="I2573" t="n">
        <v>5.5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s="2" t="inlineStr"/>
    </row>
    <row r="2574" ht="15" customHeight="1">
      <c r="A2574" t="inlineStr">
        <is>
          <t>A 15383-2025</t>
        </is>
      </c>
      <c r="B2574" t="inlineStr">
        <is>
          <t>avverkningsanmälan</t>
        </is>
      </c>
      <c r="C2574" t="inlineStr">
        <is>
          <t>Föryngringsavverkning</t>
        </is>
      </c>
      <c r="D2574" s="1" t="n">
        <v>45747</v>
      </c>
      <c r="E2574" s="1" t="n">
        <v>46315</v>
      </c>
      <c r="F2574" t="inlineStr">
        <is>
          <t>HALLANDS LÄN</t>
        </is>
      </c>
      <c r="G2574" t="inlineStr">
        <is>
          <t>HALMSTAD</t>
        </is>
      </c>
      <c r="I2574" t="n">
        <v>2.2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s="2" t="inlineStr"/>
    </row>
    <row r="2575" ht="15" customHeight="1">
      <c r="A2575" t="inlineStr">
        <is>
          <t>A 34802-2026</t>
        </is>
      </c>
      <c r="B2575" t="inlineStr">
        <is>
          <t>avverkningsanmälan</t>
        </is>
      </c>
      <c r="C2575" t="inlineStr">
        <is>
          <t>Föryngringsavverkning</t>
        </is>
      </c>
      <c r="D2575" s="1" t="n">
        <v>46258</v>
      </c>
      <c r="E2575" s="1" t="n">
        <v>46315</v>
      </c>
      <c r="F2575" t="inlineStr">
        <is>
          <t>HALLANDS LÄN</t>
        </is>
      </c>
      <c r="G2575" t="inlineStr">
        <is>
          <t>KUNGSBACKA</t>
        </is>
      </c>
      <c r="I2575" t="n">
        <v>1.7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s="2" t="inlineStr"/>
    </row>
    <row r="2576" ht="15" customHeight="1">
      <c r="A2576" t="inlineStr">
        <is>
          <t>A 44793-2024</t>
        </is>
      </c>
      <c r="B2576" t="inlineStr">
        <is>
          <t>avverkningsanmälan</t>
        </is>
      </c>
      <c r="C2576" t="inlineStr">
        <is>
          <t>Föryngringsavverkning</t>
        </is>
      </c>
      <c r="D2576" s="1" t="n">
        <v>45574</v>
      </c>
      <c r="E2576" s="1" t="n">
        <v>46315</v>
      </c>
      <c r="F2576" t="inlineStr">
        <is>
          <t>HALLANDS LÄN</t>
        </is>
      </c>
      <c r="G2576" t="inlineStr">
        <is>
          <t>VARBERG</t>
        </is>
      </c>
      <c r="I2576" t="n">
        <v>1.1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s="2" t="inlineStr"/>
    </row>
    <row r="2577" ht="15" customHeight="1">
      <c r="A2577" t="inlineStr">
        <is>
          <t>A 54131-2024</t>
        </is>
      </c>
      <c r="B2577" t="inlineStr">
        <is>
          <t>avverkningsanmälan</t>
        </is>
      </c>
      <c r="C2577" t="inlineStr">
        <is>
          <t>Föryngringsavverkning</t>
        </is>
      </c>
      <c r="D2577" s="1" t="n">
        <v>45616</v>
      </c>
      <c r="E2577" s="1" t="n">
        <v>46315</v>
      </c>
      <c r="F2577" t="inlineStr">
        <is>
          <t>HALLANDS LÄN</t>
        </is>
      </c>
      <c r="G2577" t="inlineStr">
        <is>
          <t>FALKENBERG</t>
        </is>
      </c>
      <c r="I2577" t="n">
        <v>1.2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s="2" t="inlineStr"/>
    </row>
    <row r="2578" ht="15" customHeight="1">
      <c r="A2578" t="inlineStr">
        <is>
          <t>A 23359-2025</t>
        </is>
      </c>
      <c r="B2578" t="inlineStr">
        <is>
          <t>avverkningsanmälan</t>
        </is>
      </c>
      <c r="C2578" t="inlineStr">
        <is>
          <t>Föryngringsavverkning</t>
        </is>
      </c>
      <c r="D2578" s="1" t="n">
        <v>45791</v>
      </c>
      <c r="E2578" s="1" t="n">
        <v>46315</v>
      </c>
      <c r="F2578" t="inlineStr">
        <is>
          <t>HALLANDS LÄN</t>
        </is>
      </c>
      <c r="G2578" t="inlineStr">
        <is>
          <t>VARBERG</t>
        </is>
      </c>
      <c r="I2578" t="n">
        <v>1.3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s="2" t="inlineStr"/>
    </row>
    <row r="2579" ht="15" customHeight="1">
      <c r="A2579" t="inlineStr">
        <is>
          <t>A 15008-2025</t>
        </is>
      </c>
      <c r="B2579" t="inlineStr">
        <is>
          <t>avverkningsanmälan</t>
        </is>
      </c>
      <c r="C2579" t="inlineStr">
        <is>
          <t>Föryngringsavverkning</t>
        </is>
      </c>
      <c r="D2579" s="1" t="n">
        <v>45743</v>
      </c>
      <c r="E2579" s="1" t="n">
        <v>46315</v>
      </c>
      <c r="F2579" t="inlineStr">
        <is>
          <t>HALLANDS LÄN</t>
        </is>
      </c>
      <c r="G2579" t="inlineStr">
        <is>
          <t>HYLTE</t>
        </is>
      </c>
      <c r="H2579" t="inlineStr">
        <is>
          <t>Bergvik skog väst AB</t>
        </is>
      </c>
      <c r="I2579" t="n">
        <v>3.3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s="2" t="inlineStr"/>
    </row>
    <row r="2580" ht="15" customHeight="1">
      <c r="A2580" t="inlineStr">
        <is>
          <t>A 5796-2025</t>
        </is>
      </c>
      <c r="B2580" t="inlineStr">
        <is>
          <t>avverkningsanmälan</t>
        </is>
      </c>
      <c r="C2580" t="inlineStr">
        <is>
          <t>Föryngringsavverkning</t>
        </is>
      </c>
      <c r="D2580" s="1" t="n">
        <v>45694</v>
      </c>
      <c r="E2580" s="1" t="n">
        <v>46315</v>
      </c>
      <c r="F2580" t="inlineStr">
        <is>
          <t>HALLANDS LÄN</t>
        </is>
      </c>
      <c r="G2580" t="inlineStr">
        <is>
          <t>HALMSTAD</t>
        </is>
      </c>
      <c r="I2580" t="n">
        <v>1.4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s="2" t="inlineStr"/>
    </row>
    <row r="2581" ht="15" customHeight="1">
      <c r="A2581" t="inlineStr">
        <is>
          <t>A 56683-2024</t>
        </is>
      </c>
      <c r="B2581" t="inlineStr">
        <is>
          <t>avverkningsanmälan</t>
        </is>
      </c>
      <c r="C2581" t="inlineStr">
        <is>
          <t>Föryngringsavverkning</t>
        </is>
      </c>
      <c r="D2581" s="1" t="n">
        <v>45627</v>
      </c>
      <c r="E2581" s="1" t="n">
        <v>46315</v>
      </c>
      <c r="F2581" t="inlineStr">
        <is>
          <t>HALLANDS LÄN</t>
        </is>
      </c>
      <c r="G2581" t="inlineStr">
        <is>
          <t>HALMSTAD</t>
        </is>
      </c>
      <c r="I2581" t="n">
        <v>1.4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s="2" t="inlineStr"/>
    </row>
    <row r="2582" ht="15" customHeight="1">
      <c r="A2582" t="inlineStr">
        <is>
          <t>A 42190-2024</t>
        </is>
      </c>
      <c r="B2582" t="inlineStr">
        <is>
          <t>avverkningsanmälan</t>
        </is>
      </c>
      <c r="C2582" t="inlineStr">
        <is>
          <t>Föryngringsavverkning</t>
        </is>
      </c>
      <c r="D2582" s="1" t="n">
        <v>45562</v>
      </c>
      <c r="E2582" s="1" t="n">
        <v>46315</v>
      </c>
      <c r="F2582" t="inlineStr">
        <is>
          <t>HALLANDS LÄN</t>
        </is>
      </c>
      <c r="G2582" t="inlineStr">
        <is>
          <t>HALMSTAD</t>
        </is>
      </c>
      <c r="I2582" t="n">
        <v>3.9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s="2" t="inlineStr"/>
    </row>
    <row r="2583" ht="15" customHeight="1">
      <c r="A2583" t="inlineStr">
        <is>
          <t>A 34749-2026</t>
        </is>
      </c>
      <c r="B2583" t="inlineStr">
        <is>
          <t>avverkningsanmälan</t>
        </is>
      </c>
      <c r="C2583" t="inlineStr">
        <is>
          <t>Föryngringsavverkning</t>
        </is>
      </c>
      <c r="D2583" s="1" t="n">
        <v>46258</v>
      </c>
      <c r="E2583" s="1" t="n">
        <v>46315</v>
      </c>
      <c r="F2583" t="inlineStr">
        <is>
          <t>HALLANDS LÄN</t>
        </is>
      </c>
      <c r="G2583" t="inlineStr">
        <is>
          <t>KUNGSBACKA</t>
        </is>
      </c>
      <c r="I2583" t="n">
        <v>0.6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s="2" t="inlineStr"/>
    </row>
    <row r="2584" ht="15" customHeight="1">
      <c r="A2584" t="inlineStr">
        <is>
          <t>A 17156-2022</t>
        </is>
      </c>
      <c r="B2584" t="inlineStr">
        <is>
          <t>avverkningsanmälan</t>
        </is>
      </c>
      <c r="C2584" t="inlineStr">
        <is>
          <t>Föryngringsavverkning</t>
        </is>
      </c>
      <c r="D2584" s="1" t="n">
        <v>44677</v>
      </c>
      <c r="E2584" s="1" t="n">
        <v>46315</v>
      </c>
      <c r="F2584" t="inlineStr">
        <is>
          <t>HALLANDS LÄN</t>
        </is>
      </c>
      <c r="G2584" t="inlineStr">
        <is>
          <t>HALMSTAD</t>
        </is>
      </c>
      <c r="I2584" t="n">
        <v>1.2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s="2" t="inlineStr"/>
    </row>
    <row r="2585" ht="15" customHeight="1">
      <c r="A2585" t="inlineStr">
        <is>
          <t>A 4440-2025</t>
        </is>
      </c>
      <c r="B2585" t="inlineStr">
        <is>
          <t>avverkningsanmälan</t>
        </is>
      </c>
      <c r="C2585" t="inlineStr">
        <is>
          <t>Föryngringsavverkning</t>
        </is>
      </c>
      <c r="D2585" s="1" t="n">
        <v>45686</v>
      </c>
      <c r="E2585" s="1" t="n">
        <v>46315</v>
      </c>
      <c r="F2585" t="inlineStr">
        <is>
          <t>HALLANDS LÄN</t>
        </is>
      </c>
      <c r="G2585" t="inlineStr">
        <is>
          <t>FALKENBERG</t>
        </is>
      </c>
      <c r="I2585" t="n">
        <v>1.5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s="2" t="inlineStr"/>
    </row>
    <row r="2586" ht="15" customHeight="1">
      <c r="A2586" t="inlineStr">
        <is>
          <t>A 41604-2026</t>
        </is>
      </c>
      <c r="B2586" t="inlineStr">
        <is>
          <t>avverkningsanmälan</t>
        </is>
      </c>
      <c r="C2586" t="inlineStr">
        <is>
          <t>Föryngringsavverkning</t>
        </is>
      </c>
      <c r="D2586" s="1" t="n">
        <v>46302</v>
      </c>
      <c r="E2586" s="1" t="n">
        <v>46315</v>
      </c>
      <c r="F2586" t="inlineStr">
        <is>
          <t>HALLANDS LÄN</t>
        </is>
      </c>
      <c r="G2586" t="inlineStr">
        <is>
          <t>FALKENBERG</t>
        </is>
      </c>
      <c r="I2586" t="n">
        <v>0.8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s="2" t="inlineStr"/>
    </row>
    <row r="2587" ht="15" customHeight="1">
      <c r="A2587" t="inlineStr">
        <is>
          <t>A 41345-2024</t>
        </is>
      </c>
      <c r="B2587" t="inlineStr">
        <is>
          <t>avverkningsanmälan</t>
        </is>
      </c>
      <c r="C2587" t="inlineStr">
        <is>
          <t>Föryngringsavverkning</t>
        </is>
      </c>
      <c r="D2587" s="1" t="n">
        <v>45559</v>
      </c>
      <c r="E2587" s="1" t="n">
        <v>46315</v>
      </c>
      <c r="F2587" t="inlineStr">
        <is>
          <t>HALLANDS LÄN</t>
        </is>
      </c>
      <c r="G2587" t="inlineStr">
        <is>
          <t>HYLTE</t>
        </is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s="2" t="inlineStr"/>
    </row>
    <row r="2588" ht="15" customHeight="1">
      <c r="A2588" t="inlineStr">
        <is>
          <t>A 3628-2025</t>
        </is>
      </c>
      <c r="B2588" t="inlineStr">
        <is>
          <t>avverkningsanmälan</t>
        </is>
      </c>
      <c r="C2588" t="inlineStr">
        <is>
          <t>Föryngringsavverkning</t>
        </is>
      </c>
      <c r="D2588" s="1" t="n">
        <v>45681</v>
      </c>
      <c r="E2588" s="1" t="n">
        <v>46315</v>
      </c>
      <c r="F2588" t="inlineStr">
        <is>
          <t>HALLANDS LÄN</t>
        </is>
      </c>
      <c r="G2588" t="inlineStr">
        <is>
          <t>HYLTE</t>
        </is>
      </c>
      <c r="I2588" t="n">
        <v>2.4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s="2" t="inlineStr"/>
    </row>
    <row r="2589" ht="15" customHeight="1">
      <c r="A2589" t="inlineStr">
        <is>
          <t>A 14992-2025</t>
        </is>
      </c>
      <c r="B2589" t="inlineStr">
        <is>
          <t>avverkningsanmälan</t>
        </is>
      </c>
      <c r="C2589" t="inlineStr">
        <is>
          <t>Föryngringsavverkning</t>
        </is>
      </c>
      <c r="D2589" s="1" t="n">
        <v>45743</v>
      </c>
      <c r="E2589" s="1" t="n">
        <v>46315</v>
      </c>
      <c r="F2589" t="inlineStr">
        <is>
          <t>HALLANDS LÄN</t>
        </is>
      </c>
      <c r="G2589" t="inlineStr">
        <is>
          <t>HYLTE</t>
        </is>
      </c>
      <c r="H2589" t="inlineStr">
        <is>
          <t>Bergvik skog väst AB</t>
        </is>
      </c>
      <c r="I2589" t="n">
        <v>3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s="2" t="inlineStr"/>
    </row>
    <row r="2590" ht="15" customHeight="1">
      <c r="A2590" t="inlineStr">
        <is>
          <t>A 940-2025</t>
        </is>
      </c>
      <c r="B2590" t="inlineStr">
        <is>
          <t>avverkningsanmälan</t>
        </is>
      </c>
      <c r="C2590" t="inlineStr">
        <is>
          <t>Föryngringsavverkning</t>
        </is>
      </c>
      <c r="D2590" s="1" t="n">
        <v>45666</v>
      </c>
      <c r="E2590" s="1" t="n">
        <v>46315</v>
      </c>
      <c r="F2590" t="inlineStr">
        <is>
          <t>HALLANDS LÄN</t>
        </is>
      </c>
      <c r="G2590" t="inlineStr">
        <is>
          <t>FALKENBERG</t>
        </is>
      </c>
      <c r="I2590" t="n">
        <v>0.9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s="2" t="inlineStr"/>
    </row>
    <row r="2591" ht="15" customHeight="1">
      <c r="A2591" t="inlineStr">
        <is>
          <t>A 46947-2022</t>
        </is>
      </c>
      <c r="B2591" t="inlineStr">
        <is>
          <t>avverkningsanmälan</t>
        </is>
      </c>
      <c r="C2591" t="inlineStr">
        <is>
          <t>Föryngringsavverkning</t>
        </is>
      </c>
      <c r="D2591" s="1" t="n">
        <v>44851</v>
      </c>
      <c r="E2591" s="1" t="n">
        <v>46315</v>
      </c>
      <c r="F2591" t="inlineStr">
        <is>
          <t>HALLANDS LÄN</t>
        </is>
      </c>
      <c r="G2591" t="inlineStr">
        <is>
          <t>HYLTE</t>
        </is>
      </c>
      <c r="I2591" t="n">
        <v>2.4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s="2" t="inlineStr"/>
    </row>
    <row r="2592" ht="15" customHeight="1">
      <c r="A2592" t="inlineStr">
        <is>
          <t>A 15767-2025</t>
        </is>
      </c>
      <c r="B2592" t="inlineStr">
        <is>
          <t>avverkningsanmälan</t>
        </is>
      </c>
      <c r="C2592" t="inlineStr">
        <is>
          <t>Föryngringsavverkning</t>
        </is>
      </c>
      <c r="D2592" s="1" t="n">
        <v>45748</v>
      </c>
      <c r="E2592" s="1" t="n">
        <v>46315</v>
      </c>
      <c r="F2592" t="inlineStr">
        <is>
          <t>HALLANDS LÄN</t>
        </is>
      </c>
      <c r="G2592" t="inlineStr">
        <is>
          <t>FALKENBERG</t>
        </is>
      </c>
      <c r="I2592" t="n">
        <v>1.6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s="2" t="inlineStr"/>
    </row>
    <row r="2593" ht="15" customHeight="1">
      <c r="A2593" t="inlineStr">
        <is>
          <t>A 3032-2024</t>
        </is>
      </c>
      <c r="B2593" t="inlineStr">
        <is>
          <t>avverkningsanmälan</t>
        </is>
      </c>
      <c r="C2593" t="inlineStr">
        <is>
          <t>Föryngringsavverkning</t>
        </is>
      </c>
      <c r="D2593" s="1" t="n">
        <v>45316</v>
      </c>
      <c r="E2593" s="1" t="n">
        <v>46315</v>
      </c>
      <c r="F2593" t="inlineStr">
        <is>
          <t>HALLANDS LÄN</t>
        </is>
      </c>
      <c r="G2593" t="inlineStr">
        <is>
          <t>HALMSTAD</t>
        </is>
      </c>
      <c r="I2593" t="n">
        <v>3.3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s="2" t="inlineStr"/>
    </row>
    <row r="2594" ht="15" customHeight="1">
      <c r="A2594" t="inlineStr">
        <is>
          <t>A 9759-2025</t>
        </is>
      </c>
      <c r="B2594" t="inlineStr">
        <is>
          <t>avverkningsanmälan</t>
        </is>
      </c>
      <c r="C2594" t="inlineStr">
        <is>
          <t>Föryngringsavverkning</t>
        </is>
      </c>
      <c r="D2594" s="1" t="n">
        <v>45716</v>
      </c>
      <c r="E2594" s="1" t="n">
        <v>46315</v>
      </c>
      <c r="F2594" t="inlineStr">
        <is>
          <t>HALLANDS LÄN</t>
        </is>
      </c>
      <c r="G2594" t="inlineStr">
        <is>
          <t>HALMSTAD</t>
        </is>
      </c>
      <c r="I2594" t="n">
        <v>1.8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s="2" t="inlineStr"/>
    </row>
    <row r="2595" ht="15" customHeight="1">
      <c r="A2595" t="inlineStr">
        <is>
          <t>A 3279-2025</t>
        </is>
      </c>
      <c r="B2595" t="inlineStr">
        <is>
          <t>avverkningsanmälan</t>
        </is>
      </c>
      <c r="C2595" t="inlineStr">
        <is>
          <t>Föryngringsavverkning</t>
        </is>
      </c>
      <c r="D2595" s="1" t="n">
        <v>45679</v>
      </c>
      <c r="E2595" s="1" t="n">
        <v>46315</v>
      </c>
      <c r="F2595" t="inlineStr">
        <is>
          <t>HALLANDS LÄN</t>
        </is>
      </c>
      <c r="G2595" t="inlineStr">
        <is>
          <t>KUNGSBACKA</t>
        </is>
      </c>
      <c r="I2595" t="n">
        <v>2.6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s="2" t="inlineStr"/>
    </row>
    <row r="2596" ht="15" customHeight="1">
      <c r="A2596" t="inlineStr">
        <is>
          <t>A 41636-2026</t>
        </is>
      </c>
      <c r="B2596" t="inlineStr">
        <is>
          <t>avverkningsanmälan</t>
        </is>
      </c>
      <c r="C2596" t="inlineStr">
        <is>
          <t>Föryngringsavverkning</t>
        </is>
      </c>
      <c r="D2596" s="1" t="n">
        <v>46302</v>
      </c>
      <c r="E2596" s="1" t="n">
        <v>46315</v>
      </c>
      <c r="F2596" t="inlineStr">
        <is>
          <t>HALLANDS LÄN</t>
        </is>
      </c>
      <c r="G2596" t="inlineStr">
        <is>
          <t>HYLTE</t>
        </is>
      </c>
      <c r="I2596" t="n">
        <v>1.5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s="2" t="inlineStr"/>
    </row>
    <row r="2597" ht="15" customHeight="1">
      <c r="A2597" t="inlineStr">
        <is>
          <t>A 23752-2025</t>
        </is>
      </c>
      <c r="B2597" t="inlineStr">
        <is>
          <t>avverkningsanmälan</t>
        </is>
      </c>
      <c r="C2597" t="inlineStr">
        <is>
          <t>Föryngringsavverkning</t>
        </is>
      </c>
      <c r="D2597" s="1" t="n">
        <v>45793</v>
      </c>
      <c r="E2597" s="1" t="n">
        <v>46315</v>
      </c>
      <c r="F2597" t="inlineStr">
        <is>
          <t>HALLANDS LÄN</t>
        </is>
      </c>
      <c r="G2597" t="inlineStr">
        <is>
          <t>HYLTE</t>
        </is>
      </c>
      <c r="I2597" t="n">
        <v>5.6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s="2" t="inlineStr"/>
    </row>
    <row r="2598" ht="15" customHeight="1">
      <c r="A2598" t="inlineStr">
        <is>
          <t>A 52913-2023</t>
        </is>
      </c>
      <c r="B2598" t="inlineStr">
        <is>
          <t>avverkningsanmälan</t>
        </is>
      </c>
      <c r="C2598" t="inlineStr">
        <is>
          <t>Föryngringsavverkning</t>
        </is>
      </c>
      <c r="D2598" s="1" t="n">
        <v>45226</v>
      </c>
      <c r="E2598" s="1" t="n">
        <v>46315</v>
      </c>
      <c r="F2598" t="inlineStr">
        <is>
          <t>HALLANDS LÄN</t>
        </is>
      </c>
      <c r="G2598" t="inlineStr">
        <is>
          <t>HALMSTAD</t>
        </is>
      </c>
      <c r="I2598" t="n">
        <v>2.6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s="2" t="inlineStr"/>
    </row>
    <row r="2599" ht="15" customHeight="1">
      <c r="A2599" t="inlineStr">
        <is>
          <t>A 35020-2026</t>
        </is>
      </c>
      <c r="B2599" t="inlineStr">
        <is>
          <t>avverkningsanmälan</t>
        </is>
      </c>
      <c r="C2599" t="inlineStr">
        <is>
          <t>Föryngringsavverkning</t>
        </is>
      </c>
      <c r="D2599" s="1" t="n">
        <v>46259</v>
      </c>
      <c r="E2599" s="1" t="n">
        <v>46315</v>
      </c>
      <c r="F2599" t="inlineStr">
        <is>
          <t>HALLANDS LÄN</t>
        </is>
      </c>
      <c r="G2599" t="inlineStr">
        <is>
          <t>HALMSTAD</t>
        </is>
      </c>
      <c r="I2599" t="n">
        <v>3.9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s="2" t="inlineStr"/>
    </row>
    <row r="2600" ht="15" customHeight="1">
      <c r="A2600" t="inlineStr">
        <is>
          <t>A 35001-2026</t>
        </is>
      </c>
      <c r="B2600" t="inlineStr">
        <is>
          <t>avverkningsanmälan</t>
        </is>
      </c>
      <c r="C2600" t="inlineStr">
        <is>
          <t>Föryngringsavverkning</t>
        </is>
      </c>
      <c r="D2600" s="1" t="n">
        <v>46259</v>
      </c>
      <c r="E2600" s="1" t="n">
        <v>46315</v>
      </c>
      <c r="F2600" t="inlineStr">
        <is>
          <t>HALLANDS LÄN</t>
        </is>
      </c>
      <c r="G2600" t="inlineStr">
        <is>
          <t>LAHOLM</t>
        </is>
      </c>
      <c r="I2600" t="n">
        <v>0.9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s="2" t="inlineStr"/>
    </row>
    <row r="2601" ht="15" customHeight="1">
      <c r="A2601" t="inlineStr">
        <is>
          <t>A 34756-2026</t>
        </is>
      </c>
      <c r="B2601" t="inlineStr">
        <is>
          <t>avverkningsanmälan</t>
        </is>
      </c>
      <c r="C2601" t="inlineStr">
        <is>
          <t>Föryngringsavverkning</t>
        </is>
      </c>
      <c r="D2601" s="1" t="n">
        <v>46258</v>
      </c>
      <c r="E2601" s="1" t="n">
        <v>46315</v>
      </c>
      <c r="F2601" t="inlineStr">
        <is>
          <t>HALLANDS LÄN</t>
        </is>
      </c>
      <c r="G2601" t="inlineStr">
        <is>
          <t>HALMSTAD</t>
        </is>
      </c>
      <c r="I2601" t="n">
        <v>2.7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s="2" t="inlineStr"/>
    </row>
    <row r="2602" ht="15" customHeight="1">
      <c r="A2602" t="inlineStr">
        <is>
          <t>A 34757-2026</t>
        </is>
      </c>
      <c r="B2602" t="inlineStr">
        <is>
          <t>avverkningsanmälan</t>
        </is>
      </c>
      <c r="C2602" t="inlineStr">
        <is>
          <t>Föryngringsavverkning</t>
        </is>
      </c>
      <c r="D2602" s="1" t="n">
        <v>46258</v>
      </c>
      <c r="E2602" s="1" t="n">
        <v>46315</v>
      </c>
      <c r="F2602" t="inlineStr">
        <is>
          <t>HALLANDS LÄN</t>
        </is>
      </c>
      <c r="G2602" t="inlineStr">
        <is>
          <t>HALMSTAD</t>
        </is>
      </c>
      <c r="I2602" t="n">
        <v>1.1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s="2" t="inlineStr"/>
    </row>
    <row r="2603" ht="15" customHeight="1">
      <c r="A2603" t="inlineStr">
        <is>
          <t>A 41469-2026</t>
        </is>
      </c>
      <c r="B2603" t="inlineStr">
        <is>
          <t>avverkningsanmälan</t>
        </is>
      </c>
      <c r="C2603" t="inlineStr">
        <is>
          <t>Föryngringsavverkning</t>
        </is>
      </c>
      <c r="D2603" s="1" t="n">
        <v>46301</v>
      </c>
      <c r="E2603" s="1" t="n">
        <v>46315</v>
      </c>
      <c r="F2603" t="inlineStr">
        <is>
          <t>HALLANDS LÄN</t>
        </is>
      </c>
      <c r="G2603" t="inlineStr">
        <is>
          <t>VARBERG</t>
        </is>
      </c>
      <c r="I2603" t="n">
        <v>7.8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s="2" t="inlineStr"/>
    </row>
    <row r="2604" ht="15" customHeight="1">
      <c r="A2604" t="inlineStr">
        <is>
          <t>A 41880-2026</t>
        </is>
      </c>
      <c r="B2604" t="inlineStr">
        <is>
          <t>avverkningsanmälan</t>
        </is>
      </c>
      <c r="C2604" t="inlineStr">
        <is>
          <t>Föryngringsavverkning</t>
        </is>
      </c>
      <c r="D2604" s="1" t="n">
        <v>46303</v>
      </c>
      <c r="E2604" s="1" t="n">
        <v>46315</v>
      </c>
      <c r="F2604" t="inlineStr">
        <is>
          <t>HALLANDS LÄN</t>
        </is>
      </c>
      <c r="G2604" t="inlineStr">
        <is>
          <t>VARBERG</t>
        </is>
      </c>
      <c r="I2604" t="n">
        <v>0.9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s="2" t="inlineStr"/>
    </row>
    <row r="2605" ht="15" customHeight="1">
      <c r="A2605" t="inlineStr">
        <is>
          <t>A 41900-2026</t>
        </is>
      </c>
      <c r="B2605" t="inlineStr">
        <is>
          <t>avverkningsanmälan</t>
        </is>
      </c>
      <c r="C2605" t="inlineStr">
        <is>
          <t>Avverkning för att bevara och utveckla /försöksver</t>
        </is>
      </c>
      <c r="D2605" s="1" t="n">
        <v>46303</v>
      </c>
      <c r="E2605" s="1" t="n">
        <v>46315</v>
      </c>
      <c r="F2605" t="inlineStr">
        <is>
          <t>HALLANDS LÄN</t>
        </is>
      </c>
      <c r="G2605" t="inlineStr">
        <is>
          <t>HALMSTAD</t>
        </is>
      </c>
      <c r="H2605" t="inlineStr">
        <is>
          <t>Sveaskog</t>
        </is>
      </c>
      <c r="I2605" t="n">
        <v>5.3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s="2" t="inlineStr"/>
    </row>
    <row r="2606" ht="15" customHeight="1">
      <c r="A2606" t="inlineStr">
        <is>
          <t>A 35322-2026</t>
        </is>
      </c>
      <c r="B2606" t="inlineStr">
        <is>
          <t>avverkningsanmälan</t>
        </is>
      </c>
      <c r="C2606" t="inlineStr">
        <is>
          <t>Föryngringsavverkning</t>
        </is>
      </c>
      <c r="D2606" s="1" t="n">
        <v>46261</v>
      </c>
      <c r="E2606" s="1" t="n">
        <v>46315</v>
      </c>
      <c r="F2606" t="inlineStr">
        <is>
          <t>HALLANDS LÄN</t>
        </is>
      </c>
      <c r="G2606" t="inlineStr">
        <is>
          <t>HYLTE</t>
        </is>
      </c>
      <c r="I2606" t="n">
        <v>2.5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s="2" t="inlineStr"/>
    </row>
    <row r="2607" ht="15" customHeight="1">
      <c r="A2607" t="inlineStr">
        <is>
          <t>A 42015-2026</t>
        </is>
      </c>
      <c r="B2607" t="inlineStr">
        <is>
          <t>avverkningsanmälan</t>
        </is>
      </c>
      <c r="C2607" t="inlineStr">
        <is>
          <t>Föryngringsavverkning</t>
        </is>
      </c>
      <c r="D2607" s="1" t="n">
        <v>46304</v>
      </c>
      <c r="E2607" s="1" t="n">
        <v>46315</v>
      </c>
      <c r="F2607" t="inlineStr">
        <is>
          <t>HALLANDS LÄN</t>
        </is>
      </c>
      <c r="G2607" t="inlineStr">
        <is>
          <t>FALKENBERG</t>
        </is>
      </c>
      <c r="I2607" t="n">
        <v>1.7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s="2" t="inlineStr"/>
    </row>
    <row r="2608" ht="15" customHeight="1">
      <c r="A2608" t="inlineStr">
        <is>
          <t>A 52986-2025</t>
        </is>
      </c>
      <c r="B2608" t="inlineStr">
        <is>
          <t>avverkningsanmälan</t>
        </is>
      </c>
      <c r="C2608" t="inlineStr">
        <is>
          <t>Föryngringsavverkning</t>
        </is>
      </c>
      <c r="D2608" s="1" t="n">
        <v>45957</v>
      </c>
      <c r="E2608" s="1" t="n">
        <v>46315</v>
      </c>
      <c r="F2608" t="inlineStr">
        <is>
          <t>HALLANDS LÄN</t>
        </is>
      </c>
      <c r="G2608" t="inlineStr">
        <is>
          <t>LAHOLM</t>
        </is>
      </c>
      <c r="I2608" t="n">
        <v>2.2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s="2" t="inlineStr"/>
    </row>
    <row r="2609" ht="15" customHeight="1">
      <c r="A2609" t="inlineStr">
        <is>
          <t>A 24265-2025</t>
        </is>
      </c>
      <c r="B2609" t="inlineStr">
        <is>
          <t>avverkningsanmälan</t>
        </is>
      </c>
      <c r="C2609" t="inlineStr">
        <is>
          <t>Föryngringsavverkning</t>
        </is>
      </c>
      <c r="D2609" s="1" t="n">
        <v>45797</v>
      </c>
      <c r="E2609" s="1" t="n">
        <v>46315</v>
      </c>
      <c r="F2609" t="inlineStr">
        <is>
          <t>HALLANDS LÄN</t>
        </is>
      </c>
      <c r="G2609" t="inlineStr">
        <is>
          <t>HALMSTAD</t>
        </is>
      </c>
      <c r="I2609" t="n">
        <v>2.2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s="2" t="inlineStr"/>
    </row>
    <row r="2610" ht="15" customHeight="1">
      <c r="A2610" t="inlineStr">
        <is>
          <t>A 42016-2026</t>
        </is>
      </c>
      <c r="B2610" t="inlineStr">
        <is>
          <t>avverkningsanmälan</t>
        </is>
      </c>
      <c r="C2610" t="inlineStr">
        <is>
          <t>Föryngringsavverkning</t>
        </is>
      </c>
      <c r="D2610" s="1" t="n">
        <v>46304</v>
      </c>
      <c r="E2610" s="1" t="n">
        <v>46315</v>
      </c>
      <c r="F2610" t="inlineStr">
        <is>
          <t>HALLANDS LÄN</t>
        </is>
      </c>
      <c r="G2610" t="inlineStr">
        <is>
          <t>FALKENBERG</t>
        </is>
      </c>
      <c r="I2610" t="n">
        <v>2.6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s="2" t="inlineStr"/>
    </row>
    <row r="2611" ht="15" customHeight="1">
      <c r="A2611" t="inlineStr">
        <is>
          <t>A 42017-2026</t>
        </is>
      </c>
      <c r="B2611" t="inlineStr">
        <is>
          <t>avverkningsanmälan</t>
        </is>
      </c>
      <c r="C2611" t="inlineStr">
        <is>
          <t>Föryngringsavverkning</t>
        </is>
      </c>
      <c r="D2611" s="1" t="n">
        <v>46304</v>
      </c>
      <c r="E2611" s="1" t="n">
        <v>46315</v>
      </c>
      <c r="F2611" t="inlineStr">
        <is>
          <t>HALLANDS LÄN</t>
        </is>
      </c>
      <c r="G2611" t="inlineStr">
        <is>
          <t>FALKENBERG</t>
        </is>
      </c>
      <c r="I2611" t="n">
        <v>0.7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s="2" t="inlineStr"/>
    </row>
    <row r="2612" ht="15" customHeight="1">
      <c r="A2612" t="inlineStr">
        <is>
          <t>A 6008-2024</t>
        </is>
      </c>
      <c r="B2612" t="inlineStr">
        <is>
          <t>avverkningsanmälan</t>
        </is>
      </c>
      <c r="C2612" t="inlineStr">
        <is>
          <t>Föryngringsavverkning</t>
        </is>
      </c>
      <c r="D2612" s="1" t="n">
        <v>45336</v>
      </c>
      <c r="E2612" s="1" t="n">
        <v>46315</v>
      </c>
      <c r="F2612" t="inlineStr">
        <is>
          <t>HALLANDS LÄN</t>
        </is>
      </c>
      <c r="G2612" t="inlineStr">
        <is>
          <t>VARBERG</t>
        </is>
      </c>
      <c r="I2612" t="n">
        <v>4.9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s="2" t="inlineStr"/>
    </row>
    <row r="2613" ht="15" customHeight="1">
      <c r="A2613" t="inlineStr">
        <is>
          <t>A 40568-2026</t>
        </is>
      </c>
      <c r="B2613" t="inlineStr">
        <is>
          <t>avverkningsanmälan</t>
        </is>
      </c>
      <c r="C2613" t="inlineStr">
        <is>
          <t>Föryngringsavverkning</t>
        </is>
      </c>
      <c r="D2613" s="1" t="n">
        <v>46294</v>
      </c>
      <c r="E2613" s="1" t="n">
        <v>46315</v>
      </c>
      <c r="F2613" t="inlineStr">
        <is>
          <t>HALLANDS LÄN</t>
        </is>
      </c>
      <c r="G2613" t="inlineStr">
        <is>
          <t>HYLTE</t>
        </is>
      </c>
      <c r="H2613" t="inlineStr">
        <is>
          <t>Kyrkan</t>
        </is>
      </c>
      <c r="I2613" t="n">
        <v>5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s="2" t="inlineStr"/>
    </row>
    <row r="2614" ht="15" customHeight="1">
      <c r="A2614" t="inlineStr">
        <is>
          <t>A 35187-2026</t>
        </is>
      </c>
      <c r="B2614" t="inlineStr">
        <is>
          <t>avverkningsanmälan</t>
        </is>
      </c>
      <c r="C2614" t="inlineStr">
        <is>
          <t>Föryngringsavverkning</t>
        </is>
      </c>
      <c r="D2614" s="1" t="n">
        <v>46260</v>
      </c>
      <c r="E2614" s="1" t="n">
        <v>46315</v>
      </c>
      <c r="F2614" t="inlineStr">
        <is>
          <t>HALLANDS LÄN</t>
        </is>
      </c>
      <c r="G2614" t="inlineStr">
        <is>
          <t>KUNGSBACKA</t>
        </is>
      </c>
      <c r="I2614" t="n">
        <v>0.4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s="2" t="inlineStr"/>
    </row>
    <row r="2615" ht="15" customHeight="1">
      <c r="A2615" t="inlineStr">
        <is>
          <t>A 35189-2026</t>
        </is>
      </c>
      <c r="B2615" t="inlineStr">
        <is>
          <t>avverkningsanmälan</t>
        </is>
      </c>
      <c r="C2615" t="inlineStr">
        <is>
          <t>Föryngringsavverkning</t>
        </is>
      </c>
      <c r="D2615" s="1" t="n">
        <v>46260</v>
      </c>
      <c r="E2615" s="1" t="n">
        <v>46315</v>
      </c>
      <c r="F2615" t="inlineStr">
        <is>
          <t>HALLANDS LÄN</t>
        </is>
      </c>
      <c r="G2615" t="inlineStr">
        <is>
          <t>KUNGSBACKA</t>
        </is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s="2" t="inlineStr"/>
    </row>
    <row r="2616" ht="15" customHeight="1">
      <c r="A2616" t="inlineStr">
        <is>
          <t>A 35194-2026</t>
        </is>
      </c>
      <c r="B2616" t="inlineStr">
        <is>
          <t>avverkningsanmälan</t>
        </is>
      </c>
      <c r="C2616" t="inlineStr">
        <is>
          <t>Föryngringsavverkning</t>
        </is>
      </c>
      <c r="D2616" s="1" t="n">
        <v>46260</v>
      </c>
      <c r="E2616" s="1" t="n">
        <v>46315</v>
      </c>
      <c r="F2616" t="inlineStr">
        <is>
          <t>HALLANDS LÄN</t>
        </is>
      </c>
      <c r="G2616" t="inlineStr">
        <is>
          <t>KUNGSBACKA</t>
        </is>
      </c>
      <c r="I2616" t="n">
        <v>0.6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s="2" t="inlineStr"/>
    </row>
    <row r="2617" ht="15" customHeight="1">
      <c r="A2617" t="inlineStr">
        <is>
          <t>A 25071-2025</t>
        </is>
      </c>
      <c r="B2617" t="inlineStr">
        <is>
          <t>avverkningsanmälan</t>
        </is>
      </c>
      <c r="C2617" t="inlineStr">
        <is>
          <t>Föryngringsavverkning</t>
        </is>
      </c>
      <c r="D2617" s="1" t="n">
        <v>45799</v>
      </c>
      <c r="E2617" s="1" t="n">
        <v>46315</v>
      </c>
      <c r="F2617" t="inlineStr">
        <is>
          <t>HALLANDS LÄN</t>
        </is>
      </c>
      <c r="G2617" t="inlineStr">
        <is>
          <t>FALKENBERG</t>
        </is>
      </c>
      <c r="I2617" t="n">
        <v>0.4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s="2" t="inlineStr"/>
    </row>
    <row r="2618" ht="15" customHeight="1">
      <c r="A2618" t="inlineStr">
        <is>
          <t>A 25072-2025</t>
        </is>
      </c>
      <c r="B2618" t="inlineStr">
        <is>
          <t>avverkningsanmälan</t>
        </is>
      </c>
      <c r="C2618" t="inlineStr">
        <is>
          <t>Föryngringsavverkning</t>
        </is>
      </c>
      <c r="D2618" s="1" t="n">
        <v>45799</v>
      </c>
      <c r="E2618" s="1" t="n">
        <v>46315</v>
      </c>
      <c r="F2618" t="inlineStr">
        <is>
          <t>HALLANDS LÄN</t>
        </is>
      </c>
      <c r="G2618" t="inlineStr">
        <is>
          <t>FALKENBERG</t>
        </is>
      </c>
      <c r="I2618" t="n">
        <v>0.4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s="2" t="inlineStr"/>
    </row>
    <row r="2619" ht="15" customHeight="1">
      <c r="A2619" t="inlineStr">
        <is>
          <t>A 24887-2025</t>
        </is>
      </c>
      <c r="B2619" t="inlineStr">
        <is>
          <t>avverkningsanmälan</t>
        </is>
      </c>
      <c r="C2619" t="inlineStr">
        <is>
          <t>Föryngringsavverkning</t>
        </is>
      </c>
      <c r="D2619" s="1" t="n">
        <v>45799</v>
      </c>
      <c r="E2619" s="1" t="n">
        <v>46315</v>
      </c>
      <c r="F2619" t="inlineStr">
        <is>
          <t>HALLANDS LÄN</t>
        </is>
      </c>
      <c r="G2619" t="inlineStr">
        <is>
          <t>FALKENBERG</t>
        </is>
      </c>
      <c r="I2619" t="n">
        <v>1.1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s="2" t="inlineStr"/>
    </row>
    <row r="2620" ht="15" customHeight="1">
      <c r="A2620" t="inlineStr">
        <is>
          <t>A 39968-2026</t>
        </is>
      </c>
      <c r="B2620" t="inlineStr">
        <is>
          <t>avverkningsanmälan</t>
        </is>
      </c>
      <c r="C2620" t="inlineStr">
        <is>
          <t>Föryngringsavverkning</t>
        </is>
      </c>
      <c r="D2620" s="1" t="n">
        <v>46292</v>
      </c>
      <c r="E2620" s="1" t="n">
        <v>46315</v>
      </c>
      <c r="F2620" t="inlineStr">
        <is>
          <t>HALLANDS LÄN</t>
        </is>
      </c>
      <c r="G2620" t="inlineStr">
        <is>
          <t>HYLTE</t>
        </is>
      </c>
      <c r="I2620" t="n">
        <v>2.9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s="2" t="inlineStr"/>
    </row>
    <row r="2621" ht="15" customHeight="1">
      <c r="A2621" t="inlineStr">
        <is>
          <t>A 39969-2026</t>
        </is>
      </c>
      <c r="B2621" t="inlineStr">
        <is>
          <t>avverkningsanmälan</t>
        </is>
      </c>
      <c r="C2621" t="inlineStr">
        <is>
          <t>Föryngringsavverkning</t>
        </is>
      </c>
      <c r="D2621" s="1" t="n">
        <v>46292</v>
      </c>
      <c r="E2621" s="1" t="n">
        <v>46315</v>
      </c>
      <c r="F2621" t="inlineStr">
        <is>
          <t>HALLANDS LÄN</t>
        </is>
      </c>
      <c r="G2621" t="inlineStr">
        <is>
          <t>HYLTE</t>
        </is>
      </c>
      <c r="I2621" t="n">
        <v>1.5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s="2" t="inlineStr"/>
    </row>
    <row r="2622" ht="15" customHeight="1">
      <c r="A2622" t="inlineStr">
        <is>
          <t>A 39972-2026</t>
        </is>
      </c>
      <c r="B2622" t="inlineStr">
        <is>
          <t>avverkningsanmälan</t>
        </is>
      </c>
      <c r="C2622" t="inlineStr">
        <is>
          <t>Föryngringsavverkning</t>
        </is>
      </c>
      <c r="D2622" s="1" t="n">
        <v>46292</v>
      </c>
      <c r="E2622" s="1" t="n">
        <v>46315</v>
      </c>
      <c r="F2622" t="inlineStr">
        <is>
          <t>HALLANDS LÄN</t>
        </is>
      </c>
      <c r="G2622" t="inlineStr">
        <is>
          <t>HYLTE</t>
        </is>
      </c>
      <c r="I2622" t="n">
        <v>0.9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s="2" t="inlineStr"/>
    </row>
    <row r="2623" ht="15" customHeight="1">
      <c r="A2623" t="inlineStr">
        <is>
          <t>A 39974-2026</t>
        </is>
      </c>
      <c r="B2623" t="inlineStr">
        <is>
          <t>avverkningsanmälan</t>
        </is>
      </c>
      <c r="C2623" t="inlineStr">
        <is>
          <t>Föryngringsavverkning</t>
        </is>
      </c>
      <c r="D2623" s="1" t="n">
        <v>46292</v>
      </c>
      <c r="E2623" s="1" t="n">
        <v>46315</v>
      </c>
      <c r="F2623" t="inlineStr">
        <is>
          <t>HALLANDS LÄN</t>
        </is>
      </c>
      <c r="G2623" t="inlineStr">
        <is>
          <t>HYLTE</t>
        </is>
      </c>
      <c r="I2623" t="n">
        <v>2.9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s="2" t="inlineStr"/>
    </row>
    <row r="2624" ht="15" customHeight="1">
      <c r="A2624" t="inlineStr">
        <is>
          <t>A 41905-2026</t>
        </is>
      </c>
      <c r="B2624" t="inlineStr">
        <is>
          <t>avverkningsanmälan</t>
        </is>
      </c>
      <c r="C2624" t="inlineStr">
        <is>
          <t>Avverkning för att bevara och utveckla /försöksver</t>
        </is>
      </c>
      <c r="D2624" s="1" t="n">
        <v>46303</v>
      </c>
      <c r="E2624" s="1" t="n">
        <v>46315</v>
      </c>
      <c r="F2624" t="inlineStr">
        <is>
          <t>HALLANDS LÄN</t>
        </is>
      </c>
      <c r="G2624" t="inlineStr">
        <is>
          <t>HALMSTAD</t>
        </is>
      </c>
      <c r="H2624" t="inlineStr">
        <is>
          <t>Sveaskog</t>
        </is>
      </c>
      <c r="I2624" t="n">
        <v>4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s="2" t="inlineStr"/>
    </row>
    <row r="2625" ht="15" customHeight="1">
      <c r="A2625" t="inlineStr">
        <is>
          <t>A 35140-2026</t>
        </is>
      </c>
      <c r="B2625" t="inlineStr">
        <is>
          <t>avverkningsanmälan</t>
        </is>
      </c>
      <c r="C2625" t="inlineStr">
        <is>
          <t>Föryngringsavverkning</t>
        </is>
      </c>
      <c r="D2625" s="1" t="n">
        <v>46260</v>
      </c>
      <c r="E2625" s="1" t="n">
        <v>46315</v>
      </c>
      <c r="F2625" t="inlineStr">
        <is>
          <t>HALLANDS LÄN</t>
        </is>
      </c>
      <c r="G2625" t="inlineStr">
        <is>
          <t>KUNGSBACKA</t>
        </is>
      </c>
      <c r="I2625" t="n">
        <v>1.4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s="2" t="inlineStr"/>
    </row>
    <row r="2626" ht="15" customHeight="1">
      <c r="A2626" t="inlineStr">
        <is>
          <t>A 37584-2026</t>
        </is>
      </c>
      <c r="B2626" t="inlineStr">
        <is>
          <t>avverkningsanmälan</t>
        </is>
      </c>
      <c r="C2626" t="inlineStr">
        <is>
          <t>Föryngringsavverkning</t>
        </is>
      </c>
      <c r="D2626" s="1" t="n">
        <v>46276</v>
      </c>
      <c r="E2626" s="1" t="n">
        <v>46315</v>
      </c>
      <c r="F2626" t="inlineStr">
        <is>
          <t>HALLANDS LÄN</t>
        </is>
      </c>
      <c r="G2626" t="inlineStr">
        <is>
          <t>HALMSTAD</t>
        </is>
      </c>
      <c r="I2626" t="n">
        <v>13.4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s="2" t="inlineStr"/>
    </row>
    <row r="2627" ht="15" customHeight="1">
      <c r="A2627" t="inlineStr">
        <is>
          <t>A 37586-2026</t>
        </is>
      </c>
      <c r="B2627" t="inlineStr">
        <is>
          <t>avverkningsanmälan</t>
        </is>
      </c>
      <c r="C2627" t="inlineStr">
        <is>
          <t>Föryngringsavverkning</t>
        </is>
      </c>
      <c r="D2627" s="1" t="n">
        <v>46276</v>
      </c>
      <c r="E2627" s="1" t="n">
        <v>46315</v>
      </c>
      <c r="F2627" t="inlineStr">
        <is>
          <t>HALLANDS LÄN</t>
        </is>
      </c>
      <c r="G2627" t="inlineStr">
        <is>
          <t>HALMSTAD</t>
        </is>
      </c>
      <c r="I2627" t="n">
        <v>3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s="2" t="inlineStr"/>
    </row>
    <row r="2628" ht="15" customHeight="1">
      <c r="A2628" t="inlineStr">
        <is>
          <t>A 25269-2025</t>
        </is>
      </c>
      <c r="B2628" t="inlineStr">
        <is>
          <t>avverkningsanmälan</t>
        </is>
      </c>
      <c r="C2628" t="inlineStr">
        <is>
          <t>Avverkning för annat ändamål</t>
        </is>
      </c>
      <c r="D2628" s="1" t="n">
        <v>45800</v>
      </c>
      <c r="E2628" s="1" t="n">
        <v>46315</v>
      </c>
      <c r="F2628" t="inlineStr">
        <is>
          <t>HALLANDS LÄN</t>
        </is>
      </c>
      <c r="G2628" t="inlineStr">
        <is>
          <t>KUNGSBACKA</t>
        </is>
      </c>
      <c r="I2628" t="n">
        <v>2.8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s="2" t="inlineStr"/>
    </row>
    <row r="2629" ht="15" customHeight="1">
      <c r="A2629" t="inlineStr">
        <is>
          <t>A 39973-2026</t>
        </is>
      </c>
      <c r="B2629" t="inlineStr">
        <is>
          <t>avverkningsanmälan</t>
        </is>
      </c>
      <c r="C2629" t="inlineStr">
        <is>
          <t>Föryngringsavverkning</t>
        </is>
      </c>
      <c r="D2629" s="1" t="n">
        <v>46292</v>
      </c>
      <c r="E2629" s="1" t="n">
        <v>46315</v>
      </c>
      <c r="F2629" t="inlineStr">
        <is>
          <t>HALLANDS LÄN</t>
        </is>
      </c>
      <c r="G2629" t="inlineStr">
        <is>
          <t>HYLTE</t>
        </is>
      </c>
      <c r="I2629" t="n">
        <v>0.6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s="2" t="inlineStr"/>
    </row>
    <row r="2630" ht="15" customHeight="1">
      <c r="A2630" t="inlineStr">
        <is>
          <t>A 35333-2026</t>
        </is>
      </c>
      <c r="B2630" t="inlineStr">
        <is>
          <t>avverkningsanmälan</t>
        </is>
      </c>
      <c r="C2630" t="inlineStr">
        <is>
          <t>Föryngringsavverkning</t>
        </is>
      </c>
      <c r="D2630" s="1" t="n">
        <v>46261</v>
      </c>
      <c r="E2630" s="1" t="n">
        <v>46315</v>
      </c>
      <c r="F2630" t="inlineStr">
        <is>
          <t>HALLANDS LÄN</t>
        </is>
      </c>
      <c r="G2630" t="inlineStr">
        <is>
          <t>HYLTE</t>
        </is>
      </c>
      <c r="I2630" t="n">
        <v>1.2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s="2" t="inlineStr"/>
    </row>
    <row r="2631" ht="15" customHeight="1">
      <c r="A2631" t="inlineStr">
        <is>
          <t>A 25872-2025</t>
        </is>
      </c>
      <c r="B2631" t="inlineStr">
        <is>
          <t>avverkningsanmälan</t>
        </is>
      </c>
      <c r="C2631" t="inlineStr">
        <is>
          <t>Föryngringsavverkning</t>
        </is>
      </c>
      <c r="D2631" s="1" t="n">
        <v>45804</v>
      </c>
      <c r="E2631" s="1" t="n">
        <v>46315</v>
      </c>
      <c r="F2631" t="inlineStr">
        <is>
          <t>HALLANDS LÄN</t>
        </is>
      </c>
      <c r="G2631" t="inlineStr">
        <is>
          <t>VARBERG</t>
        </is>
      </c>
      <c r="I2631" t="n">
        <v>4.8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s="2" t="inlineStr"/>
    </row>
    <row r="2632" ht="15" customHeight="1">
      <c r="A2632" t="inlineStr">
        <is>
          <t>A 25805-2025</t>
        </is>
      </c>
      <c r="B2632" t="inlineStr">
        <is>
          <t>avverkningsanmälan</t>
        </is>
      </c>
      <c r="C2632" t="inlineStr">
        <is>
          <t>Föryngringsavverkning</t>
        </is>
      </c>
      <c r="D2632" s="1" t="n">
        <v>45804</v>
      </c>
      <c r="E2632" s="1" t="n">
        <v>46315</v>
      </c>
      <c r="F2632" t="inlineStr">
        <is>
          <t>HALLANDS LÄN</t>
        </is>
      </c>
      <c r="G2632" t="inlineStr">
        <is>
          <t>VARBERG</t>
        </is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s="2" t="inlineStr"/>
    </row>
    <row r="2633" ht="15" customHeight="1">
      <c r="A2633" t="inlineStr">
        <is>
          <t>A 35198-2026</t>
        </is>
      </c>
      <c r="B2633" t="inlineStr">
        <is>
          <t>avverkningsanmälan</t>
        </is>
      </c>
      <c r="C2633" t="inlineStr">
        <is>
          <t>Föryngringsavverkning</t>
        </is>
      </c>
      <c r="D2633" s="1" t="n">
        <v>46260</v>
      </c>
      <c r="E2633" s="1" t="n">
        <v>46315</v>
      </c>
      <c r="F2633" t="inlineStr">
        <is>
          <t>HALLANDS LÄN</t>
        </is>
      </c>
      <c r="G2633" t="inlineStr">
        <is>
          <t>KUNGSBACKA</t>
        </is>
      </c>
      <c r="I2633" t="n">
        <v>1.7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s="2" t="inlineStr"/>
    </row>
    <row r="2634" ht="15" customHeight="1">
      <c r="A2634" t="inlineStr">
        <is>
          <t>A 26360-2025</t>
        </is>
      </c>
      <c r="B2634" t="inlineStr">
        <is>
          <t>avverkningsanmälan</t>
        </is>
      </c>
      <c r="C2634" t="inlineStr">
        <is>
          <t>Föryngringsavverkning</t>
        </is>
      </c>
      <c r="D2634" s="1" t="n">
        <v>45806</v>
      </c>
      <c r="E2634" s="1" t="n">
        <v>46315</v>
      </c>
      <c r="F2634" t="inlineStr">
        <is>
          <t>HALLANDS LÄN</t>
        </is>
      </c>
      <c r="G2634" t="inlineStr">
        <is>
          <t>HYLTE</t>
        </is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s="2" t="inlineStr"/>
    </row>
    <row r="2635" ht="15" customHeight="1">
      <c r="A2635" t="inlineStr">
        <is>
          <t>A 41935-2026</t>
        </is>
      </c>
      <c r="B2635" t="inlineStr">
        <is>
          <t>avverkningsanmälan</t>
        </is>
      </c>
      <c r="C2635" t="inlineStr">
        <is>
          <t>Föryngringsavverkning</t>
        </is>
      </c>
      <c r="D2635" s="1" t="n">
        <v>46303</v>
      </c>
      <c r="E2635" s="1" t="n">
        <v>46315</v>
      </c>
      <c r="F2635" t="inlineStr">
        <is>
          <t>HALLANDS LÄN</t>
        </is>
      </c>
      <c r="G2635" t="inlineStr">
        <is>
          <t>LAHOLM</t>
        </is>
      </c>
      <c r="I2635" t="n">
        <v>2.6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s="2" t="inlineStr"/>
    </row>
    <row r="2636" ht="15" customHeight="1">
      <c r="A2636" t="inlineStr">
        <is>
          <t>A 39970-2026</t>
        </is>
      </c>
      <c r="B2636" t="inlineStr">
        <is>
          <t>avverkningsanmälan</t>
        </is>
      </c>
      <c r="C2636" t="inlineStr">
        <is>
          <t>Föryngringsavverkning</t>
        </is>
      </c>
      <c r="D2636" s="1" t="n">
        <v>46292</v>
      </c>
      <c r="E2636" s="1" t="n">
        <v>46315</v>
      </c>
      <c r="F2636" t="inlineStr">
        <is>
          <t>HALLANDS LÄN</t>
        </is>
      </c>
      <c r="G2636" t="inlineStr">
        <is>
          <t>HYLTE</t>
        </is>
      </c>
      <c r="I2636" t="n">
        <v>2.8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s="2" t="inlineStr"/>
    </row>
    <row r="2637" ht="15" customHeight="1">
      <c r="A2637" t="inlineStr">
        <is>
          <t>A 26117-2025</t>
        </is>
      </c>
      <c r="B2637" t="inlineStr">
        <is>
          <t>avverkningsanmälan</t>
        </is>
      </c>
      <c r="C2637" t="inlineStr">
        <is>
          <t>Avverkning för annat ändamål</t>
        </is>
      </c>
      <c r="D2637" s="1" t="n">
        <v>45805</v>
      </c>
      <c r="E2637" s="1" t="n">
        <v>46315</v>
      </c>
      <c r="F2637" t="inlineStr">
        <is>
          <t>HALLANDS LÄN</t>
        </is>
      </c>
      <c r="G2637" t="inlineStr">
        <is>
          <t>VARBERG</t>
        </is>
      </c>
      <c r="H2637" t="inlineStr">
        <is>
          <t>Kommuner</t>
        </is>
      </c>
      <c r="I2637" t="n">
        <v>0.8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s="2" t="inlineStr"/>
    </row>
    <row r="2638" ht="15" customHeight="1">
      <c r="A2638" t="inlineStr">
        <is>
          <t>A 35229-2026</t>
        </is>
      </c>
      <c r="B2638" t="inlineStr">
        <is>
          <t>avverkningsanmälan</t>
        </is>
      </c>
      <c r="C2638" t="inlineStr">
        <is>
          <t>Föryngringsavverkning</t>
        </is>
      </c>
      <c r="D2638" s="1" t="n">
        <v>46260</v>
      </c>
      <c r="E2638" s="1" t="n">
        <v>46315</v>
      </c>
      <c r="F2638" t="inlineStr">
        <is>
          <t>HALLANDS LÄN</t>
        </is>
      </c>
      <c r="G2638" t="inlineStr">
        <is>
          <t>FALKENBERG</t>
        </is>
      </c>
      <c r="I2638" t="n">
        <v>1.3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s="2" t="inlineStr"/>
    </row>
    <row r="2639" ht="15" customHeight="1">
      <c r="A2639" t="inlineStr">
        <is>
          <t>A 28092-2024</t>
        </is>
      </c>
      <c r="B2639" t="inlineStr">
        <is>
          <t>avverkningsanmälan</t>
        </is>
      </c>
      <c r="C2639" t="inlineStr">
        <is>
          <t>Avverkning för annat ändamål</t>
        </is>
      </c>
      <c r="D2639" s="1" t="n">
        <v>45476</v>
      </c>
      <c r="E2639" s="1" t="n">
        <v>46315</v>
      </c>
      <c r="F2639" t="inlineStr">
        <is>
          <t>HALLANDS LÄN</t>
        </is>
      </c>
      <c r="G2639" t="inlineStr">
        <is>
          <t>VARBERG</t>
        </is>
      </c>
      <c r="I2639" t="n">
        <v>1.6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s="2" t="inlineStr"/>
    </row>
    <row r="2640" ht="15" customHeight="1">
      <c r="A2640" t="inlineStr">
        <is>
          <t>A 35805-2026</t>
        </is>
      </c>
      <c r="B2640" t="inlineStr">
        <is>
          <t>avverkningsanmälan</t>
        </is>
      </c>
      <c r="C2640" t="inlineStr">
        <is>
          <t>Föryngringsavverkning</t>
        </is>
      </c>
      <c r="D2640" s="1" t="n">
        <v>46265</v>
      </c>
      <c r="E2640" s="1" t="n">
        <v>46315</v>
      </c>
      <c r="F2640" t="inlineStr">
        <is>
          <t>HALLANDS LÄN</t>
        </is>
      </c>
      <c r="G2640" t="inlineStr">
        <is>
          <t>HALMSTAD</t>
        </is>
      </c>
      <c r="I2640" t="n">
        <v>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s="2" t="inlineStr"/>
    </row>
    <row r="2641" ht="15" customHeight="1">
      <c r="A2641" t="inlineStr">
        <is>
          <t>A 35808-2026</t>
        </is>
      </c>
      <c r="B2641" t="inlineStr">
        <is>
          <t>avverkningsanmälan</t>
        </is>
      </c>
      <c r="C2641" t="inlineStr">
        <is>
          <t>Föryngringsavverkning</t>
        </is>
      </c>
      <c r="D2641" s="1" t="n">
        <v>46265</v>
      </c>
      <c r="E2641" s="1" t="n">
        <v>46315</v>
      </c>
      <c r="F2641" t="inlineStr">
        <is>
          <t>HALLANDS LÄN</t>
        </is>
      </c>
      <c r="G2641" t="inlineStr">
        <is>
          <t>HALMSTAD</t>
        </is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s="2" t="inlineStr"/>
    </row>
    <row r="2642" ht="15" customHeight="1">
      <c r="A2642" t="inlineStr">
        <is>
          <t>A 35809-2026</t>
        </is>
      </c>
      <c r="B2642" t="inlineStr">
        <is>
          <t>avverkningsanmälan</t>
        </is>
      </c>
      <c r="C2642" t="inlineStr">
        <is>
          <t>Föryngringsavverkning</t>
        </is>
      </c>
      <c r="D2642" s="1" t="n">
        <v>46265</v>
      </c>
      <c r="E2642" s="1" t="n">
        <v>46315</v>
      </c>
      <c r="F2642" t="inlineStr">
        <is>
          <t>HALLANDS LÄN</t>
        </is>
      </c>
      <c r="G2642" t="inlineStr">
        <is>
          <t>HALMSTAD</t>
        </is>
      </c>
      <c r="I2642" t="n">
        <v>0.7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s="2" t="inlineStr"/>
    </row>
    <row r="2643" ht="15" customHeight="1">
      <c r="A2643" t="inlineStr">
        <is>
          <t>A 5191-2024</t>
        </is>
      </c>
      <c r="B2643" t="inlineStr">
        <is>
          <t>avverkningsanmälan</t>
        </is>
      </c>
      <c r="C2643" t="inlineStr">
        <is>
          <t>Föryngringsavverkning</t>
        </is>
      </c>
      <c r="D2643" s="1" t="n">
        <v>45330</v>
      </c>
      <c r="E2643" s="1" t="n">
        <v>46315</v>
      </c>
      <c r="F2643" t="inlineStr">
        <is>
          <t>HALLANDS LÄN</t>
        </is>
      </c>
      <c r="G2643" t="inlineStr">
        <is>
          <t>HALMSTAD</t>
        </is>
      </c>
      <c r="I2643" t="n">
        <v>1.8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s="2" t="inlineStr"/>
    </row>
    <row r="2644" ht="15" customHeight="1">
      <c r="A2644" t="inlineStr">
        <is>
          <t>A 42340-2026</t>
        </is>
      </c>
      <c r="B2644" t="inlineStr">
        <is>
          <t>avverkningsanmälan</t>
        </is>
      </c>
      <c r="C2644" t="inlineStr">
        <is>
          <t>Föryngringsavverkning</t>
        </is>
      </c>
      <c r="D2644" s="1" t="n">
        <v>46307</v>
      </c>
      <c r="E2644" s="1" t="n">
        <v>46315</v>
      </c>
      <c r="F2644" t="inlineStr">
        <is>
          <t>HALLANDS LÄN</t>
        </is>
      </c>
      <c r="G2644" t="inlineStr">
        <is>
          <t>FALKENBERG</t>
        </is>
      </c>
      <c r="I2644" t="n">
        <v>12.1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s="2" t="inlineStr"/>
    </row>
    <row r="2645" ht="15" customHeight="1">
      <c r="A2645" t="inlineStr">
        <is>
          <t>A 42356-2026</t>
        </is>
      </c>
      <c r="B2645" t="inlineStr">
        <is>
          <t>avverkningsanmälan</t>
        </is>
      </c>
      <c r="C2645" t="inlineStr">
        <is>
          <t>Föryngringsavverkning</t>
        </is>
      </c>
      <c r="D2645" s="1" t="n">
        <v>46307</v>
      </c>
      <c r="E2645" s="1" t="n">
        <v>46315</v>
      </c>
      <c r="F2645" t="inlineStr">
        <is>
          <t>HALLANDS LÄN</t>
        </is>
      </c>
      <c r="G2645" t="inlineStr">
        <is>
          <t>LAHOLM</t>
        </is>
      </c>
      <c r="I2645" t="n">
        <v>1.5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s="2" t="inlineStr"/>
    </row>
    <row r="2646" ht="15" customHeight="1">
      <c r="A2646" t="inlineStr">
        <is>
          <t>A 42361-2026</t>
        </is>
      </c>
      <c r="B2646" t="inlineStr">
        <is>
          <t>avverkningsanmälan</t>
        </is>
      </c>
      <c r="C2646" t="inlineStr">
        <is>
          <t>Föryngringsavverkning</t>
        </is>
      </c>
      <c r="D2646" s="1" t="n">
        <v>46307</v>
      </c>
      <c r="E2646" s="1" t="n">
        <v>46315</v>
      </c>
      <c r="F2646" t="inlineStr">
        <is>
          <t>HALLANDS LÄN</t>
        </is>
      </c>
      <c r="G2646" t="inlineStr">
        <is>
          <t>FALKENBERG</t>
        </is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s="2" t="inlineStr"/>
    </row>
    <row r="2647" ht="15" customHeight="1">
      <c r="A2647" t="inlineStr">
        <is>
          <t>A 42372-2026</t>
        </is>
      </c>
      <c r="B2647" t="inlineStr">
        <is>
          <t>avverkningsanmälan</t>
        </is>
      </c>
      <c r="C2647" t="inlineStr">
        <is>
          <t>Föryngringsavverkning</t>
        </is>
      </c>
      <c r="D2647" s="1" t="n">
        <v>46307</v>
      </c>
      <c r="E2647" s="1" t="n">
        <v>46315</v>
      </c>
      <c r="F2647" t="inlineStr">
        <is>
          <t>HALLANDS LÄN</t>
        </is>
      </c>
      <c r="G2647" t="inlineStr">
        <is>
          <t>LAHOLM</t>
        </is>
      </c>
      <c r="I2647" t="n">
        <v>0.6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s="2" t="inlineStr"/>
    </row>
    <row r="2648" ht="15" customHeight="1">
      <c r="A2648" t="inlineStr">
        <is>
          <t>A 42375-2026</t>
        </is>
      </c>
      <c r="B2648" t="inlineStr">
        <is>
          <t>avverkningsanmälan</t>
        </is>
      </c>
      <c r="C2648" t="inlineStr">
        <is>
          <t>Föryngringsavverkning</t>
        </is>
      </c>
      <c r="D2648" s="1" t="n">
        <v>46307</v>
      </c>
      <c r="E2648" s="1" t="n">
        <v>46315</v>
      </c>
      <c r="F2648" t="inlineStr">
        <is>
          <t>HALLANDS LÄN</t>
        </is>
      </c>
      <c r="G2648" t="inlineStr">
        <is>
          <t>KUNGSBACKA</t>
        </is>
      </c>
      <c r="I2648" t="n">
        <v>1.8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s="2" t="inlineStr"/>
    </row>
    <row r="2649" ht="15" customHeight="1">
      <c r="A2649" t="inlineStr">
        <is>
          <t>A 13224-2025</t>
        </is>
      </c>
      <c r="B2649" t="inlineStr">
        <is>
          <t>avverkningsanmälan</t>
        </is>
      </c>
      <c r="C2649" t="inlineStr">
        <is>
          <t>Föryngringsavverkning</t>
        </is>
      </c>
      <c r="D2649" s="1" t="n">
        <v>45735</v>
      </c>
      <c r="E2649" s="1" t="n">
        <v>46315</v>
      </c>
      <c r="F2649" t="inlineStr">
        <is>
          <t>HALLANDS LÄN</t>
        </is>
      </c>
      <c r="G2649" t="inlineStr">
        <is>
          <t>HALMSTAD</t>
        </is>
      </c>
      <c r="I2649" t="n">
        <v>0.9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s="2" t="inlineStr"/>
    </row>
    <row r="2650" ht="15" customHeight="1">
      <c r="A2650" t="inlineStr">
        <is>
          <t>A 52625-2024</t>
        </is>
      </c>
      <c r="B2650" t="inlineStr">
        <is>
          <t>avverkningsanmälan</t>
        </is>
      </c>
      <c r="C2650" t="inlineStr">
        <is>
          <t>Föryngringsavverkning</t>
        </is>
      </c>
      <c r="D2650" s="1" t="n">
        <v>45609</v>
      </c>
      <c r="E2650" s="1" t="n">
        <v>46315</v>
      </c>
      <c r="F2650" t="inlineStr">
        <is>
          <t>HALLANDS LÄN</t>
        </is>
      </c>
      <c r="G2650" t="inlineStr">
        <is>
          <t>HYLTE</t>
        </is>
      </c>
      <c r="I2650" t="n">
        <v>2.6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s="2" t="inlineStr"/>
    </row>
    <row r="2651" ht="15" customHeight="1">
      <c r="A2651" t="inlineStr">
        <is>
          <t>A 26838-2025</t>
        </is>
      </c>
      <c r="B2651" t="inlineStr">
        <is>
          <t>avverkningsanmälan</t>
        </is>
      </c>
      <c r="C2651" t="inlineStr">
        <is>
          <t>Föryngringsavverkning</t>
        </is>
      </c>
      <c r="D2651" s="1" t="n">
        <v>45810</v>
      </c>
      <c r="E2651" s="1" t="n">
        <v>46315</v>
      </c>
      <c r="F2651" t="inlineStr">
        <is>
          <t>HALLANDS LÄN</t>
        </is>
      </c>
      <c r="G2651" t="inlineStr">
        <is>
          <t>FALKENBERG</t>
        </is>
      </c>
      <c r="I2651" t="n">
        <v>1.1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s="2" t="inlineStr"/>
    </row>
    <row r="2652" ht="15" customHeight="1">
      <c r="A2652" t="inlineStr">
        <is>
          <t>A 61739-2023</t>
        </is>
      </c>
      <c r="B2652" t="inlineStr">
        <is>
          <t>avverkningsanmälan</t>
        </is>
      </c>
      <c r="C2652" t="inlineStr">
        <is>
          <t>Föryngringsavverkning</t>
        </is>
      </c>
      <c r="D2652" s="1" t="n">
        <v>45265</v>
      </c>
      <c r="E2652" s="1" t="n">
        <v>46315</v>
      </c>
      <c r="F2652" t="inlineStr">
        <is>
          <t>HALLANDS LÄN</t>
        </is>
      </c>
      <c r="G2652" t="inlineStr">
        <is>
          <t>KUNGSBACKA</t>
        </is>
      </c>
      <c r="I2652" t="n">
        <v>13.8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s="2" t="inlineStr"/>
    </row>
    <row r="2653" ht="15" customHeight="1">
      <c r="A2653" t="inlineStr">
        <is>
          <t>A 9546-2024</t>
        </is>
      </c>
      <c r="B2653" t="inlineStr">
        <is>
          <t>avverkningsanmälan</t>
        </is>
      </c>
      <c r="C2653" t="inlineStr">
        <is>
          <t>Föryngringsavverkning</t>
        </is>
      </c>
      <c r="D2653" s="1" t="n">
        <v>45359</v>
      </c>
      <c r="E2653" s="1" t="n">
        <v>46315</v>
      </c>
      <c r="F2653" t="inlineStr">
        <is>
          <t>HALLANDS LÄN</t>
        </is>
      </c>
      <c r="G2653" t="inlineStr">
        <is>
          <t>HALMSTAD</t>
        </is>
      </c>
      <c r="I2653" t="n">
        <v>3.8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s="2" t="inlineStr"/>
    </row>
    <row r="2654" ht="15" customHeight="1">
      <c r="A2654" t="inlineStr">
        <is>
          <t>A 8249-2024</t>
        </is>
      </c>
      <c r="B2654" t="inlineStr">
        <is>
          <t>avverkningsanmälan</t>
        </is>
      </c>
      <c r="C2654" t="inlineStr">
        <is>
          <t>Föryngringsavverkning</t>
        </is>
      </c>
      <c r="D2654" s="1" t="n">
        <v>45352</v>
      </c>
      <c r="E2654" s="1" t="n">
        <v>46315</v>
      </c>
      <c r="F2654" t="inlineStr">
        <is>
          <t>HALLANDS LÄN</t>
        </is>
      </c>
      <c r="G2654" t="inlineStr">
        <is>
          <t>VARBERG</t>
        </is>
      </c>
      <c r="I2654" t="n">
        <v>1.2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s="2" t="inlineStr"/>
    </row>
    <row r="2655" ht="15" customHeight="1">
      <c r="A2655" t="inlineStr">
        <is>
          <t>A 35601-2026</t>
        </is>
      </c>
      <c r="B2655" t="inlineStr">
        <is>
          <t>avverkningsanmälan</t>
        </is>
      </c>
      <c r="C2655" t="inlineStr">
        <is>
          <t>Föryngringsavverkning</t>
        </is>
      </c>
      <c r="D2655" s="1" t="n">
        <v>46263</v>
      </c>
      <c r="E2655" s="1" t="n">
        <v>46315</v>
      </c>
      <c r="F2655" t="inlineStr">
        <is>
          <t>HALLANDS LÄN</t>
        </is>
      </c>
      <c r="G2655" t="inlineStr">
        <is>
          <t>HYLTE</t>
        </is>
      </c>
      <c r="I2655" t="n">
        <v>2.5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s="2" t="inlineStr"/>
    </row>
    <row r="2656" ht="15" customHeight="1">
      <c r="A2656" t="inlineStr">
        <is>
          <t>A 35603-2026</t>
        </is>
      </c>
      <c r="B2656" t="inlineStr">
        <is>
          <t>avverkningsanmälan</t>
        </is>
      </c>
      <c r="C2656" t="inlineStr">
        <is>
          <t>Föryngringsavverkning</t>
        </is>
      </c>
      <c r="D2656" s="1" t="n">
        <v>46263</v>
      </c>
      <c r="E2656" s="1" t="n">
        <v>46315</v>
      </c>
      <c r="F2656" t="inlineStr">
        <is>
          <t>HALLANDS LÄN</t>
        </is>
      </c>
      <c r="G2656" t="inlineStr">
        <is>
          <t>FALKENBERG</t>
        </is>
      </c>
      <c r="I2656" t="n">
        <v>2.2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s="2" t="inlineStr"/>
    </row>
    <row r="2657" ht="15" customHeight="1">
      <c r="A2657" t="inlineStr">
        <is>
          <t>A 27276-2025</t>
        </is>
      </c>
      <c r="B2657" t="inlineStr">
        <is>
          <t>avverkningsanmälan</t>
        </is>
      </c>
      <c r="C2657" t="inlineStr">
        <is>
          <t>Föryngringsavverkning</t>
        </is>
      </c>
      <c r="D2657" s="1" t="n">
        <v>45812</v>
      </c>
      <c r="E2657" s="1" t="n">
        <v>46315</v>
      </c>
      <c r="F2657" t="inlineStr">
        <is>
          <t>HALLANDS LÄN</t>
        </is>
      </c>
      <c r="G2657" t="inlineStr">
        <is>
          <t>HYLTE</t>
        </is>
      </c>
      <c r="I2657" t="n">
        <v>2.1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s="2" t="inlineStr"/>
    </row>
    <row r="2658" ht="15" customHeight="1">
      <c r="A2658" t="inlineStr">
        <is>
          <t>A 60004-2025</t>
        </is>
      </c>
      <c r="B2658" t="inlineStr">
        <is>
          <t>avverkningsanmälan</t>
        </is>
      </c>
      <c r="C2658" t="inlineStr">
        <is>
          <t>Föryngringsavverkning</t>
        </is>
      </c>
      <c r="D2658" s="1" t="n">
        <v>45993</v>
      </c>
      <c r="E2658" s="1" t="n">
        <v>46315</v>
      </c>
      <c r="F2658" t="inlineStr">
        <is>
          <t>HALLANDS LÄN</t>
        </is>
      </c>
      <c r="G2658" t="inlineStr">
        <is>
          <t>KUNGSBACKA</t>
        </is>
      </c>
      <c r="I2658" t="n">
        <v>2.5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s="2" t="inlineStr"/>
    </row>
    <row r="2659" ht="15" customHeight="1">
      <c r="A2659" t="inlineStr">
        <is>
          <t>A 27524-2025</t>
        </is>
      </c>
      <c r="B2659" t="inlineStr">
        <is>
          <t>avverkningsanmälan</t>
        </is>
      </c>
      <c r="C2659" t="inlineStr">
        <is>
          <t>Föryngringsavverkning</t>
        </is>
      </c>
      <c r="D2659" s="1" t="n">
        <v>45813</v>
      </c>
      <c r="E2659" s="1" t="n">
        <v>46315</v>
      </c>
      <c r="F2659" t="inlineStr">
        <is>
          <t>HALLANDS LÄN</t>
        </is>
      </c>
      <c r="G2659" t="inlineStr">
        <is>
          <t>VARBERG</t>
        </is>
      </c>
      <c r="I2659" t="n">
        <v>1.4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s="2" t="inlineStr"/>
    </row>
    <row r="2660" ht="15" customHeight="1">
      <c r="A2660" t="inlineStr">
        <is>
          <t>A 12548-2025</t>
        </is>
      </c>
      <c r="B2660" t="inlineStr">
        <is>
          <t>avverkningsanmälan</t>
        </is>
      </c>
      <c r="C2660" t="inlineStr">
        <is>
          <t>Föryngringsavverkning</t>
        </is>
      </c>
      <c r="D2660" s="1" t="n">
        <v>45730</v>
      </c>
      <c r="E2660" s="1" t="n">
        <v>46315</v>
      </c>
      <c r="F2660" t="inlineStr">
        <is>
          <t>HALLANDS LÄN</t>
        </is>
      </c>
      <c r="G2660" t="inlineStr">
        <is>
          <t>HYLTE</t>
        </is>
      </c>
      <c r="I2660" t="n">
        <v>2.9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s="2" t="inlineStr"/>
    </row>
    <row r="2661" ht="15" customHeight="1">
      <c r="A2661" t="inlineStr">
        <is>
          <t>A 25852-2024</t>
        </is>
      </c>
      <c r="B2661" t="inlineStr">
        <is>
          <t>avverkningsanmälan</t>
        </is>
      </c>
      <c r="C2661" t="inlineStr">
        <is>
          <t>Föryngringsavverkning</t>
        </is>
      </c>
      <c r="D2661" s="1" t="n">
        <v>45467</v>
      </c>
      <c r="E2661" s="1" t="n">
        <v>46315</v>
      </c>
      <c r="F2661" t="inlineStr">
        <is>
          <t>HALLANDS LÄN</t>
        </is>
      </c>
      <c r="G2661" t="inlineStr">
        <is>
          <t>FALKENBERG</t>
        </is>
      </c>
      <c r="I2661" t="n">
        <v>1.1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s="2" t="inlineStr"/>
    </row>
    <row r="2662" ht="15" customHeight="1">
      <c r="A2662" t="inlineStr">
        <is>
          <t>A 14536-2025</t>
        </is>
      </c>
      <c r="B2662" t="inlineStr">
        <is>
          <t>avverkningsanmälan</t>
        </is>
      </c>
      <c r="C2662" t="inlineStr">
        <is>
          <t>Föryngringsavverkning</t>
        </is>
      </c>
      <c r="D2662" s="1" t="n">
        <v>45741</v>
      </c>
      <c r="E2662" s="1" t="n">
        <v>46315</v>
      </c>
      <c r="F2662" t="inlineStr">
        <is>
          <t>HALLANDS LÄN</t>
        </is>
      </c>
      <c r="G2662" t="inlineStr">
        <is>
          <t>VARBERG</t>
        </is>
      </c>
      <c r="I2662" t="n">
        <v>0.7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s="2" t="inlineStr"/>
    </row>
    <row r="2663" ht="15" customHeight="1">
      <c r="A2663" t="inlineStr">
        <is>
          <t>A 5839-2025</t>
        </is>
      </c>
      <c r="B2663" t="inlineStr">
        <is>
          <t>avverkningsanmälan</t>
        </is>
      </c>
      <c r="C2663" t="inlineStr">
        <is>
          <t>Föryngringsavverkning</t>
        </is>
      </c>
      <c r="D2663" s="1" t="n">
        <v>45694</v>
      </c>
      <c r="E2663" s="1" t="n">
        <v>46315</v>
      </c>
      <c r="F2663" t="inlineStr">
        <is>
          <t>HALLANDS LÄN</t>
        </is>
      </c>
      <c r="G2663" t="inlineStr">
        <is>
          <t>HYLTE</t>
        </is>
      </c>
      <c r="I2663" t="n">
        <v>1.4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s="2" t="inlineStr"/>
    </row>
    <row r="2664" ht="15" customHeight="1">
      <c r="A2664" t="inlineStr">
        <is>
          <t>A 3538-2024</t>
        </is>
      </c>
      <c r="B2664" t="inlineStr">
        <is>
          <t>avverkningsanmälan</t>
        </is>
      </c>
      <c r="C2664" t="inlineStr">
        <is>
          <t>Föryngringsavverkning</t>
        </is>
      </c>
      <c r="D2664" s="1" t="n">
        <v>45320</v>
      </c>
      <c r="E2664" s="1" t="n">
        <v>46315</v>
      </c>
      <c r="F2664" t="inlineStr">
        <is>
          <t>HALLANDS LÄN</t>
        </is>
      </c>
      <c r="G2664" t="inlineStr">
        <is>
          <t>VARBERG</t>
        </is>
      </c>
      <c r="H2664" t="inlineStr">
        <is>
          <t>Övriga statliga verk och myndigheter</t>
        </is>
      </c>
      <c r="I2664" t="n">
        <v>7.7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s="2" t="inlineStr"/>
    </row>
    <row r="2665" ht="15" customHeight="1">
      <c r="A2665" t="inlineStr">
        <is>
          <t>A 53772-2024</t>
        </is>
      </c>
      <c r="B2665" t="inlineStr">
        <is>
          <t>avverkningsanmälan</t>
        </is>
      </c>
      <c r="C2665" t="inlineStr">
        <is>
          <t>Föryngringsavverkning</t>
        </is>
      </c>
      <c r="D2665" s="1" t="n">
        <v>45615</v>
      </c>
      <c r="E2665" s="1" t="n">
        <v>46315</v>
      </c>
      <c r="F2665" t="inlineStr">
        <is>
          <t>HALLANDS LÄN</t>
        </is>
      </c>
      <c r="G2665" t="inlineStr">
        <is>
          <t>FALKENBERG</t>
        </is>
      </c>
      <c r="I2665" t="n">
        <v>1.2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s="2" t="inlineStr"/>
    </row>
    <row r="2666" ht="15" customHeight="1">
      <c r="A2666" t="inlineStr">
        <is>
          <t>A 8827-2025</t>
        </is>
      </c>
      <c r="B2666" t="inlineStr">
        <is>
          <t>avverkningsanmälan</t>
        </is>
      </c>
      <c r="C2666" t="inlineStr">
        <is>
          <t>Föryngringsavverkning</t>
        </is>
      </c>
      <c r="D2666" s="1" t="n">
        <v>45712</v>
      </c>
      <c r="E2666" s="1" t="n">
        <v>46315</v>
      </c>
      <c r="F2666" t="inlineStr">
        <is>
          <t>HALLANDS LÄN</t>
        </is>
      </c>
      <c r="G2666" t="inlineStr">
        <is>
          <t>FALKENBERG</t>
        </is>
      </c>
      <c r="I2666" t="n">
        <v>2.5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s="2" t="inlineStr"/>
    </row>
    <row r="2667" ht="15" customHeight="1">
      <c r="A2667" t="inlineStr">
        <is>
          <t>A 42308-2026</t>
        </is>
      </c>
      <c r="B2667" t="inlineStr">
        <is>
          <t>avverkningsanmälan</t>
        </is>
      </c>
      <c r="C2667" t="inlineStr">
        <is>
          <t>Föryngringsavverkning</t>
        </is>
      </c>
      <c r="D2667" s="1" t="n">
        <v>46307</v>
      </c>
      <c r="E2667" s="1" t="n">
        <v>46315</v>
      </c>
      <c r="F2667" t="inlineStr">
        <is>
          <t>HALLANDS LÄN</t>
        </is>
      </c>
      <c r="G2667" t="inlineStr">
        <is>
          <t>FALKENBERG</t>
        </is>
      </c>
      <c r="I2667" t="n">
        <v>2.3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s="2" t="inlineStr"/>
    </row>
    <row r="2668" ht="15" customHeight="1">
      <c r="A2668" t="inlineStr">
        <is>
          <t>A 27848-2025</t>
        </is>
      </c>
      <c r="B2668" t="inlineStr">
        <is>
          <t>avverkningsanmälan</t>
        </is>
      </c>
      <c r="C2668" t="inlineStr">
        <is>
          <t>Föryngringsavverkning</t>
        </is>
      </c>
      <c r="D2668" s="1" t="n">
        <v>45817</v>
      </c>
      <c r="E2668" s="1" t="n">
        <v>46315</v>
      </c>
      <c r="F2668" t="inlineStr">
        <is>
          <t>HALLANDS LÄN</t>
        </is>
      </c>
      <c r="G2668" t="inlineStr">
        <is>
          <t>HALMSTAD</t>
        </is>
      </c>
      <c r="I2668" t="n">
        <v>1.4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s="2" t="inlineStr"/>
    </row>
    <row r="2669" ht="15" customHeight="1">
      <c r="A2669" t="inlineStr">
        <is>
          <t>A 49914-2024</t>
        </is>
      </c>
      <c r="B2669" t="inlineStr">
        <is>
          <t>avverkningsanmälan</t>
        </is>
      </c>
      <c r="C2669" t="inlineStr">
        <is>
          <t>Föryngringsavverkning</t>
        </is>
      </c>
      <c r="D2669" s="1" t="n">
        <v>45597</v>
      </c>
      <c r="E2669" s="1" t="n">
        <v>46315</v>
      </c>
      <c r="F2669" t="inlineStr">
        <is>
          <t>HALLANDS LÄN</t>
        </is>
      </c>
      <c r="G2669" t="inlineStr">
        <is>
          <t>HYLTE</t>
        </is>
      </c>
      <c r="I2669" t="n">
        <v>2.1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s="2" t="inlineStr"/>
    </row>
    <row r="2670" ht="15" customHeight="1">
      <c r="A2670" t="inlineStr">
        <is>
          <t>A 35804-2026</t>
        </is>
      </c>
      <c r="B2670" t="inlineStr">
        <is>
          <t>avverkningsanmälan</t>
        </is>
      </c>
      <c r="C2670" t="inlineStr">
        <is>
          <t>Föryngringsavverkning</t>
        </is>
      </c>
      <c r="D2670" s="1" t="n">
        <v>46265</v>
      </c>
      <c r="E2670" s="1" t="n">
        <v>46315</v>
      </c>
      <c r="F2670" t="inlineStr">
        <is>
          <t>HALLANDS LÄN</t>
        </is>
      </c>
      <c r="G2670" t="inlineStr">
        <is>
          <t>HALMSTAD</t>
        </is>
      </c>
      <c r="I2670" t="n">
        <v>0.9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s="2" t="inlineStr"/>
    </row>
    <row r="2671" ht="15" customHeight="1">
      <c r="A2671" t="inlineStr">
        <is>
          <t>A 8185-2025</t>
        </is>
      </c>
      <c r="B2671" t="inlineStr">
        <is>
          <t>avverkningsanmälan</t>
        </is>
      </c>
      <c r="C2671" t="inlineStr">
        <is>
          <t>Föryngringsavverkning</t>
        </is>
      </c>
      <c r="D2671" s="1" t="n">
        <v>45708</v>
      </c>
      <c r="E2671" s="1" t="n">
        <v>46315</v>
      </c>
      <c r="F2671" t="inlineStr">
        <is>
          <t>HALLANDS LÄN</t>
        </is>
      </c>
      <c r="G2671" t="inlineStr">
        <is>
          <t>HYLTE</t>
        </is>
      </c>
      <c r="I2671" t="n">
        <v>1.9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s="2" t="inlineStr"/>
    </row>
    <row r="2672" ht="15" customHeight="1">
      <c r="A2672" t="inlineStr">
        <is>
          <t>A 13516-2024</t>
        </is>
      </c>
      <c r="B2672" t="inlineStr">
        <is>
          <t>avverkningsanmälan</t>
        </is>
      </c>
      <c r="C2672" t="inlineStr">
        <is>
          <t>Föryngringsavverkning</t>
        </is>
      </c>
      <c r="D2672" s="1" t="n">
        <v>45387</v>
      </c>
      <c r="E2672" s="1" t="n">
        <v>46315</v>
      </c>
      <c r="F2672" t="inlineStr">
        <is>
          <t>HALLANDS LÄN</t>
        </is>
      </c>
      <c r="G2672" t="inlineStr">
        <is>
          <t>HYLTE</t>
        </is>
      </c>
      <c r="I2672" t="n">
        <v>11.1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s="2" t="inlineStr"/>
    </row>
    <row r="2673" ht="15" customHeight="1">
      <c r="A2673" t="inlineStr">
        <is>
          <t>A 28610-2023</t>
        </is>
      </c>
      <c r="B2673" t="inlineStr">
        <is>
          <t>avverkningsanmälan</t>
        </is>
      </c>
      <c r="C2673" t="inlineStr">
        <is>
          <t>Föryngringsavverkning</t>
        </is>
      </c>
      <c r="D2673" s="1" t="n">
        <v>45103</v>
      </c>
      <c r="E2673" s="1" t="n">
        <v>46315</v>
      </c>
      <c r="F2673" t="inlineStr">
        <is>
          <t>HALLANDS LÄN</t>
        </is>
      </c>
      <c r="G2673" t="inlineStr">
        <is>
          <t>KUNGSBACKA</t>
        </is>
      </c>
      <c r="I2673" t="n">
        <v>1.1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s="2" t="inlineStr"/>
    </row>
    <row r="2674" ht="15" customHeight="1">
      <c r="A2674" t="inlineStr">
        <is>
          <t>A 20828-2025</t>
        </is>
      </c>
      <c r="B2674" t="inlineStr">
        <is>
          <t>avverkningsanmälan</t>
        </is>
      </c>
      <c r="C2674" t="inlineStr">
        <is>
          <t>Föryngringsavverkning</t>
        </is>
      </c>
      <c r="D2674" s="1" t="n">
        <v>45776</v>
      </c>
      <c r="E2674" s="1" t="n">
        <v>46315</v>
      </c>
      <c r="F2674" t="inlineStr">
        <is>
          <t>HALLANDS LÄN</t>
        </is>
      </c>
      <c r="G2674" t="inlineStr">
        <is>
          <t>KUNGSBACKA</t>
        </is>
      </c>
      <c r="I2674" t="n">
        <v>2.7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s="2" t="inlineStr"/>
    </row>
    <row r="2675" ht="15" customHeight="1">
      <c r="A2675" t="inlineStr">
        <is>
          <t>A 42390-2026</t>
        </is>
      </c>
      <c r="B2675" t="inlineStr">
        <is>
          <t>avverkningsanmälan</t>
        </is>
      </c>
      <c r="C2675" t="inlineStr">
        <is>
          <t>Föryngringsavverkning</t>
        </is>
      </c>
      <c r="D2675" s="1" t="n">
        <v>46307</v>
      </c>
      <c r="E2675" s="1" t="n">
        <v>46315</v>
      </c>
      <c r="F2675" t="inlineStr">
        <is>
          <t>HALLANDS LÄN</t>
        </is>
      </c>
      <c r="G2675" t="inlineStr">
        <is>
          <t>VARBERG</t>
        </is>
      </c>
      <c r="I2675" t="n">
        <v>4.7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s="2" t="inlineStr"/>
    </row>
    <row r="2676" ht="15" customHeight="1">
      <c r="A2676" t="inlineStr">
        <is>
          <t>A 57523-2024</t>
        </is>
      </c>
      <c r="B2676" t="inlineStr">
        <is>
          <t>avverkningsanmälan</t>
        </is>
      </c>
      <c r="C2676" t="inlineStr">
        <is>
          <t>Föryngringsavverkning</t>
        </is>
      </c>
      <c r="D2676" s="1" t="n">
        <v>45630</v>
      </c>
      <c r="E2676" s="1" t="n">
        <v>46315</v>
      </c>
      <c r="F2676" t="inlineStr">
        <is>
          <t>HALLANDS LÄN</t>
        </is>
      </c>
      <c r="G2676" t="inlineStr">
        <is>
          <t>FALKENBERG</t>
        </is>
      </c>
      <c r="I2676" t="n">
        <v>4.7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s="2" t="inlineStr"/>
    </row>
    <row r="2677" ht="15" customHeight="1">
      <c r="A2677" t="inlineStr">
        <is>
          <t>A 27977-2025</t>
        </is>
      </c>
      <c r="B2677" t="inlineStr">
        <is>
          <t>avverkningsanmälan</t>
        </is>
      </c>
      <c r="C2677" t="inlineStr">
        <is>
          <t>Föryngringsavverkning</t>
        </is>
      </c>
      <c r="D2677" s="1" t="n">
        <v>45817</v>
      </c>
      <c r="E2677" s="1" t="n">
        <v>46315</v>
      </c>
      <c r="F2677" t="inlineStr">
        <is>
          <t>HALLANDS LÄN</t>
        </is>
      </c>
      <c r="G2677" t="inlineStr">
        <is>
          <t>KUNGSBACKA</t>
        </is>
      </c>
      <c r="I2677" t="n">
        <v>1.3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s="2" t="inlineStr"/>
    </row>
    <row r="2678" ht="15" customHeight="1">
      <c r="A2678" t="inlineStr">
        <is>
          <t>A 40809-2023</t>
        </is>
      </c>
      <c r="B2678" t="inlineStr">
        <is>
          <t>avverkningsanmälan</t>
        </is>
      </c>
      <c r="C2678" t="inlineStr">
        <is>
          <t>Föryngringsavverkning</t>
        </is>
      </c>
      <c r="D2678" s="1" t="n">
        <v>45171</v>
      </c>
      <c r="E2678" s="1" t="n">
        <v>46315</v>
      </c>
      <c r="F2678" t="inlineStr">
        <is>
          <t>HALLANDS LÄN</t>
        </is>
      </c>
      <c r="G2678" t="inlineStr">
        <is>
          <t>LAHOLM</t>
        </is>
      </c>
      <c r="I2678" t="n">
        <v>1.2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s="2" t="inlineStr"/>
    </row>
    <row r="2679" ht="15" customHeight="1">
      <c r="A2679" t="inlineStr">
        <is>
          <t>A 60234-2024</t>
        </is>
      </c>
      <c r="B2679" t="inlineStr">
        <is>
          <t>avverkningsanmälan</t>
        </is>
      </c>
      <c r="C2679" t="inlineStr">
        <is>
          <t>Föryngringsavverkning</t>
        </is>
      </c>
      <c r="D2679" s="1" t="n">
        <v>45642</v>
      </c>
      <c r="E2679" s="1" t="n">
        <v>46315</v>
      </c>
      <c r="F2679" t="inlineStr">
        <is>
          <t>HALLANDS LÄN</t>
        </is>
      </c>
      <c r="G2679" t="inlineStr">
        <is>
          <t>HALMSTAD</t>
        </is>
      </c>
      <c r="I2679" t="n">
        <v>3.4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s="2" t="inlineStr"/>
    </row>
    <row r="2680" ht="15" customHeight="1">
      <c r="A2680" t="inlineStr">
        <is>
          <t>A 7783-2025</t>
        </is>
      </c>
      <c r="B2680" t="inlineStr">
        <is>
          <t>avverkningsanmälan</t>
        </is>
      </c>
      <c r="C2680" t="inlineStr">
        <is>
          <t>Föryngringsavverkning</t>
        </is>
      </c>
      <c r="D2680" s="1" t="n">
        <v>45706</v>
      </c>
      <c r="E2680" s="1" t="n">
        <v>46315</v>
      </c>
      <c r="F2680" t="inlineStr">
        <is>
          <t>HALLANDS LÄN</t>
        </is>
      </c>
      <c r="G2680" t="inlineStr">
        <is>
          <t>HYLTE</t>
        </is>
      </c>
      <c r="I2680" t="n">
        <v>3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s="2" t="inlineStr"/>
    </row>
    <row r="2681" ht="15" customHeight="1">
      <c r="A2681" t="inlineStr">
        <is>
          <t>A 28881-2025</t>
        </is>
      </c>
      <c r="B2681" t="inlineStr">
        <is>
          <t>avverkningsanmälan</t>
        </is>
      </c>
      <c r="C2681" t="inlineStr">
        <is>
          <t>Föryngringsavverkning</t>
        </is>
      </c>
      <c r="D2681" s="1" t="n">
        <v>45820</v>
      </c>
      <c r="E2681" s="1" t="n">
        <v>46315</v>
      </c>
      <c r="F2681" t="inlineStr">
        <is>
          <t>HALLANDS LÄN</t>
        </is>
      </c>
      <c r="G2681" t="inlineStr">
        <is>
          <t>HYLTE</t>
        </is>
      </c>
      <c r="I2681" t="n">
        <v>1.1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s="2" t="inlineStr"/>
    </row>
    <row r="2682" ht="15" customHeight="1">
      <c r="A2682" t="inlineStr">
        <is>
          <t>A 28383-2025</t>
        </is>
      </c>
      <c r="B2682" t="inlineStr">
        <is>
          <t>avverkningsanmälan</t>
        </is>
      </c>
      <c r="C2682" t="inlineStr">
        <is>
          <t>Föryngringsavverkning</t>
        </is>
      </c>
      <c r="D2682" s="1" t="n">
        <v>45819</v>
      </c>
      <c r="E2682" s="1" t="n">
        <v>46315</v>
      </c>
      <c r="F2682" t="inlineStr">
        <is>
          <t>HALLANDS LÄN</t>
        </is>
      </c>
      <c r="G2682" t="inlineStr">
        <is>
          <t>KUNGSBACKA</t>
        </is>
      </c>
      <c r="I2682" t="n">
        <v>0.8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s="2" t="inlineStr"/>
    </row>
    <row r="2683" ht="15" customHeight="1">
      <c r="A2683" t="inlineStr">
        <is>
          <t>A 40140-2026</t>
        </is>
      </c>
      <c r="B2683" t="inlineStr">
        <is>
          <t>avverkningsanmälan</t>
        </is>
      </c>
      <c r="C2683" t="inlineStr">
        <is>
          <t>Föryngringsavverkning</t>
        </is>
      </c>
      <c r="D2683" s="1" t="n">
        <v>46293</v>
      </c>
      <c r="E2683" s="1" t="n">
        <v>46315</v>
      </c>
      <c r="F2683" t="inlineStr">
        <is>
          <t>HALLANDS LÄN</t>
        </is>
      </c>
      <c r="G2683" t="inlineStr">
        <is>
          <t>FALKENBERG</t>
        </is>
      </c>
      <c r="I2683" t="n">
        <v>1.7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s="2" t="inlineStr"/>
    </row>
    <row r="2684" ht="15" customHeight="1">
      <c r="A2684" t="inlineStr">
        <is>
          <t>A 57966-2022</t>
        </is>
      </c>
      <c r="B2684" t="inlineStr">
        <is>
          <t>avverkningsanmälan</t>
        </is>
      </c>
      <c r="C2684" t="inlineStr">
        <is>
          <t>Föryngringsavverkning</t>
        </is>
      </c>
      <c r="D2684" s="1" t="n">
        <v>44900</v>
      </c>
      <c r="E2684" s="1" t="n">
        <v>46315</v>
      </c>
      <c r="F2684" t="inlineStr">
        <is>
          <t>HALLANDS LÄN</t>
        </is>
      </c>
      <c r="G2684" t="inlineStr">
        <is>
          <t>HYLTE</t>
        </is>
      </c>
      <c r="I2684" t="n">
        <v>3.5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s="2" t="inlineStr"/>
    </row>
    <row r="2685" ht="15" customHeight="1">
      <c r="A2685" t="inlineStr">
        <is>
          <t>A 12300-2026</t>
        </is>
      </c>
      <c r="B2685" t="inlineStr">
        <is>
          <t>avverkningsanmälan</t>
        </is>
      </c>
      <c r="C2685" t="inlineStr">
        <is>
          <t>Föryngringsavverkning</t>
        </is>
      </c>
      <c r="D2685" s="1" t="n">
        <v>46087</v>
      </c>
      <c r="E2685" s="1" t="n">
        <v>46315</v>
      </c>
      <c r="F2685" t="inlineStr">
        <is>
          <t>HALLANDS LÄN</t>
        </is>
      </c>
      <c r="G2685" t="inlineStr">
        <is>
          <t>FALKENBERG</t>
        </is>
      </c>
      <c r="I2685" t="n">
        <v>1.3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s="2" t="inlineStr"/>
    </row>
    <row r="2686" ht="15" customHeight="1">
      <c r="A2686" t="inlineStr">
        <is>
          <t>A 29364-2025</t>
        </is>
      </c>
      <c r="B2686" t="inlineStr">
        <is>
          <t>avverkningsanmälan</t>
        </is>
      </c>
      <c r="C2686" t="inlineStr">
        <is>
          <t>Föryngringsavverkning</t>
        </is>
      </c>
      <c r="D2686" s="1" t="n">
        <v>45824</v>
      </c>
      <c r="E2686" s="1" t="n">
        <v>46315</v>
      </c>
      <c r="F2686" t="inlineStr">
        <is>
          <t>HALLANDS LÄN</t>
        </is>
      </c>
      <c r="G2686" t="inlineStr">
        <is>
          <t>VARBERG</t>
        </is>
      </c>
      <c r="I2686" t="n">
        <v>0.9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s="2" t="inlineStr"/>
    </row>
    <row r="2687" ht="15" customHeight="1">
      <c r="A2687" t="inlineStr">
        <is>
          <t>A 42559-2026</t>
        </is>
      </c>
      <c r="B2687" t="inlineStr">
        <is>
          <t>avverkningsanmälan</t>
        </is>
      </c>
      <c r="C2687" t="inlineStr">
        <is>
          <t>Föryngringsavverkning</t>
        </is>
      </c>
      <c r="D2687" s="1" t="n">
        <v>46308</v>
      </c>
      <c r="E2687" s="1" t="n">
        <v>46315</v>
      </c>
      <c r="F2687" t="inlineStr">
        <is>
          <t>HALLANDS LÄN</t>
        </is>
      </c>
      <c r="G2687" t="inlineStr">
        <is>
          <t>HALMSTAD</t>
        </is>
      </c>
      <c r="I2687" t="n">
        <v>1.8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s="2" t="inlineStr"/>
    </row>
    <row r="2688" ht="15" customHeight="1">
      <c r="A2688" t="inlineStr">
        <is>
          <t>A 42923-2026</t>
        </is>
      </c>
      <c r="B2688" t="inlineStr">
        <is>
          <t>avverkningsanmälan</t>
        </is>
      </c>
      <c r="C2688" t="inlineStr">
        <is>
          <t>Föryngringsavverkning</t>
        </is>
      </c>
      <c r="D2688" s="1" t="n">
        <v>46310</v>
      </c>
      <c r="E2688" s="1" t="n">
        <v>46315</v>
      </c>
      <c r="F2688" t="inlineStr">
        <is>
          <t>HALLANDS LÄN</t>
        </is>
      </c>
      <c r="G2688" t="inlineStr">
        <is>
          <t>FALKENBERG</t>
        </is>
      </c>
      <c r="I2688" t="n">
        <v>5.6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s="2" t="inlineStr"/>
    </row>
    <row r="2689" ht="15" customHeight="1">
      <c r="A2689" t="inlineStr">
        <is>
          <t>A 29318-2025</t>
        </is>
      </c>
      <c r="B2689" t="inlineStr">
        <is>
          <t>avverkningsanmälan</t>
        </is>
      </c>
      <c r="C2689" t="inlineStr">
        <is>
          <t>Föryngringsavverkning</t>
        </is>
      </c>
      <c r="D2689" s="1" t="n">
        <v>45824</v>
      </c>
      <c r="E2689" s="1" t="n">
        <v>46315</v>
      </c>
      <c r="F2689" t="inlineStr">
        <is>
          <t>HALLANDS LÄN</t>
        </is>
      </c>
      <c r="G2689" t="inlineStr">
        <is>
          <t>VARBERG</t>
        </is>
      </c>
      <c r="I2689" t="n">
        <v>5.1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s="2" t="inlineStr"/>
    </row>
    <row r="2690" ht="15" customHeight="1">
      <c r="A2690" t="inlineStr">
        <is>
          <t>A 29129-2025</t>
        </is>
      </c>
      <c r="B2690" t="inlineStr">
        <is>
          <t>avverkningsanmälan</t>
        </is>
      </c>
      <c r="C2690" t="inlineStr">
        <is>
          <t>Föryngringsavverkning</t>
        </is>
      </c>
      <c r="D2690" s="1" t="n">
        <v>45821</v>
      </c>
      <c r="E2690" s="1" t="n">
        <v>46315</v>
      </c>
      <c r="F2690" t="inlineStr">
        <is>
          <t>HALLANDS LÄN</t>
        </is>
      </c>
      <c r="G2690" t="inlineStr">
        <is>
          <t>FALKENBERG</t>
        </is>
      </c>
      <c r="I2690" t="n">
        <v>3.9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s="2" t="inlineStr"/>
    </row>
    <row r="2691" ht="15" customHeight="1">
      <c r="A2691" t="inlineStr">
        <is>
          <t>A 29316-2025</t>
        </is>
      </c>
      <c r="B2691" t="inlineStr">
        <is>
          <t>avverkningsanmälan</t>
        </is>
      </c>
      <c r="C2691" t="inlineStr">
        <is>
          <t>Föryngringsavverkning</t>
        </is>
      </c>
      <c r="D2691" s="1" t="n">
        <v>45824</v>
      </c>
      <c r="E2691" s="1" t="n">
        <v>46315</v>
      </c>
      <c r="F2691" t="inlineStr">
        <is>
          <t>HALLANDS LÄN</t>
        </is>
      </c>
      <c r="G2691" t="inlineStr">
        <is>
          <t>HALMSTAD</t>
        </is>
      </c>
      <c r="I2691" t="n">
        <v>6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s="2" t="inlineStr"/>
    </row>
    <row r="2692" ht="15" customHeight="1">
      <c r="A2692" t="inlineStr">
        <is>
          <t>A 29713-2025</t>
        </is>
      </c>
      <c r="B2692" t="inlineStr">
        <is>
          <t>avverkningsanmälan</t>
        </is>
      </c>
      <c r="C2692" t="inlineStr">
        <is>
          <t>Föryngringsavverkning</t>
        </is>
      </c>
      <c r="D2692" s="1" t="n">
        <v>45825</v>
      </c>
      <c r="E2692" s="1" t="n">
        <v>46315</v>
      </c>
      <c r="F2692" t="inlineStr">
        <is>
          <t>HALLANDS LÄN</t>
        </is>
      </c>
      <c r="G2692" t="inlineStr">
        <is>
          <t>HYLTE</t>
        </is>
      </c>
      <c r="I2692" t="n">
        <v>0.3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s="2" t="inlineStr"/>
    </row>
    <row r="2693" ht="15" customHeight="1">
      <c r="A2693" t="inlineStr">
        <is>
          <t>A 29634-2025</t>
        </is>
      </c>
      <c r="B2693" t="inlineStr">
        <is>
          <t>avverkningsanmälan</t>
        </is>
      </c>
      <c r="C2693" t="inlineStr">
        <is>
          <t>Föryngringsavverkning</t>
        </is>
      </c>
      <c r="D2693" s="1" t="n">
        <v>45825</v>
      </c>
      <c r="E2693" s="1" t="n">
        <v>46315</v>
      </c>
      <c r="F2693" t="inlineStr">
        <is>
          <t>HALLANDS LÄN</t>
        </is>
      </c>
      <c r="G2693" t="inlineStr">
        <is>
          <t>VARBERG</t>
        </is>
      </c>
      <c r="I2693" t="n">
        <v>2.2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s="2" t="inlineStr"/>
    </row>
    <row r="2694" ht="15" customHeight="1">
      <c r="A2694" t="inlineStr">
        <is>
          <t>A 29637-2025</t>
        </is>
      </c>
      <c r="B2694" t="inlineStr">
        <is>
          <t>avverkningsanmälan</t>
        </is>
      </c>
      <c r="C2694" t="inlineStr">
        <is>
          <t>Föryngringsavverkning</t>
        </is>
      </c>
      <c r="D2694" s="1" t="n">
        <v>45825</v>
      </c>
      <c r="E2694" s="1" t="n">
        <v>46315</v>
      </c>
      <c r="F2694" t="inlineStr">
        <is>
          <t>HALLANDS LÄN</t>
        </is>
      </c>
      <c r="G2694" t="inlineStr">
        <is>
          <t>LAHOLM</t>
        </is>
      </c>
      <c r="I2694" t="n">
        <v>4.8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s="2" t="inlineStr"/>
    </row>
    <row r="2695" ht="15" customHeight="1">
      <c r="A2695" t="inlineStr">
        <is>
          <t>A 29630-2025</t>
        </is>
      </c>
      <c r="B2695" t="inlineStr">
        <is>
          <t>avverkningsanmälan</t>
        </is>
      </c>
      <c r="C2695" t="inlineStr">
        <is>
          <t>Föryngringsavverkning</t>
        </is>
      </c>
      <c r="D2695" s="1" t="n">
        <v>45825</v>
      </c>
      <c r="E2695" s="1" t="n">
        <v>46315</v>
      </c>
      <c r="F2695" t="inlineStr">
        <is>
          <t>HALLANDS LÄN</t>
        </is>
      </c>
      <c r="G2695" t="inlineStr">
        <is>
          <t>VARBERG</t>
        </is>
      </c>
      <c r="I2695" t="n">
        <v>4.8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s="2" t="inlineStr"/>
    </row>
    <row r="2696" ht="15" customHeight="1">
      <c r="A2696" t="inlineStr">
        <is>
          <t>A 14219-2025</t>
        </is>
      </c>
      <c r="B2696" t="inlineStr">
        <is>
          <t>avverkningsanmälan</t>
        </is>
      </c>
      <c r="C2696" t="inlineStr">
        <is>
          <t>Föryngringsavverkning</t>
        </is>
      </c>
      <c r="D2696" s="1" t="n">
        <v>45740</v>
      </c>
      <c r="E2696" s="1" t="n">
        <v>46315</v>
      </c>
      <c r="F2696" t="inlineStr">
        <is>
          <t>HALLANDS LÄN</t>
        </is>
      </c>
      <c r="G2696" t="inlineStr">
        <is>
          <t>VARBERG</t>
        </is>
      </c>
      <c r="I2696" t="n">
        <v>1.2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s="2" t="inlineStr"/>
    </row>
    <row r="2697" ht="15" customHeight="1">
      <c r="A2697" t="inlineStr">
        <is>
          <t>A 39099-2024</t>
        </is>
      </c>
      <c r="B2697" t="inlineStr">
        <is>
          <t>avverkningsanmälan</t>
        </is>
      </c>
      <c r="C2697" t="inlineStr">
        <is>
          <t>Föryngringsavverkning</t>
        </is>
      </c>
      <c r="D2697" s="1" t="n">
        <v>45548</v>
      </c>
      <c r="E2697" s="1" t="n">
        <v>46315</v>
      </c>
      <c r="F2697" t="inlineStr">
        <is>
          <t>HALLANDS LÄN</t>
        </is>
      </c>
      <c r="G2697" t="inlineStr">
        <is>
          <t>HYLTE</t>
        </is>
      </c>
      <c r="I2697" t="n">
        <v>1.3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s="2" t="inlineStr"/>
    </row>
    <row r="2698" ht="15" customHeight="1">
      <c r="A2698" t="inlineStr">
        <is>
          <t>A 40093-2026</t>
        </is>
      </c>
      <c r="B2698" t="inlineStr">
        <is>
          <t>avverkningsanmälan</t>
        </is>
      </c>
      <c r="C2698" t="inlineStr">
        <is>
          <t>Föryngringsavverkning</t>
        </is>
      </c>
      <c r="D2698" s="1" t="n">
        <v>46293</v>
      </c>
      <c r="E2698" s="1" t="n">
        <v>46315</v>
      </c>
      <c r="F2698" t="inlineStr">
        <is>
          <t>HALLANDS LÄN</t>
        </is>
      </c>
      <c r="G2698" t="inlineStr">
        <is>
          <t>FALKENBERG</t>
        </is>
      </c>
      <c r="I2698" t="n">
        <v>0.5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s="2" t="inlineStr"/>
    </row>
    <row r="2699" ht="15" customHeight="1">
      <c r="A2699" t="inlineStr">
        <is>
          <t>A 30572-2025</t>
        </is>
      </c>
      <c r="B2699" t="inlineStr">
        <is>
          <t>avverkningsanmälan</t>
        </is>
      </c>
      <c r="C2699" t="inlineStr">
        <is>
          <t>Föryngringsavverkning</t>
        </is>
      </c>
      <c r="D2699" s="1" t="n">
        <v>45831</v>
      </c>
      <c r="E2699" s="1" t="n">
        <v>46315</v>
      </c>
      <c r="F2699" t="inlineStr">
        <is>
          <t>HALLANDS LÄN</t>
        </is>
      </c>
      <c r="G2699" t="inlineStr">
        <is>
          <t>HYLTE</t>
        </is>
      </c>
      <c r="I2699" t="n">
        <v>0.7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s="2" t="inlineStr"/>
    </row>
    <row r="2700" ht="15" customHeight="1">
      <c r="A2700" t="inlineStr">
        <is>
          <t>A 30740-2025</t>
        </is>
      </c>
      <c r="B2700" t="inlineStr">
        <is>
          <t>avverkningsanmälan</t>
        </is>
      </c>
      <c r="C2700" t="inlineStr">
        <is>
          <t>Föryngringsavverkning</t>
        </is>
      </c>
      <c r="D2700" s="1" t="n">
        <v>45831</v>
      </c>
      <c r="E2700" s="1" t="n">
        <v>46315</v>
      </c>
      <c r="F2700" t="inlineStr">
        <is>
          <t>HALLANDS LÄN</t>
        </is>
      </c>
      <c r="G2700" t="inlineStr">
        <is>
          <t>HALMSTAD</t>
        </is>
      </c>
      <c r="I2700" t="n">
        <v>1.9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s="2" t="inlineStr"/>
    </row>
    <row r="2701" ht="15" customHeight="1">
      <c r="A2701" t="inlineStr">
        <is>
          <t>A 42906-2026</t>
        </is>
      </c>
      <c r="B2701" t="inlineStr">
        <is>
          <t>avverkningsanmälan</t>
        </is>
      </c>
      <c r="C2701" t="inlineStr">
        <is>
          <t>Föryngringsavverkning</t>
        </is>
      </c>
      <c r="D2701" s="1" t="n">
        <v>46310</v>
      </c>
      <c r="E2701" s="1" t="n">
        <v>46315</v>
      </c>
      <c r="F2701" t="inlineStr">
        <is>
          <t>HALLANDS LÄN</t>
        </is>
      </c>
      <c r="G2701" t="inlineStr">
        <is>
          <t>FALKENBERG</t>
        </is>
      </c>
      <c r="I2701" t="n">
        <v>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s="2" t="inlineStr"/>
    </row>
    <row r="2702" ht="15" customHeight="1">
      <c r="A2702" t="inlineStr">
        <is>
          <t>A 31103-2025</t>
        </is>
      </c>
      <c r="B2702" t="inlineStr">
        <is>
          <t>avverkningsanmälan</t>
        </is>
      </c>
      <c r="C2702" t="inlineStr">
        <is>
          <t>Föryngringsavverkning</t>
        </is>
      </c>
      <c r="D2702" s="1" t="n">
        <v>45831</v>
      </c>
      <c r="E2702" s="1" t="n">
        <v>46315</v>
      </c>
      <c r="F2702" t="inlineStr">
        <is>
          <t>HALLANDS LÄN</t>
        </is>
      </c>
      <c r="G2702" t="inlineStr">
        <is>
          <t>HALMSTAD</t>
        </is>
      </c>
      <c r="I2702" t="n">
        <v>3.1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s="2" t="inlineStr"/>
    </row>
    <row r="2703" ht="15" customHeight="1">
      <c r="A2703" t="inlineStr">
        <is>
          <t>A 31109-2025</t>
        </is>
      </c>
      <c r="B2703" t="inlineStr">
        <is>
          <t>avverkningsanmälan</t>
        </is>
      </c>
      <c r="C2703" t="inlineStr">
        <is>
          <t>Föryngringsavverkning</t>
        </is>
      </c>
      <c r="D2703" s="1" t="n">
        <v>45831</v>
      </c>
      <c r="E2703" s="1" t="n">
        <v>46315</v>
      </c>
      <c r="F2703" t="inlineStr">
        <is>
          <t>HALLANDS LÄN</t>
        </is>
      </c>
      <c r="G2703" t="inlineStr">
        <is>
          <t>HALMSTAD</t>
        </is>
      </c>
      <c r="I2703" t="n">
        <v>3.7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s="2" t="inlineStr"/>
    </row>
    <row r="2704" ht="15" customHeight="1">
      <c r="A2704" t="inlineStr">
        <is>
          <t>A 31151-2025</t>
        </is>
      </c>
      <c r="B2704" t="inlineStr">
        <is>
          <t>avverkningsanmälan</t>
        </is>
      </c>
      <c r="C2704" t="inlineStr">
        <is>
          <t>Föryngringsavverkning</t>
        </is>
      </c>
      <c r="D2704" s="1" t="n">
        <v>45831</v>
      </c>
      <c r="E2704" s="1" t="n">
        <v>46315</v>
      </c>
      <c r="F2704" t="inlineStr">
        <is>
          <t>HALLANDS LÄN</t>
        </is>
      </c>
      <c r="G2704" t="inlineStr">
        <is>
          <t>HALMSTAD</t>
        </is>
      </c>
      <c r="H2704" t="inlineStr">
        <is>
          <t>Bergvik skog väst AB</t>
        </is>
      </c>
      <c r="I2704" t="n">
        <v>11.2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s="2" t="inlineStr"/>
    </row>
    <row r="2705" ht="15" customHeight="1">
      <c r="A2705" t="inlineStr">
        <is>
          <t>A 34774-2026</t>
        </is>
      </c>
      <c r="B2705" t="inlineStr">
        <is>
          <t>avverkningsanmälan</t>
        </is>
      </c>
      <c r="C2705" t="inlineStr">
        <is>
          <t>Föryngringsavverkning</t>
        </is>
      </c>
      <c r="D2705" s="1" t="n">
        <v>46255</v>
      </c>
      <c r="E2705" s="1" t="n">
        <v>46315</v>
      </c>
      <c r="F2705" t="inlineStr">
        <is>
          <t>HALLANDS LÄN</t>
        </is>
      </c>
      <c r="G2705" t="inlineStr">
        <is>
          <t>LAHOLM</t>
        </is>
      </c>
      <c r="I2705" t="n">
        <v>4.5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s="2" t="inlineStr"/>
    </row>
    <row r="2706" ht="15" customHeight="1">
      <c r="A2706" t="inlineStr">
        <is>
          <t>A 31112-2025</t>
        </is>
      </c>
      <c r="B2706" t="inlineStr">
        <is>
          <t>avverkningsanmälan</t>
        </is>
      </c>
      <c r="C2706" t="inlineStr">
        <is>
          <t>Föryngringsavverkning</t>
        </is>
      </c>
      <c r="D2706" s="1" t="n">
        <v>45831</v>
      </c>
      <c r="E2706" s="1" t="n">
        <v>46315</v>
      </c>
      <c r="F2706" t="inlineStr">
        <is>
          <t>HALLANDS LÄN</t>
        </is>
      </c>
      <c r="G2706" t="inlineStr">
        <is>
          <t>HALMSTAD</t>
        </is>
      </c>
      <c r="I2706" t="n">
        <v>9.1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s="2" t="inlineStr"/>
    </row>
    <row r="2707" ht="15" customHeight="1">
      <c r="A2707" t="inlineStr">
        <is>
          <t>A 31682-2025</t>
        </is>
      </c>
      <c r="B2707" t="inlineStr">
        <is>
          <t>avverkningsanmälan</t>
        </is>
      </c>
      <c r="C2707" t="inlineStr">
        <is>
          <t>Föryngringsavverkning</t>
        </is>
      </c>
      <c r="D2707" s="1" t="n">
        <v>45834</v>
      </c>
      <c r="E2707" s="1" t="n">
        <v>46315</v>
      </c>
      <c r="F2707" t="inlineStr">
        <is>
          <t>HALLANDS LÄN</t>
        </is>
      </c>
      <c r="G2707" t="inlineStr">
        <is>
          <t>FALKENBERG</t>
        </is>
      </c>
      <c r="I2707" t="n">
        <v>2.5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s="2" t="inlineStr"/>
    </row>
    <row r="2708" ht="15" customHeight="1">
      <c r="A2708" t="inlineStr">
        <is>
          <t>A 41778-2024</t>
        </is>
      </c>
      <c r="B2708" t="inlineStr">
        <is>
          <t>avverkningsanmälan</t>
        </is>
      </c>
      <c r="C2708" t="inlineStr">
        <is>
          <t>Föryngringsavverkning</t>
        </is>
      </c>
      <c r="D2708" s="1" t="n">
        <v>45561</v>
      </c>
      <c r="E2708" s="1" t="n">
        <v>46315</v>
      </c>
      <c r="F2708" t="inlineStr">
        <is>
          <t>HALLANDS LÄN</t>
        </is>
      </c>
      <c r="G2708" t="inlineStr">
        <is>
          <t>HALMSTAD</t>
        </is>
      </c>
      <c r="I2708" t="n">
        <v>1.6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s="2" t="inlineStr"/>
    </row>
    <row r="2709" ht="15" customHeight="1">
      <c r="A2709" t="inlineStr">
        <is>
          <t>A 31684-2025</t>
        </is>
      </c>
      <c r="B2709" t="inlineStr">
        <is>
          <t>avverkningsanmälan</t>
        </is>
      </c>
      <c r="C2709" t="inlineStr">
        <is>
          <t>Föryngringsavverkning</t>
        </is>
      </c>
      <c r="D2709" s="1" t="n">
        <v>45834</v>
      </c>
      <c r="E2709" s="1" t="n">
        <v>46315</v>
      </c>
      <c r="F2709" t="inlineStr">
        <is>
          <t>HALLANDS LÄN</t>
        </is>
      </c>
      <c r="G2709" t="inlineStr">
        <is>
          <t>FALKENBERG</t>
        </is>
      </c>
      <c r="I2709" t="n">
        <v>2.1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s="2" t="inlineStr"/>
    </row>
    <row r="2710" ht="15" customHeight="1">
      <c r="A2710" t="inlineStr">
        <is>
          <t>A 42616-2026</t>
        </is>
      </c>
      <c r="B2710" t="inlineStr">
        <is>
          <t>avverkningsanmälan</t>
        </is>
      </c>
      <c r="C2710" t="inlineStr">
        <is>
          <t>Föryngringsavverkning</t>
        </is>
      </c>
      <c r="D2710" s="1" t="n">
        <v>46309</v>
      </c>
      <c r="E2710" s="1" t="n">
        <v>46315</v>
      </c>
      <c r="F2710" t="inlineStr">
        <is>
          <t>HALLANDS LÄN</t>
        </is>
      </c>
      <c r="G2710" t="inlineStr">
        <is>
          <t>KUNGSBACKA</t>
        </is>
      </c>
      <c r="I2710" t="n">
        <v>5.9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s="2" t="inlineStr"/>
    </row>
    <row r="2711" ht="15" customHeight="1">
      <c r="A2711" t="inlineStr">
        <is>
          <t>A 50523-2024</t>
        </is>
      </c>
      <c r="B2711" t="inlineStr">
        <is>
          <t>avverkningsanmälan</t>
        </is>
      </c>
      <c r="C2711" t="inlineStr">
        <is>
          <t>Föryngringsavverkning</t>
        </is>
      </c>
      <c r="D2711" s="1" t="n">
        <v>45601</v>
      </c>
      <c r="E2711" s="1" t="n">
        <v>46315</v>
      </c>
      <c r="F2711" t="inlineStr">
        <is>
          <t>HALLANDS LÄN</t>
        </is>
      </c>
      <c r="G2711" t="inlineStr">
        <is>
          <t>HYLTE</t>
        </is>
      </c>
      <c r="I2711" t="n">
        <v>8.199999999999999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s="2" t="inlineStr"/>
    </row>
    <row r="2712" ht="15" customHeight="1">
      <c r="A2712" t="inlineStr">
        <is>
          <t>A 36282-2026</t>
        </is>
      </c>
      <c r="B2712" t="inlineStr">
        <is>
          <t>avverkningsanmälan</t>
        </is>
      </c>
      <c r="C2712" t="inlineStr">
        <is>
          <t>Föryngringsavverkning</t>
        </is>
      </c>
      <c r="D2712" s="1" t="n">
        <v>46268</v>
      </c>
      <c r="E2712" s="1" t="n">
        <v>46315</v>
      </c>
      <c r="F2712" t="inlineStr">
        <is>
          <t>HALLANDS LÄN</t>
        </is>
      </c>
      <c r="G2712" t="inlineStr">
        <is>
          <t>LAHOLM</t>
        </is>
      </c>
      <c r="I2712" t="n">
        <v>4.8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s="2" t="inlineStr"/>
    </row>
    <row r="2713" ht="15" customHeight="1">
      <c r="A2713" t="inlineStr">
        <is>
          <t>A 31690-2025</t>
        </is>
      </c>
      <c r="B2713" t="inlineStr">
        <is>
          <t>avverkningsanmälan</t>
        </is>
      </c>
      <c r="C2713" t="inlineStr">
        <is>
          <t>Föryngringsavverkning</t>
        </is>
      </c>
      <c r="D2713" s="1" t="n">
        <v>45834</v>
      </c>
      <c r="E2713" s="1" t="n">
        <v>46315</v>
      </c>
      <c r="F2713" t="inlineStr">
        <is>
          <t>HALLANDS LÄN</t>
        </is>
      </c>
      <c r="G2713" t="inlineStr">
        <is>
          <t>FALKENBERG</t>
        </is>
      </c>
      <c r="I2713" t="n">
        <v>8.300000000000001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s="2" t="inlineStr"/>
    </row>
    <row r="2714" ht="15" customHeight="1">
      <c r="A2714" t="inlineStr">
        <is>
          <t>A 36520-2026</t>
        </is>
      </c>
      <c r="B2714" t="inlineStr">
        <is>
          <t>avverkningsanmälan</t>
        </is>
      </c>
      <c r="C2714" t="inlineStr">
        <is>
          <t>Föryngringsavverkning</t>
        </is>
      </c>
      <c r="D2714" s="1" t="n">
        <v>46269</v>
      </c>
      <c r="E2714" s="1" t="n">
        <v>46315</v>
      </c>
      <c r="F2714" t="inlineStr">
        <is>
          <t>HALLANDS LÄN</t>
        </is>
      </c>
      <c r="G2714" t="inlineStr">
        <is>
          <t>LAHOLM</t>
        </is>
      </c>
      <c r="I2714" t="n">
        <v>3.6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s="2" t="inlineStr"/>
    </row>
    <row r="2715" ht="15" customHeight="1">
      <c r="A2715" t="inlineStr">
        <is>
          <t>A 43076-2026</t>
        </is>
      </c>
      <c r="B2715" t="inlineStr">
        <is>
          <t>avverkningsanmälan</t>
        </is>
      </c>
      <c r="C2715" t="inlineStr">
        <is>
          <t>Föryngringsavverkning</t>
        </is>
      </c>
      <c r="D2715" s="1" t="n">
        <v>46311</v>
      </c>
      <c r="E2715" s="1" t="n">
        <v>46315</v>
      </c>
      <c r="F2715" t="inlineStr">
        <is>
          <t>HALLANDS LÄN</t>
        </is>
      </c>
      <c r="G2715" t="inlineStr">
        <is>
          <t>LAHOLM</t>
        </is>
      </c>
      <c r="I2715" t="n">
        <v>1.3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s="2" t="inlineStr"/>
    </row>
    <row r="2716" ht="15" customHeight="1">
      <c r="A2716" t="inlineStr">
        <is>
          <t>A 36648-2026</t>
        </is>
      </c>
      <c r="B2716" t="inlineStr">
        <is>
          <t>avverkningsanmälan</t>
        </is>
      </c>
      <c r="C2716" t="inlineStr">
        <is>
          <t>Föryngringsavverkning</t>
        </is>
      </c>
      <c r="D2716" s="1" t="n">
        <v>46272</v>
      </c>
      <c r="E2716" s="1" t="n">
        <v>46315</v>
      </c>
      <c r="F2716" t="inlineStr">
        <is>
          <t>HALLANDS LÄN</t>
        </is>
      </c>
      <c r="G2716" t="inlineStr">
        <is>
          <t>HYLTE</t>
        </is>
      </c>
      <c r="I2716" t="n">
        <v>2.8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s="2" t="inlineStr"/>
    </row>
    <row r="2717" ht="15" customHeight="1">
      <c r="A2717" t="inlineStr">
        <is>
          <t>A 32623-2025</t>
        </is>
      </c>
      <c r="B2717" t="inlineStr">
        <is>
          <t>avverkningsanmälan</t>
        </is>
      </c>
      <c r="C2717" t="inlineStr">
        <is>
          <t>Föryngringsavverkning</t>
        </is>
      </c>
      <c r="D2717" s="1" t="n">
        <v>45838</v>
      </c>
      <c r="E2717" s="1" t="n">
        <v>46315</v>
      </c>
      <c r="F2717" t="inlineStr">
        <is>
          <t>HALLANDS LÄN</t>
        </is>
      </c>
      <c r="G2717" t="inlineStr">
        <is>
          <t>FALKENBERG</t>
        </is>
      </c>
      <c r="I2717" t="n">
        <v>2.6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s="2" t="inlineStr"/>
    </row>
    <row r="2718" ht="15" customHeight="1">
      <c r="A2718" t="inlineStr">
        <is>
          <t>A 32628-2025</t>
        </is>
      </c>
      <c r="B2718" t="inlineStr">
        <is>
          <t>avverkningsanmälan</t>
        </is>
      </c>
      <c r="C2718" t="inlineStr">
        <is>
          <t>Föryngringsavverkning</t>
        </is>
      </c>
      <c r="D2718" s="1" t="n">
        <v>45838</v>
      </c>
      <c r="E2718" s="1" t="n">
        <v>46315</v>
      </c>
      <c r="F2718" t="inlineStr">
        <is>
          <t>HALLANDS LÄN</t>
        </is>
      </c>
      <c r="G2718" t="inlineStr">
        <is>
          <t>FALKENBERG</t>
        </is>
      </c>
      <c r="I2718" t="n">
        <v>2.6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s="2" t="inlineStr"/>
    </row>
    <row r="2719" ht="15" customHeight="1">
      <c r="A2719" t="inlineStr">
        <is>
          <t>A 35602-2026</t>
        </is>
      </c>
      <c r="B2719" t="inlineStr">
        <is>
          <t>avverkningsanmälan</t>
        </is>
      </c>
      <c r="C2719" t="inlineStr">
        <is>
          <t>Föryngringsavverkning</t>
        </is>
      </c>
      <c r="D2719" s="1" t="n">
        <v>46263</v>
      </c>
      <c r="E2719" s="1" t="n">
        <v>46315</v>
      </c>
      <c r="F2719" t="inlineStr">
        <is>
          <t>HALLANDS LÄN</t>
        </is>
      </c>
      <c r="G2719" t="inlineStr">
        <is>
          <t>FALKENBERG</t>
        </is>
      </c>
      <c r="I2719" t="n">
        <v>1.6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s="2" t="inlineStr"/>
    </row>
    <row r="2720" ht="15" customHeight="1">
      <c r="A2720" t="inlineStr">
        <is>
          <t>A 36651-2026</t>
        </is>
      </c>
      <c r="B2720" t="inlineStr">
        <is>
          <t>avverkningsanmälan</t>
        </is>
      </c>
      <c r="C2720" t="inlineStr">
        <is>
          <t>Föryngringsavverkning</t>
        </is>
      </c>
      <c r="D2720" s="1" t="n">
        <v>46272</v>
      </c>
      <c r="E2720" s="1" t="n">
        <v>46315</v>
      </c>
      <c r="F2720" t="inlineStr">
        <is>
          <t>HALLANDS LÄN</t>
        </is>
      </c>
      <c r="G2720" t="inlineStr">
        <is>
          <t>FALKENBERG</t>
        </is>
      </c>
      <c r="I2720" t="n">
        <v>3.1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s="2" t="inlineStr"/>
    </row>
    <row r="2721" ht="15" customHeight="1">
      <c r="A2721" t="inlineStr">
        <is>
          <t>A 32257-2025</t>
        </is>
      </c>
      <c r="B2721" t="inlineStr">
        <is>
          <t>avverkningsanmälan</t>
        </is>
      </c>
      <c r="C2721" t="inlineStr">
        <is>
          <t>Föryngringsavverkning</t>
        </is>
      </c>
      <c r="D2721" s="1" t="n">
        <v>45835</v>
      </c>
      <c r="E2721" s="1" t="n">
        <v>46315</v>
      </c>
      <c r="F2721" t="inlineStr">
        <is>
          <t>HALLANDS LÄN</t>
        </is>
      </c>
      <c r="G2721" t="inlineStr">
        <is>
          <t>HYLTE</t>
        </is>
      </c>
      <c r="I2721" t="n">
        <v>0.9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s="2" t="inlineStr"/>
    </row>
    <row r="2722" ht="15" customHeight="1">
      <c r="A2722" t="inlineStr">
        <is>
          <t>A 32519-2025</t>
        </is>
      </c>
      <c r="B2722" t="inlineStr">
        <is>
          <t>avverkningsanmälan</t>
        </is>
      </c>
      <c r="C2722" t="inlineStr">
        <is>
          <t>Föryngringsavverkning</t>
        </is>
      </c>
      <c r="D2722" s="1" t="n">
        <v>45838</v>
      </c>
      <c r="E2722" s="1" t="n">
        <v>46315</v>
      </c>
      <c r="F2722" t="inlineStr">
        <is>
          <t>HALLANDS LÄN</t>
        </is>
      </c>
      <c r="G2722" t="inlineStr">
        <is>
          <t>FALKENBERG</t>
        </is>
      </c>
      <c r="I2722" t="n">
        <v>0.6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s="2" t="inlineStr"/>
    </row>
    <row r="2723" ht="15" customHeight="1">
      <c r="A2723" t="inlineStr">
        <is>
          <t>A 32334-2025</t>
        </is>
      </c>
      <c r="B2723" t="inlineStr">
        <is>
          <t>avverkningsanmälan</t>
        </is>
      </c>
      <c r="C2723" t="inlineStr">
        <is>
          <t>Föryngringsavverkning</t>
        </is>
      </c>
      <c r="D2723" s="1" t="n">
        <v>45836</v>
      </c>
      <c r="E2723" s="1" t="n">
        <v>46315</v>
      </c>
      <c r="F2723" t="inlineStr">
        <is>
          <t>HALLANDS LÄN</t>
        </is>
      </c>
      <c r="G2723" t="inlineStr">
        <is>
          <t>HYLTE</t>
        </is>
      </c>
      <c r="I2723" t="n">
        <v>1.2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s="2" t="inlineStr"/>
    </row>
    <row r="2724" ht="15" customHeight="1">
      <c r="A2724" t="inlineStr">
        <is>
          <t>A 36320-2026</t>
        </is>
      </c>
      <c r="B2724" t="inlineStr">
        <is>
          <t>avverkningsanmälan</t>
        </is>
      </c>
      <c r="C2724" t="inlineStr">
        <is>
          <t>Föryngringsavverkning</t>
        </is>
      </c>
      <c r="D2724" s="1" t="n">
        <v>46268</v>
      </c>
      <c r="E2724" s="1" t="n">
        <v>46315</v>
      </c>
      <c r="F2724" t="inlineStr">
        <is>
          <t>HALLANDS LÄN</t>
        </is>
      </c>
      <c r="G2724" t="inlineStr">
        <is>
          <t>HYLTE</t>
        </is>
      </c>
      <c r="I2724" t="n">
        <v>4.7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s="2" t="inlineStr"/>
    </row>
    <row r="2725" ht="15" customHeight="1">
      <c r="A2725" t="inlineStr">
        <is>
          <t>A 32398-2025</t>
        </is>
      </c>
      <c r="B2725" t="inlineStr">
        <is>
          <t>avverkningsanmälan</t>
        </is>
      </c>
      <c r="C2725" t="inlineStr">
        <is>
          <t>Föryngringsavverkning</t>
        </is>
      </c>
      <c r="D2725" s="1" t="n">
        <v>45838</v>
      </c>
      <c r="E2725" s="1" t="n">
        <v>46315</v>
      </c>
      <c r="F2725" t="inlineStr">
        <is>
          <t>HALLANDS LÄN</t>
        </is>
      </c>
      <c r="G2725" t="inlineStr">
        <is>
          <t>FALKENBERG</t>
        </is>
      </c>
      <c r="I2725" t="n">
        <v>5.2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s="2" t="inlineStr"/>
    </row>
    <row r="2726" ht="15" customHeight="1">
      <c r="A2726" t="inlineStr">
        <is>
          <t>A 42027-2026</t>
        </is>
      </c>
      <c r="B2726" t="inlineStr">
        <is>
          <t>avverkningsanmälan</t>
        </is>
      </c>
      <c r="C2726" t="inlineStr">
        <is>
          <t>Föryngringsavverkning</t>
        </is>
      </c>
      <c r="D2726" s="1" t="n">
        <v>46304</v>
      </c>
      <c r="E2726" s="1" t="n">
        <v>46315</v>
      </c>
      <c r="F2726" t="inlineStr">
        <is>
          <t>HALLANDS LÄN</t>
        </is>
      </c>
      <c r="G2726" t="inlineStr">
        <is>
          <t>FALKENBERG</t>
        </is>
      </c>
      <c r="I2726" t="n">
        <v>3.8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s="2" t="inlineStr"/>
    </row>
    <row r="2727" ht="15" customHeight="1">
      <c r="A2727" t="inlineStr">
        <is>
          <t>A 32457-2025</t>
        </is>
      </c>
      <c r="B2727" t="inlineStr">
        <is>
          <t>avverkningsanmälan</t>
        </is>
      </c>
      <c r="C2727" t="inlineStr">
        <is>
          <t>Föryngringsavverkning</t>
        </is>
      </c>
      <c r="D2727" s="1" t="n">
        <v>45838</v>
      </c>
      <c r="E2727" s="1" t="n">
        <v>46315</v>
      </c>
      <c r="F2727" t="inlineStr">
        <is>
          <t>HALLANDS LÄN</t>
        </is>
      </c>
      <c r="G2727" t="inlineStr">
        <is>
          <t>HYLTE</t>
        </is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s="2" t="inlineStr"/>
    </row>
    <row r="2728" ht="15" customHeight="1">
      <c r="A2728" t="inlineStr">
        <is>
          <t>A 33233-2025</t>
        </is>
      </c>
      <c r="B2728" t="inlineStr">
        <is>
          <t>avverkningsanmälan</t>
        </is>
      </c>
      <c r="C2728" t="inlineStr">
        <is>
          <t>Avverkning för att bevara och utveckla /försöksver</t>
        </is>
      </c>
      <c r="D2728" s="1" t="n">
        <v>45840</v>
      </c>
      <c r="E2728" s="1" t="n">
        <v>46315</v>
      </c>
      <c r="F2728" t="inlineStr">
        <is>
          <t>HALLANDS LÄN</t>
        </is>
      </c>
      <c r="G2728" t="inlineStr">
        <is>
          <t>HYLTE</t>
        </is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s="2" t="inlineStr"/>
    </row>
    <row r="2729" ht="15" customHeight="1">
      <c r="A2729" t="inlineStr">
        <is>
          <t>A 33207-2025</t>
        </is>
      </c>
      <c r="B2729" t="inlineStr">
        <is>
          <t>avverkningsanmälan</t>
        </is>
      </c>
      <c r="C2729" t="inlineStr">
        <is>
          <t>Föryngringsavverkning</t>
        </is>
      </c>
      <c r="D2729" s="1" t="n">
        <v>45840</v>
      </c>
      <c r="E2729" s="1" t="n">
        <v>46315</v>
      </c>
      <c r="F2729" t="inlineStr">
        <is>
          <t>HALLANDS LÄN</t>
        </is>
      </c>
      <c r="G2729" t="inlineStr">
        <is>
          <t>HYLTE</t>
        </is>
      </c>
      <c r="I2729" t="n">
        <v>0.6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s="2" t="inlineStr"/>
    </row>
    <row r="2730" ht="15" customHeight="1">
      <c r="A2730" t="inlineStr">
        <is>
          <t>A 32399-2025</t>
        </is>
      </c>
      <c r="B2730" t="inlineStr">
        <is>
          <t>avverkningsanmälan</t>
        </is>
      </c>
      <c r="C2730" t="inlineStr">
        <is>
          <t>Föryngringsavverkning</t>
        </is>
      </c>
      <c r="D2730" s="1" t="n">
        <v>45838</v>
      </c>
      <c r="E2730" s="1" t="n">
        <v>46315</v>
      </c>
      <c r="F2730" t="inlineStr">
        <is>
          <t>HALLANDS LÄN</t>
        </is>
      </c>
      <c r="G2730" t="inlineStr">
        <is>
          <t>FALKENBERG</t>
        </is>
      </c>
      <c r="I2730" t="n">
        <v>0.9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s="2" t="inlineStr"/>
    </row>
    <row r="2731" ht="15" customHeight="1">
      <c r="A2731" t="inlineStr">
        <is>
          <t>A 33240-2025</t>
        </is>
      </c>
      <c r="B2731" t="inlineStr">
        <is>
          <t>avverkningsanmälan</t>
        </is>
      </c>
      <c r="C2731" t="inlineStr">
        <is>
          <t>Avverkning för att bevara och utveckla /försöksver</t>
        </is>
      </c>
      <c r="D2731" s="1" t="n">
        <v>45840</v>
      </c>
      <c r="E2731" s="1" t="n">
        <v>46315</v>
      </c>
      <c r="F2731" t="inlineStr">
        <is>
          <t>HALLANDS LÄN</t>
        </is>
      </c>
      <c r="G2731" t="inlineStr">
        <is>
          <t>HYLTE</t>
        </is>
      </c>
      <c r="I2731" t="n">
        <v>0.6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s="2" t="inlineStr"/>
    </row>
    <row r="2732" ht="15" customHeight="1">
      <c r="A2732" t="inlineStr">
        <is>
          <t>A 43157-2026</t>
        </is>
      </c>
      <c r="B2732" t="inlineStr">
        <is>
          <t>avverkningsanmälan</t>
        </is>
      </c>
      <c r="C2732" t="inlineStr">
        <is>
          <t>Föryngringsavverkning</t>
        </is>
      </c>
      <c r="D2732" s="1" t="n">
        <v>46311</v>
      </c>
      <c r="E2732" s="1" t="n">
        <v>46315</v>
      </c>
      <c r="F2732" t="inlineStr">
        <is>
          <t>HALLANDS LÄN</t>
        </is>
      </c>
      <c r="G2732" t="inlineStr">
        <is>
          <t>LAHOLM</t>
        </is>
      </c>
      <c r="I2732" t="n">
        <v>1.3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s="2" t="inlineStr"/>
    </row>
    <row r="2733" ht="15" customHeight="1">
      <c r="A2733" t="inlineStr">
        <is>
          <t>A 36295-2026</t>
        </is>
      </c>
      <c r="B2733" t="inlineStr">
        <is>
          <t>avverkningsanmälan</t>
        </is>
      </c>
      <c r="C2733" t="inlineStr">
        <is>
          <t>Föryngringsavverkning</t>
        </is>
      </c>
      <c r="D2733" s="1" t="n">
        <v>46268</v>
      </c>
      <c r="E2733" s="1" t="n">
        <v>46315</v>
      </c>
      <c r="F2733" t="inlineStr">
        <is>
          <t>HALLANDS LÄN</t>
        </is>
      </c>
      <c r="G2733" t="inlineStr">
        <is>
          <t>HYLTE</t>
        </is>
      </c>
      <c r="I2733" t="n">
        <v>5.3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s="2" t="inlineStr"/>
    </row>
    <row r="2734" ht="15" customHeight="1">
      <c r="A2734" t="inlineStr">
        <is>
          <t>A 36425-2026</t>
        </is>
      </c>
      <c r="B2734" t="inlineStr">
        <is>
          <t>avverkningsanmälan</t>
        </is>
      </c>
      <c r="C2734" t="inlineStr">
        <is>
          <t>Avverkning för annat ändamål</t>
        </is>
      </c>
      <c r="D2734" s="1" t="n">
        <v>46269</v>
      </c>
      <c r="E2734" s="1" t="n">
        <v>46315</v>
      </c>
      <c r="F2734" t="inlineStr">
        <is>
          <t>HALLANDS LÄN</t>
        </is>
      </c>
      <c r="G2734" t="inlineStr">
        <is>
          <t>VARBERG</t>
        </is>
      </c>
      <c r="I2734" t="n">
        <v>2.1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s="2" t="inlineStr"/>
    </row>
    <row r="2735" ht="15" customHeight="1">
      <c r="A2735" t="inlineStr">
        <is>
          <t>A 32894-2025</t>
        </is>
      </c>
      <c r="B2735" t="inlineStr">
        <is>
          <t>avverkningsanmälan</t>
        </is>
      </c>
      <c r="C2735" t="inlineStr">
        <is>
          <t>Föryngringsavverkning</t>
        </is>
      </c>
      <c r="D2735" s="1" t="n">
        <v>45839</v>
      </c>
      <c r="E2735" s="1" t="n">
        <v>46315</v>
      </c>
      <c r="F2735" t="inlineStr">
        <is>
          <t>HALLANDS LÄN</t>
        </is>
      </c>
      <c r="G2735" t="inlineStr">
        <is>
          <t>KUNGSBACKA</t>
        </is>
      </c>
      <c r="I2735" t="n">
        <v>2.7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s="2" t="inlineStr"/>
    </row>
    <row r="2736" ht="15" customHeight="1">
      <c r="A2736" t="inlineStr">
        <is>
          <t>A 32978-2025</t>
        </is>
      </c>
      <c r="B2736" t="inlineStr">
        <is>
          <t>avverkningsanmälan</t>
        </is>
      </c>
      <c r="C2736" t="inlineStr">
        <is>
          <t>Föryngringsavverkning</t>
        </is>
      </c>
      <c r="D2736" s="1" t="n">
        <v>45839</v>
      </c>
      <c r="E2736" s="1" t="n">
        <v>46315</v>
      </c>
      <c r="F2736" t="inlineStr">
        <is>
          <t>HALLANDS LÄN</t>
        </is>
      </c>
      <c r="G2736" t="inlineStr">
        <is>
          <t>VARBERG</t>
        </is>
      </c>
      <c r="I2736" t="n">
        <v>6.2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s="2" t="inlineStr"/>
    </row>
    <row r="2737" ht="15" customHeight="1">
      <c r="A2737" t="inlineStr">
        <is>
          <t>A 32979-2025</t>
        </is>
      </c>
      <c r="B2737" t="inlineStr">
        <is>
          <t>avverkningsanmälan</t>
        </is>
      </c>
      <c r="C2737" t="inlineStr">
        <is>
          <t>Föryngringsavverkning</t>
        </is>
      </c>
      <c r="D2737" s="1" t="n">
        <v>45839</v>
      </c>
      <c r="E2737" s="1" t="n">
        <v>46315</v>
      </c>
      <c r="F2737" t="inlineStr">
        <is>
          <t>HALLANDS LÄN</t>
        </is>
      </c>
      <c r="G2737" t="inlineStr">
        <is>
          <t>VARBERG</t>
        </is>
      </c>
      <c r="I2737" t="n">
        <v>0.7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s="2" t="inlineStr"/>
    </row>
    <row r="2738" ht="15" customHeight="1">
      <c r="A2738" t="inlineStr">
        <is>
          <t>A 43114-2026</t>
        </is>
      </c>
      <c r="B2738" t="inlineStr">
        <is>
          <t>avverkningsanmälan</t>
        </is>
      </c>
      <c r="C2738" t="inlineStr">
        <is>
          <t>Föryngringsavverkning</t>
        </is>
      </c>
      <c r="D2738" s="1" t="n">
        <v>46311</v>
      </c>
      <c r="E2738" s="1" t="n">
        <v>46315</v>
      </c>
      <c r="F2738" t="inlineStr">
        <is>
          <t>HALLANDS LÄN</t>
        </is>
      </c>
      <c r="G2738" t="inlineStr">
        <is>
          <t>HALMSTAD</t>
        </is>
      </c>
      <c r="I2738" t="n">
        <v>2.2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s="2" t="inlineStr"/>
    </row>
    <row r="2739" ht="15" customHeight="1">
      <c r="A2739" t="inlineStr">
        <is>
          <t>A 33688-2025</t>
        </is>
      </c>
      <c r="B2739" t="inlineStr">
        <is>
          <t>avverkningsanmälan</t>
        </is>
      </c>
      <c r="C2739" t="inlineStr">
        <is>
          <t>Föryngringsavverkning</t>
        </is>
      </c>
      <c r="D2739" s="1" t="n">
        <v>45841</v>
      </c>
      <c r="E2739" s="1" t="n">
        <v>46315</v>
      </c>
      <c r="F2739" t="inlineStr">
        <is>
          <t>HALLANDS LÄN</t>
        </is>
      </c>
      <c r="G2739" t="inlineStr">
        <is>
          <t>HALMSTAD</t>
        </is>
      </c>
      <c r="I2739" t="n">
        <v>3.1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s="2" t="inlineStr"/>
    </row>
    <row r="2740" ht="15" customHeight="1">
      <c r="A2740" t="inlineStr">
        <is>
          <t>A 33798-2025</t>
        </is>
      </c>
      <c r="B2740" t="inlineStr">
        <is>
          <t>avverkningsanmälan</t>
        </is>
      </c>
      <c r="C2740" t="inlineStr">
        <is>
          <t>Föryngringsavverkning</t>
        </is>
      </c>
      <c r="D2740" s="1" t="n">
        <v>45842</v>
      </c>
      <c r="E2740" s="1" t="n">
        <v>46315</v>
      </c>
      <c r="F2740" t="inlineStr">
        <is>
          <t>HALLANDS LÄN</t>
        </is>
      </c>
      <c r="G2740" t="inlineStr">
        <is>
          <t>LAHOLM</t>
        </is>
      </c>
      <c r="I2740" t="n">
        <v>5.1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s="2" t="inlineStr"/>
    </row>
    <row r="2741" ht="15" customHeight="1">
      <c r="A2741" t="inlineStr">
        <is>
          <t>A 33802-2025</t>
        </is>
      </c>
      <c r="B2741" t="inlineStr">
        <is>
          <t>avverkningsanmälan</t>
        </is>
      </c>
      <c r="C2741" t="inlineStr">
        <is>
          <t>Föryngringsavverkning</t>
        </is>
      </c>
      <c r="D2741" s="1" t="n">
        <v>45842</v>
      </c>
      <c r="E2741" s="1" t="n">
        <v>46315</v>
      </c>
      <c r="F2741" t="inlineStr">
        <is>
          <t>HALLANDS LÄN</t>
        </is>
      </c>
      <c r="G2741" t="inlineStr">
        <is>
          <t>LAHOLM</t>
        </is>
      </c>
      <c r="I2741" t="n">
        <v>0.8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s="2" t="inlineStr"/>
    </row>
    <row r="2742" ht="15" customHeight="1">
      <c r="A2742" t="inlineStr">
        <is>
          <t>A 33686-2025</t>
        </is>
      </c>
      <c r="B2742" t="inlineStr">
        <is>
          <t>avverkningsanmälan</t>
        </is>
      </c>
      <c r="C2742" t="inlineStr">
        <is>
          <t>Föryngringsavverkning</t>
        </is>
      </c>
      <c r="D2742" s="1" t="n">
        <v>45841</v>
      </c>
      <c r="E2742" s="1" t="n">
        <v>46315</v>
      </c>
      <c r="F2742" t="inlineStr">
        <is>
          <t>HALLANDS LÄN</t>
        </is>
      </c>
      <c r="G2742" t="inlineStr">
        <is>
          <t>HALMSTAD</t>
        </is>
      </c>
      <c r="I2742" t="n">
        <v>1.1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s="2" t="inlineStr"/>
    </row>
    <row r="2743" ht="15" customHeight="1">
      <c r="A2743" t="inlineStr">
        <is>
          <t>A 236-2026</t>
        </is>
      </c>
      <c r="B2743" t="inlineStr">
        <is>
          <t>avverkningsanmälan</t>
        </is>
      </c>
      <c r="C2743" t="inlineStr">
        <is>
          <t>Föryngringsavverkning</t>
        </is>
      </c>
      <c r="D2743" s="1" t="n">
        <v>46027</v>
      </c>
      <c r="E2743" s="1" t="n">
        <v>46315</v>
      </c>
      <c r="F2743" t="inlineStr">
        <is>
          <t>HALLANDS LÄN</t>
        </is>
      </c>
      <c r="G2743" t="inlineStr">
        <is>
          <t>HALMSTAD</t>
        </is>
      </c>
      <c r="I2743" t="n">
        <v>1.6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s="2" t="inlineStr"/>
    </row>
    <row r="2744" ht="15" customHeight="1">
      <c r="A2744" t="inlineStr">
        <is>
          <t>A 36646-2026</t>
        </is>
      </c>
      <c r="B2744" t="inlineStr">
        <is>
          <t>avverkningsanmälan</t>
        </is>
      </c>
      <c r="C2744" t="inlineStr">
        <is>
          <t>Föryngringsavverkning</t>
        </is>
      </c>
      <c r="D2744" s="1" t="n">
        <v>46272</v>
      </c>
      <c r="E2744" s="1" t="n">
        <v>46315</v>
      </c>
      <c r="F2744" t="inlineStr">
        <is>
          <t>HALLANDS LÄN</t>
        </is>
      </c>
      <c r="G2744" t="inlineStr">
        <is>
          <t>FALKENBERG</t>
        </is>
      </c>
      <c r="I2744" t="n">
        <v>3.8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s="2" t="inlineStr"/>
    </row>
    <row r="2745" ht="15" customHeight="1">
      <c r="A2745" t="inlineStr">
        <is>
          <t>A 36423-2026</t>
        </is>
      </c>
      <c r="B2745" t="inlineStr">
        <is>
          <t>avverkningsanmälan</t>
        </is>
      </c>
      <c r="C2745" t="inlineStr">
        <is>
          <t>Avverkning för annat ändamål</t>
        </is>
      </c>
      <c r="D2745" s="1" t="n">
        <v>46269</v>
      </c>
      <c r="E2745" s="1" t="n">
        <v>46315</v>
      </c>
      <c r="F2745" t="inlineStr">
        <is>
          <t>HALLANDS LÄN</t>
        </is>
      </c>
      <c r="G2745" t="inlineStr">
        <is>
          <t>VARBERG</t>
        </is>
      </c>
      <c r="I2745" t="n">
        <v>1.5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s="2" t="inlineStr"/>
    </row>
    <row r="2746" ht="15" customHeight="1">
      <c r="A2746" t="inlineStr">
        <is>
          <t>A 629-2024</t>
        </is>
      </c>
      <c r="B2746" t="inlineStr">
        <is>
          <t>avverkningsanmälan</t>
        </is>
      </c>
      <c r="C2746" t="inlineStr">
        <is>
          <t>Föryngringsavverkning</t>
        </is>
      </c>
      <c r="D2746" s="1" t="n">
        <v>45299</v>
      </c>
      <c r="E2746" s="1" t="n">
        <v>46315</v>
      </c>
      <c r="F2746" t="inlineStr">
        <is>
          <t>HALLANDS LÄN</t>
        </is>
      </c>
      <c r="G2746" t="inlineStr">
        <is>
          <t>LAHOLM</t>
        </is>
      </c>
      <c r="I2746" t="n">
        <v>6.8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s="2" t="inlineStr"/>
    </row>
    <row r="2747" ht="15" customHeight="1">
      <c r="A2747" t="inlineStr">
        <is>
          <t>A 19837-2025</t>
        </is>
      </c>
      <c r="B2747" t="inlineStr">
        <is>
          <t>avverkningsanmälan</t>
        </is>
      </c>
      <c r="C2747" t="inlineStr">
        <is>
          <t>Föryngringsavverkning</t>
        </is>
      </c>
      <c r="D2747" s="1" t="n">
        <v>45771</v>
      </c>
      <c r="E2747" s="1" t="n">
        <v>46315</v>
      </c>
      <c r="F2747" t="inlineStr">
        <is>
          <t>HALLANDS LÄN</t>
        </is>
      </c>
      <c r="G2747" t="inlineStr">
        <is>
          <t>VARBERG</t>
        </is>
      </c>
      <c r="I2747" t="n">
        <v>4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s="2" t="inlineStr"/>
    </row>
    <row r="2748" ht="15" customHeight="1">
      <c r="A2748" t="inlineStr">
        <is>
          <t>A 34360-2025</t>
        </is>
      </c>
      <c r="B2748" t="inlineStr">
        <is>
          <t>avverkningsanmälan</t>
        </is>
      </c>
      <c r="C2748" t="inlineStr">
        <is>
          <t>Föryngringsavverkning</t>
        </is>
      </c>
      <c r="D2748" s="1" t="n">
        <v>45846</v>
      </c>
      <c r="E2748" s="1" t="n">
        <v>46315</v>
      </c>
      <c r="F2748" t="inlineStr">
        <is>
          <t>HALLANDS LÄN</t>
        </is>
      </c>
      <c r="G2748" t="inlineStr">
        <is>
          <t>KUNGSBACKA</t>
        </is>
      </c>
      <c r="I2748" t="n">
        <v>1.3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s="2" t="inlineStr"/>
    </row>
    <row r="2749" ht="15" customHeight="1">
      <c r="A2749" t="inlineStr">
        <is>
          <t>A 36407-2026</t>
        </is>
      </c>
      <c r="B2749" t="inlineStr">
        <is>
          <t>avverkningsanmälan</t>
        </is>
      </c>
      <c r="C2749" t="inlineStr">
        <is>
          <t>Föryngringsavverkning</t>
        </is>
      </c>
      <c r="D2749" s="1" t="n">
        <v>46268</v>
      </c>
      <c r="E2749" s="1" t="n">
        <v>46315</v>
      </c>
      <c r="F2749" t="inlineStr">
        <is>
          <t>HALLANDS LÄN</t>
        </is>
      </c>
      <c r="G2749" t="inlineStr">
        <is>
          <t>VARBERG</t>
        </is>
      </c>
      <c r="I2749" t="n">
        <v>0.4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s="2" t="inlineStr"/>
    </row>
    <row r="2750" ht="15" customHeight="1">
      <c r="A2750" t="inlineStr">
        <is>
          <t>A 36424-2026</t>
        </is>
      </c>
      <c r="B2750" t="inlineStr">
        <is>
          <t>avverkningsanmälan</t>
        </is>
      </c>
      <c r="C2750" t="inlineStr">
        <is>
          <t>Avverkning för annat ändamål</t>
        </is>
      </c>
      <c r="D2750" s="1" t="n">
        <v>46269</v>
      </c>
      <c r="E2750" s="1" t="n">
        <v>46315</v>
      </c>
      <c r="F2750" t="inlineStr">
        <is>
          <t>HALLANDS LÄN</t>
        </is>
      </c>
      <c r="G2750" t="inlineStr">
        <is>
          <t>VARBERG</t>
        </is>
      </c>
      <c r="I2750" t="n">
        <v>1.5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s="2" t="inlineStr"/>
    </row>
    <row r="2751" ht="15" customHeight="1">
      <c r="A2751" t="inlineStr">
        <is>
          <t>A 33997-2025</t>
        </is>
      </c>
      <c r="B2751" t="inlineStr">
        <is>
          <t>avverkningsanmälan</t>
        </is>
      </c>
      <c r="C2751" t="inlineStr">
        <is>
          <t>Föryngringsavverkning</t>
        </is>
      </c>
      <c r="D2751" s="1" t="n">
        <v>45843</v>
      </c>
      <c r="E2751" s="1" t="n">
        <v>46315</v>
      </c>
      <c r="F2751" t="inlineStr">
        <is>
          <t>HALLANDS LÄN</t>
        </is>
      </c>
      <c r="G2751" t="inlineStr">
        <is>
          <t>LAHOLM</t>
        </is>
      </c>
      <c r="I2751" t="n">
        <v>1.7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s="2" t="inlineStr"/>
    </row>
    <row r="2752" ht="15" customHeight="1">
      <c r="A2752" t="inlineStr">
        <is>
          <t>A 34272-2025</t>
        </is>
      </c>
      <c r="B2752" t="inlineStr">
        <is>
          <t>avverkningsanmälan</t>
        </is>
      </c>
      <c r="C2752" t="inlineStr">
        <is>
          <t>Föryngringsavverkning</t>
        </is>
      </c>
      <c r="D2752" s="1" t="n">
        <v>45845</v>
      </c>
      <c r="E2752" s="1" t="n">
        <v>46315</v>
      </c>
      <c r="F2752" t="inlineStr">
        <is>
          <t>HALLANDS LÄN</t>
        </is>
      </c>
      <c r="G2752" t="inlineStr">
        <is>
          <t>HYLTE</t>
        </is>
      </c>
      <c r="I2752" t="n">
        <v>0.8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s="2" t="inlineStr"/>
    </row>
    <row r="2753" ht="15" customHeight="1">
      <c r="A2753" t="inlineStr">
        <is>
          <t>A 34271-2025</t>
        </is>
      </c>
      <c r="B2753" t="inlineStr">
        <is>
          <t>avverkningsanmälan</t>
        </is>
      </c>
      <c r="C2753" t="inlineStr">
        <is>
          <t>Föryngringsavverkning</t>
        </is>
      </c>
      <c r="D2753" s="1" t="n">
        <v>45845</v>
      </c>
      <c r="E2753" s="1" t="n">
        <v>46315</v>
      </c>
      <c r="F2753" t="inlineStr">
        <is>
          <t>HALLANDS LÄN</t>
        </is>
      </c>
      <c r="G2753" t="inlineStr">
        <is>
          <t>HYLTE</t>
        </is>
      </c>
      <c r="I2753" t="n">
        <v>0.5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s="2" t="inlineStr"/>
    </row>
    <row r="2754" ht="15" customHeight="1">
      <c r="A2754" t="inlineStr">
        <is>
          <t>A 25167-2025</t>
        </is>
      </c>
      <c r="B2754" t="inlineStr">
        <is>
          <t>avverkningsanmälan</t>
        </is>
      </c>
      <c r="C2754" t="inlineStr">
        <is>
          <t>Föryngringsavverkning</t>
        </is>
      </c>
      <c r="D2754" s="1" t="n">
        <v>45800</v>
      </c>
      <c r="E2754" s="1" t="n">
        <v>46315</v>
      </c>
      <c r="F2754" t="inlineStr">
        <is>
          <t>HALLANDS LÄN</t>
        </is>
      </c>
      <c r="G2754" t="inlineStr">
        <is>
          <t>HYLTE</t>
        </is>
      </c>
      <c r="I2754" t="n">
        <v>1.8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s="2" t="inlineStr"/>
    </row>
    <row r="2755" ht="15" customHeight="1">
      <c r="A2755" t="inlineStr">
        <is>
          <t>A 34407-2025</t>
        </is>
      </c>
      <c r="B2755" t="inlineStr">
        <is>
          <t>avverkningsanmälan</t>
        </is>
      </c>
      <c r="C2755" t="inlineStr">
        <is>
          <t>Föryngringsavverkning</t>
        </is>
      </c>
      <c r="D2755" s="1" t="n">
        <v>45846</v>
      </c>
      <c r="E2755" s="1" t="n">
        <v>46315</v>
      </c>
      <c r="F2755" t="inlineStr">
        <is>
          <t>HALLANDS LÄN</t>
        </is>
      </c>
      <c r="G2755" t="inlineStr">
        <is>
          <t>KUNGSBACKA</t>
        </is>
      </c>
      <c r="I2755" t="n">
        <v>1.8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s="2" t="inlineStr"/>
    </row>
    <row r="2756" ht="15" customHeight="1">
      <c r="A2756" t="inlineStr">
        <is>
          <t>A 34364-2025</t>
        </is>
      </c>
      <c r="B2756" t="inlineStr">
        <is>
          <t>avverkningsanmälan</t>
        </is>
      </c>
      <c r="C2756" t="inlineStr">
        <is>
          <t>Föryngringsavverkning</t>
        </is>
      </c>
      <c r="D2756" s="1" t="n">
        <v>45846</v>
      </c>
      <c r="E2756" s="1" t="n">
        <v>46315</v>
      </c>
      <c r="F2756" t="inlineStr">
        <is>
          <t>HALLANDS LÄN</t>
        </is>
      </c>
      <c r="G2756" t="inlineStr">
        <is>
          <t>HALMSTAD</t>
        </is>
      </c>
      <c r="I2756" t="n">
        <v>0.8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s="2" t="inlineStr"/>
    </row>
    <row r="2757" ht="15" customHeight="1">
      <c r="A2757" t="inlineStr">
        <is>
          <t>A 9807-2023</t>
        </is>
      </c>
      <c r="B2757" t="inlineStr">
        <is>
          <t>avverkningsanmälan</t>
        </is>
      </c>
      <c r="C2757" t="inlineStr">
        <is>
          <t>Föryngringsavverkning</t>
        </is>
      </c>
      <c r="D2757" s="1" t="n">
        <v>44984</v>
      </c>
      <c r="E2757" s="1" t="n">
        <v>46315</v>
      </c>
      <c r="F2757" t="inlineStr">
        <is>
          <t>HALLANDS LÄN</t>
        </is>
      </c>
      <c r="G2757" t="inlineStr">
        <is>
          <t>FALKENBERG</t>
        </is>
      </c>
      <c r="I2757" t="n">
        <v>2.5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s="2" t="inlineStr"/>
    </row>
    <row r="2758" ht="15" customHeight="1">
      <c r="A2758" t="inlineStr">
        <is>
          <t>A 34246-2025</t>
        </is>
      </c>
      <c r="B2758" t="inlineStr">
        <is>
          <t>avverkningsanmälan</t>
        </is>
      </c>
      <c r="C2758" t="inlineStr">
        <is>
          <t>Föryngringsavverkning</t>
        </is>
      </c>
      <c r="D2758" s="1" t="n">
        <v>45845</v>
      </c>
      <c r="E2758" s="1" t="n">
        <v>46315</v>
      </c>
      <c r="F2758" t="inlineStr">
        <is>
          <t>HALLANDS LÄN</t>
        </is>
      </c>
      <c r="G2758" t="inlineStr">
        <is>
          <t>FALKENBERG</t>
        </is>
      </c>
      <c r="I2758" t="n">
        <v>2.9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s="2" t="inlineStr"/>
    </row>
    <row r="2759" ht="15" customHeight="1">
      <c r="A2759" t="inlineStr">
        <is>
          <t>A 34555-2025</t>
        </is>
      </c>
      <c r="B2759" t="inlineStr">
        <is>
          <t>avverkningsanmälan</t>
        </is>
      </c>
      <c r="C2759" t="inlineStr">
        <is>
          <t>Föryngringsavverkning</t>
        </is>
      </c>
      <c r="D2759" s="1" t="n">
        <v>45846</v>
      </c>
      <c r="E2759" s="1" t="n">
        <v>46315</v>
      </c>
      <c r="F2759" t="inlineStr">
        <is>
          <t>HALLANDS LÄN</t>
        </is>
      </c>
      <c r="G2759" t="inlineStr">
        <is>
          <t>HYLTE</t>
        </is>
      </c>
      <c r="H2759" t="inlineStr">
        <is>
          <t>Kyrkan</t>
        </is>
      </c>
      <c r="I2759" t="n">
        <v>2.4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s="2" t="inlineStr"/>
    </row>
    <row r="2760" ht="15" customHeight="1">
      <c r="A2760" t="inlineStr">
        <is>
          <t>A 34550-2025</t>
        </is>
      </c>
      <c r="B2760" t="inlineStr">
        <is>
          <t>avverkningsanmälan</t>
        </is>
      </c>
      <c r="C2760" t="inlineStr">
        <is>
          <t>Föryngringsavverkning</t>
        </is>
      </c>
      <c r="D2760" s="1" t="n">
        <v>45846</v>
      </c>
      <c r="E2760" s="1" t="n">
        <v>46315</v>
      </c>
      <c r="F2760" t="inlineStr">
        <is>
          <t>HALLANDS LÄN</t>
        </is>
      </c>
      <c r="G2760" t="inlineStr">
        <is>
          <t>HYLTE</t>
        </is>
      </c>
      <c r="H2760" t="inlineStr">
        <is>
          <t>Kyrkan</t>
        </is>
      </c>
      <c r="I2760" t="n">
        <v>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s="2" t="inlineStr"/>
    </row>
    <row r="2761" ht="15" customHeight="1">
      <c r="A2761" t="inlineStr">
        <is>
          <t>A 34561-2025</t>
        </is>
      </c>
      <c r="B2761" t="inlineStr">
        <is>
          <t>avverkningsanmälan</t>
        </is>
      </c>
      <c r="C2761" t="inlineStr">
        <is>
          <t>Föryngringsavverkning</t>
        </is>
      </c>
      <c r="D2761" s="1" t="n">
        <v>45846</v>
      </c>
      <c r="E2761" s="1" t="n">
        <v>46315</v>
      </c>
      <c r="F2761" t="inlineStr">
        <is>
          <t>HALLANDS LÄN</t>
        </is>
      </c>
      <c r="G2761" t="inlineStr">
        <is>
          <t>HYLTE</t>
        </is>
      </c>
      <c r="H2761" t="inlineStr">
        <is>
          <t>Kyrkan</t>
        </is>
      </c>
      <c r="I2761" t="n">
        <v>1.6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s="2" t="inlineStr"/>
    </row>
    <row r="2762" ht="15" customHeight="1">
      <c r="A2762" t="inlineStr">
        <is>
          <t>A 34782-2025</t>
        </is>
      </c>
      <c r="B2762" t="inlineStr">
        <is>
          <t>avverkningsanmälan</t>
        </is>
      </c>
      <c r="C2762" t="inlineStr">
        <is>
          <t>Föryngringsavverkning</t>
        </is>
      </c>
      <c r="D2762" s="1" t="n">
        <v>45848</v>
      </c>
      <c r="E2762" s="1" t="n">
        <v>46315</v>
      </c>
      <c r="F2762" t="inlineStr">
        <is>
          <t>HALLANDS LÄN</t>
        </is>
      </c>
      <c r="G2762" t="inlineStr">
        <is>
          <t>KUNGSBACKA</t>
        </is>
      </c>
      <c r="I2762" t="n">
        <v>1.6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s="2" t="inlineStr"/>
    </row>
    <row r="2763" ht="15" customHeight="1">
      <c r="A2763" t="inlineStr">
        <is>
          <t>A 36340-2026</t>
        </is>
      </c>
      <c r="B2763" t="inlineStr">
        <is>
          <t>avverkningsanmälan</t>
        </is>
      </c>
      <c r="C2763" t="inlineStr">
        <is>
          <t>Föryngringsavverkning</t>
        </is>
      </c>
      <c r="D2763" s="1" t="n">
        <v>46268</v>
      </c>
      <c r="E2763" s="1" t="n">
        <v>46315</v>
      </c>
      <c r="F2763" t="inlineStr">
        <is>
          <t>HALLANDS LÄN</t>
        </is>
      </c>
      <c r="G2763" t="inlineStr">
        <is>
          <t>HYLTE</t>
        </is>
      </c>
      <c r="I2763" t="n">
        <v>1.6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s="2" t="inlineStr"/>
    </row>
    <row r="2764" ht="15" customHeight="1">
      <c r="A2764" t="inlineStr">
        <is>
          <t>A 34453-2025</t>
        </is>
      </c>
      <c r="B2764" t="inlineStr">
        <is>
          <t>avverkningsanmälan</t>
        </is>
      </c>
      <c r="C2764" t="inlineStr">
        <is>
          <t>Föryngringsavverkning</t>
        </is>
      </c>
      <c r="D2764" s="1" t="n">
        <v>45847</v>
      </c>
      <c r="E2764" s="1" t="n">
        <v>46315</v>
      </c>
      <c r="F2764" t="inlineStr">
        <is>
          <t>HALLANDS LÄN</t>
        </is>
      </c>
      <c r="G2764" t="inlineStr">
        <is>
          <t>HYLTE</t>
        </is>
      </c>
      <c r="I2764" t="n">
        <v>1.3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s="2" t="inlineStr"/>
    </row>
    <row r="2765" ht="15" customHeight="1">
      <c r="A2765" t="inlineStr">
        <is>
          <t>A 36459-2026</t>
        </is>
      </c>
      <c r="B2765" t="inlineStr">
        <is>
          <t>avverkningsanmälan</t>
        </is>
      </c>
      <c r="C2765" t="inlineStr">
        <is>
          <t>Föryngringsavverkning</t>
        </is>
      </c>
      <c r="D2765" s="1" t="n">
        <v>46269</v>
      </c>
      <c r="E2765" s="1" t="n">
        <v>46315</v>
      </c>
      <c r="F2765" t="inlineStr">
        <is>
          <t>HALLANDS LÄN</t>
        </is>
      </c>
      <c r="G2765" t="inlineStr">
        <is>
          <t>KUNGSBACKA</t>
        </is>
      </c>
      <c r="I2765" t="n">
        <v>1.1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s="2" t="inlineStr"/>
    </row>
    <row r="2766" ht="15" customHeight="1">
      <c r="A2766" t="inlineStr">
        <is>
          <t>A 23785-2025</t>
        </is>
      </c>
      <c r="B2766" t="inlineStr">
        <is>
          <t>avverkningsanmälan</t>
        </is>
      </c>
      <c r="C2766" t="inlineStr">
        <is>
          <t>Föryngringsavverkning</t>
        </is>
      </c>
      <c r="D2766" s="1" t="n">
        <v>45793</v>
      </c>
      <c r="E2766" s="1" t="n">
        <v>46315</v>
      </c>
      <c r="F2766" t="inlineStr">
        <is>
          <t>HALLANDS LÄN</t>
        </is>
      </c>
      <c r="G2766" t="inlineStr">
        <is>
          <t>HALMSTAD</t>
        </is>
      </c>
      <c r="I2766" t="n">
        <v>3.7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s="2" t="inlineStr"/>
    </row>
    <row r="2767" ht="15" customHeight="1">
      <c r="A2767" t="inlineStr">
        <is>
          <t>A 34454-2025</t>
        </is>
      </c>
      <c r="B2767" t="inlineStr">
        <is>
          <t>avverkningsanmälan</t>
        </is>
      </c>
      <c r="C2767" t="inlineStr">
        <is>
          <t>Föryngringsavverkning</t>
        </is>
      </c>
      <c r="D2767" s="1" t="n">
        <v>45847</v>
      </c>
      <c r="E2767" s="1" t="n">
        <v>46315</v>
      </c>
      <c r="F2767" t="inlineStr">
        <is>
          <t>HALLANDS LÄN</t>
        </is>
      </c>
      <c r="G2767" t="inlineStr">
        <is>
          <t>HYLTE</t>
        </is>
      </c>
      <c r="I2767" t="n">
        <v>2.1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s="2" t="inlineStr"/>
    </row>
    <row r="2768" ht="15" customHeight="1">
      <c r="A2768" t="inlineStr">
        <is>
          <t>A 8211-2025</t>
        </is>
      </c>
      <c r="B2768" t="inlineStr">
        <is>
          <t>avverkningsanmälan</t>
        </is>
      </c>
      <c r="C2768" t="inlineStr">
        <is>
          <t>Föryngringsavverkning</t>
        </is>
      </c>
      <c r="D2768" s="1" t="n">
        <v>45708</v>
      </c>
      <c r="E2768" s="1" t="n">
        <v>46315</v>
      </c>
      <c r="F2768" t="inlineStr">
        <is>
          <t>HALLANDS LÄN</t>
        </is>
      </c>
      <c r="G2768" t="inlineStr">
        <is>
          <t>HALMSTAD</t>
        </is>
      </c>
      <c r="I2768" t="n">
        <v>1.5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s="2" t="inlineStr"/>
    </row>
    <row r="2769" ht="15" customHeight="1">
      <c r="A2769" t="inlineStr">
        <is>
          <t>A 36506-2026</t>
        </is>
      </c>
      <c r="B2769" t="inlineStr">
        <is>
          <t>avverkningsanmälan</t>
        </is>
      </c>
      <c r="C2769" t="inlineStr">
        <is>
          <t>Föryngringsavverkning</t>
        </is>
      </c>
      <c r="D2769" s="1" t="n">
        <v>46269</v>
      </c>
      <c r="E2769" s="1" t="n">
        <v>46315</v>
      </c>
      <c r="F2769" t="inlineStr">
        <is>
          <t>HALLANDS LÄN</t>
        </is>
      </c>
      <c r="G2769" t="inlineStr">
        <is>
          <t>VARBERG</t>
        </is>
      </c>
      <c r="I2769" t="n">
        <v>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s="2" t="inlineStr"/>
    </row>
    <row r="2770" ht="15" customHeight="1">
      <c r="A2770" t="inlineStr">
        <is>
          <t>A 34867-2025</t>
        </is>
      </c>
      <c r="B2770" t="inlineStr">
        <is>
          <t>avverkningsanmälan</t>
        </is>
      </c>
      <c r="C2770" t="inlineStr">
        <is>
          <t>Föryngringsavverkning</t>
        </is>
      </c>
      <c r="D2770" s="1" t="n">
        <v>45849</v>
      </c>
      <c r="E2770" s="1" t="n">
        <v>46315</v>
      </c>
      <c r="F2770" t="inlineStr">
        <is>
          <t>HALLANDS LÄN</t>
        </is>
      </c>
      <c r="G2770" t="inlineStr">
        <is>
          <t>LAHOLM</t>
        </is>
      </c>
      <c r="I2770" t="n">
        <v>1.9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s="2" t="inlineStr"/>
    </row>
    <row r="2771" ht="15" customHeight="1">
      <c r="A2771" t="inlineStr">
        <is>
          <t>A 34800-2025</t>
        </is>
      </c>
      <c r="B2771" t="inlineStr">
        <is>
          <t>avverkningsanmälan</t>
        </is>
      </c>
      <c r="C2771" t="inlineStr">
        <is>
          <t>Föryngringsavverkning</t>
        </is>
      </c>
      <c r="D2771" s="1" t="n">
        <v>45848</v>
      </c>
      <c r="E2771" s="1" t="n">
        <v>46315</v>
      </c>
      <c r="F2771" t="inlineStr">
        <is>
          <t>HALLANDS LÄN</t>
        </is>
      </c>
      <c r="G2771" t="inlineStr">
        <is>
          <t>FALKENBERG</t>
        </is>
      </c>
      <c r="I2771" t="n">
        <v>2.4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s="2" t="inlineStr"/>
    </row>
    <row r="2772" ht="15" customHeight="1">
      <c r="A2772" t="inlineStr">
        <is>
          <t>A 25560-2025</t>
        </is>
      </c>
      <c r="B2772" t="inlineStr">
        <is>
          <t>avverkningsanmälan</t>
        </is>
      </c>
      <c r="C2772" t="inlineStr">
        <is>
          <t>Föryngringsavverkning</t>
        </is>
      </c>
      <c r="D2772" s="1" t="n">
        <v>45803</v>
      </c>
      <c r="E2772" s="1" t="n">
        <v>46315</v>
      </c>
      <c r="F2772" t="inlineStr">
        <is>
          <t>HALLANDS LÄN</t>
        </is>
      </c>
      <c r="G2772" t="inlineStr">
        <is>
          <t>HYLTE</t>
        </is>
      </c>
      <c r="I2772" t="n">
        <v>1.4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s="2" t="inlineStr"/>
    </row>
    <row r="2773" ht="15" customHeight="1">
      <c r="A2773" t="inlineStr">
        <is>
          <t>A 34817-2025</t>
        </is>
      </c>
      <c r="B2773" t="inlineStr">
        <is>
          <t>avverkningsanmälan</t>
        </is>
      </c>
      <c r="C2773" t="inlineStr">
        <is>
          <t>Föryngringsavverkning</t>
        </is>
      </c>
      <c r="D2773" s="1" t="n">
        <v>45849</v>
      </c>
      <c r="E2773" s="1" t="n">
        <v>46315</v>
      </c>
      <c r="F2773" t="inlineStr">
        <is>
          <t>HALLANDS LÄN</t>
        </is>
      </c>
      <c r="G2773" t="inlineStr">
        <is>
          <t>LAHOLM</t>
        </is>
      </c>
      <c r="I2773" t="n">
        <v>8.699999999999999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s="2" t="inlineStr"/>
    </row>
    <row r="2774" ht="15" customHeight="1">
      <c r="A2774" t="inlineStr">
        <is>
          <t>A 35126-2025</t>
        </is>
      </c>
      <c r="B2774" t="inlineStr">
        <is>
          <t>avverkningsanmälan</t>
        </is>
      </c>
      <c r="C2774" t="inlineStr">
        <is>
          <t>Föryngringsavverkning</t>
        </is>
      </c>
      <c r="D2774" s="1" t="n">
        <v>45852</v>
      </c>
      <c r="E2774" s="1" t="n">
        <v>46315</v>
      </c>
      <c r="F2774" t="inlineStr">
        <is>
          <t>HALLANDS LÄN</t>
        </is>
      </c>
      <c r="G2774" t="inlineStr">
        <is>
          <t>VARBERG</t>
        </is>
      </c>
      <c r="I2774" t="n">
        <v>1.1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s="2" t="inlineStr"/>
    </row>
    <row r="2775" ht="15" customHeight="1">
      <c r="A2775" t="inlineStr">
        <is>
          <t>A 34949-2025</t>
        </is>
      </c>
      <c r="B2775" t="inlineStr">
        <is>
          <t>avverkningsanmälan</t>
        </is>
      </c>
      <c r="C2775" t="inlineStr">
        <is>
          <t>Föryngringsavverkning</t>
        </is>
      </c>
      <c r="D2775" s="1" t="n">
        <v>45849</v>
      </c>
      <c r="E2775" s="1" t="n">
        <v>46315</v>
      </c>
      <c r="F2775" t="inlineStr">
        <is>
          <t>HALLANDS LÄN</t>
        </is>
      </c>
      <c r="G2775" t="inlineStr">
        <is>
          <t>VARBERG</t>
        </is>
      </c>
      <c r="I2775" t="n">
        <v>0.8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s="2" t="inlineStr"/>
    </row>
    <row r="2776" ht="15" customHeight="1">
      <c r="A2776" t="inlineStr">
        <is>
          <t>A 3764-2025</t>
        </is>
      </c>
      <c r="B2776" t="inlineStr">
        <is>
          <t>avverkningsanmälan</t>
        </is>
      </c>
      <c r="C2776" t="inlineStr">
        <is>
          <t>Föryngringsavverkning</t>
        </is>
      </c>
      <c r="D2776" s="1" t="n">
        <v>45681</v>
      </c>
      <c r="E2776" s="1" t="n">
        <v>46315</v>
      </c>
      <c r="F2776" t="inlineStr">
        <is>
          <t>HALLANDS LÄN</t>
        </is>
      </c>
      <c r="G2776" t="inlineStr">
        <is>
          <t>HALMSTAD</t>
        </is>
      </c>
      <c r="I2776" t="n">
        <v>1.7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s="2" t="inlineStr"/>
    </row>
    <row r="2777" ht="15" customHeight="1">
      <c r="A2777" t="inlineStr">
        <is>
          <t>A 35116-2025</t>
        </is>
      </c>
      <c r="B2777" t="inlineStr">
        <is>
          <t>avverkningsanmälan</t>
        </is>
      </c>
      <c r="C2777" t="inlineStr">
        <is>
          <t>Föryngringsavverkning</t>
        </is>
      </c>
      <c r="D2777" s="1" t="n">
        <v>45852</v>
      </c>
      <c r="E2777" s="1" t="n">
        <v>46315</v>
      </c>
      <c r="F2777" t="inlineStr">
        <is>
          <t>HALLANDS LÄN</t>
        </is>
      </c>
      <c r="G2777" t="inlineStr">
        <is>
          <t>VARBERG</t>
        </is>
      </c>
      <c r="I2777" t="n">
        <v>2.1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s="2" t="inlineStr"/>
    </row>
    <row r="2778" ht="15" customHeight="1">
      <c r="A2778" t="inlineStr">
        <is>
          <t>A 34844-2025</t>
        </is>
      </c>
      <c r="B2778" t="inlineStr">
        <is>
          <t>avverkningsanmälan</t>
        </is>
      </c>
      <c r="C2778" t="inlineStr">
        <is>
          <t>Föryngringsavverkning</t>
        </is>
      </c>
      <c r="D2778" s="1" t="n">
        <v>45849</v>
      </c>
      <c r="E2778" s="1" t="n">
        <v>46315</v>
      </c>
      <c r="F2778" t="inlineStr">
        <is>
          <t>HALLANDS LÄN</t>
        </is>
      </c>
      <c r="G2778" t="inlineStr">
        <is>
          <t>LAHOLM</t>
        </is>
      </c>
      <c r="I2778" t="n">
        <v>0.6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s="2" t="inlineStr"/>
    </row>
    <row r="2779" ht="15" customHeight="1">
      <c r="A2779" t="inlineStr">
        <is>
          <t>A 34975-2025</t>
        </is>
      </c>
      <c r="B2779" t="inlineStr">
        <is>
          <t>avverkningsanmälan</t>
        </is>
      </c>
      <c r="C2779" t="inlineStr">
        <is>
          <t>Avverkning för att bevara och utveckla /försöksver</t>
        </is>
      </c>
      <c r="D2779" s="1" t="n">
        <v>45849</v>
      </c>
      <c r="E2779" s="1" t="n">
        <v>46315</v>
      </c>
      <c r="F2779" t="inlineStr">
        <is>
          <t>HALLANDS LÄN</t>
        </is>
      </c>
      <c r="G2779" t="inlineStr">
        <is>
          <t>KUNGSBACKA</t>
        </is>
      </c>
      <c r="I2779" t="n">
        <v>0.6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s="2" t="inlineStr"/>
    </row>
    <row r="2780" ht="15" customHeight="1">
      <c r="A2780" t="inlineStr">
        <is>
          <t>A 36636-2026</t>
        </is>
      </c>
      <c r="B2780" t="inlineStr">
        <is>
          <t>avverkningsanmälan</t>
        </is>
      </c>
      <c r="C2780" t="inlineStr">
        <is>
          <t>Föryngringsavverkning</t>
        </is>
      </c>
      <c r="D2780" s="1" t="n">
        <v>46271</v>
      </c>
      <c r="E2780" s="1" t="n">
        <v>46315</v>
      </c>
      <c r="F2780" t="inlineStr">
        <is>
          <t>HALLANDS LÄN</t>
        </is>
      </c>
      <c r="G2780" t="inlineStr">
        <is>
          <t>FALKENBERG</t>
        </is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s="2" t="inlineStr"/>
    </row>
    <row r="2781" ht="15" customHeight="1">
      <c r="A2781" t="inlineStr">
        <is>
          <t>A 36637-2026</t>
        </is>
      </c>
      <c r="B2781" t="inlineStr">
        <is>
          <t>avverkningsanmälan</t>
        </is>
      </c>
      <c r="C2781" t="inlineStr">
        <is>
          <t>Föryngringsavverkning</t>
        </is>
      </c>
      <c r="D2781" s="1" t="n">
        <v>46271</v>
      </c>
      <c r="E2781" s="1" t="n">
        <v>46315</v>
      </c>
      <c r="F2781" t="inlineStr">
        <is>
          <t>HALLANDS LÄN</t>
        </is>
      </c>
      <c r="G2781" t="inlineStr">
        <is>
          <t>FALKENBERG</t>
        </is>
      </c>
      <c r="I2781" t="n">
        <v>0.3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s="2" t="inlineStr"/>
    </row>
    <row r="2782" ht="15" customHeight="1">
      <c r="A2782" t="inlineStr">
        <is>
          <t>A 35124-2025</t>
        </is>
      </c>
      <c r="B2782" t="inlineStr">
        <is>
          <t>avverkningsanmälan</t>
        </is>
      </c>
      <c r="C2782" t="inlineStr">
        <is>
          <t>Föryngringsavverkning</t>
        </is>
      </c>
      <c r="D2782" s="1" t="n">
        <v>45852</v>
      </c>
      <c r="E2782" s="1" t="n">
        <v>46315</v>
      </c>
      <c r="F2782" t="inlineStr">
        <is>
          <t>HALLANDS LÄN</t>
        </is>
      </c>
      <c r="G2782" t="inlineStr">
        <is>
          <t>VARBERG</t>
        </is>
      </c>
      <c r="I2782" t="n">
        <v>2.5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s="2" t="inlineStr"/>
    </row>
    <row r="2783" ht="15" customHeight="1">
      <c r="A2783" t="inlineStr">
        <is>
          <t>A 13430-2025</t>
        </is>
      </c>
      <c r="B2783" t="inlineStr">
        <is>
          <t>avverkningsanmälan</t>
        </is>
      </c>
      <c r="C2783" t="inlineStr">
        <is>
          <t>Föryngringsavverkning</t>
        </is>
      </c>
      <c r="D2783" s="1" t="n">
        <v>45736</v>
      </c>
      <c r="E2783" s="1" t="n">
        <v>46315</v>
      </c>
      <c r="F2783" t="inlineStr">
        <is>
          <t>HALLANDS LÄN</t>
        </is>
      </c>
      <c r="G2783" t="inlineStr">
        <is>
          <t>VARBERG</t>
        </is>
      </c>
      <c r="I2783" t="n">
        <v>1.4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s="2" t="inlineStr"/>
    </row>
    <row r="2784" ht="15" customHeight="1">
      <c r="A2784" t="inlineStr">
        <is>
          <t>A 35362-2025</t>
        </is>
      </c>
      <c r="B2784" t="inlineStr">
        <is>
          <t>avverkningsanmälan</t>
        </is>
      </c>
      <c r="C2784" t="inlineStr">
        <is>
          <t>Föryngringsavverkning</t>
        </is>
      </c>
      <c r="D2784" s="1" t="n">
        <v>45854</v>
      </c>
      <c r="E2784" s="1" t="n">
        <v>46315</v>
      </c>
      <c r="F2784" t="inlineStr">
        <is>
          <t>HALLANDS LÄN</t>
        </is>
      </c>
      <c r="G2784" t="inlineStr">
        <is>
          <t>HALMSTAD</t>
        </is>
      </c>
      <c r="I2784" t="n">
        <v>1.2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s="2" t="inlineStr"/>
    </row>
    <row r="2785" ht="15" customHeight="1">
      <c r="A2785" t="inlineStr">
        <is>
          <t>A 36862-2026</t>
        </is>
      </c>
      <c r="B2785" t="inlineStr">
        <is>
          <t>avverkningsanmälan</t>
        </is>
      </c>
      <c r="C2785" t="inlineStr">
        <is>
          <t>Föryngringsavverkning</t>
        </is>
      </c>
      <c r="D2785" s="1" t="n">
        <v>46272</v>
      </c>
      <c r="E2785" s="1" t="n">
        <v>46315</v>
      </c>
      <c r="F2785" t="inlineStr">
        <is>
          <t>HALLANDS LÄN</t>
        </is>
      </c>
      <c r="G2785" t="inlineStr">
        <is>
          <t>HYLTE</t>
        </is>
      </c>
      <c r="I2785" t="n">
        <v>4.4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s="2" t="inlineStr"/>
    </row>
    <row r="2786" ht="15" customHeight="1">
      <c r="A2786" t="inlineStr">
        <is>
          <t>A 35515-2025</t>
        </is>
      </c>
      <c r="B2786" t="inlineStr">
        <is>
          <t>avverkningsanmälan</t>
        </is>
      </c>
      <c r="C2786" t="inlineStr">
        <is>
          <t>Föryngringsavverkning</t>
        </is>
      </c>
      <c r="D2786" s="1" t="n">
        <v>45856</v>
      </c>
      <c r="E2786" s="1" t="n">
        <v>46315</v>
      </c>
      <c r="F2786" t="inlineStr">
        <is>
          <t>HALLANDS LÄN</t>
        </is>
      </c>
      <c r="G2786" t="inlineStr">
        <is>
          <t>HALMSTAD</t>
        </is>
      </c>
      <c r="I2786" t="n">
        <v>2.9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s="2" t="inlineStr"/>
    </row>
    <row r="2787" ht="15" customHeight="1">
      <c r="A2787" t="inlineStr">
        <is>
          <t>A 35399-2025</t>
        </is>
      </c>
      <c r="B2787" t="inlineStr">
        <is>
          <t>avverkningsanmälan</t>
        </is>
      </c>
      <c r="C2787" t="inlineStr">
        <is>
          <t>Föryngringsavverkning</t>
        </is>
      </c>
      <c r="D2787" s="1" t="n">
        <v>45855</v>
      </c>
      <c r="E2787" s="1" t="n">
        <v>46315</v>
      </c>
      <c r="F2787" t="inlineStr">
        <is>
          <t>HALLANDS LÄN</t>
        </is>
      </c>
      <c r="G2787" t="inlineStr">
        <is>
          <t>KUNGSBACKA</t>
        </is>
      </c>
      <c r="I2787" t="n">
        <v>2.6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s="2" t="inlineStr"/>
    </row>
    <row r="2788" ht="15" customHeight="1">
      <c r="A2788" t="inlineStr">
        <is>
          <t>A 43145-2026</t>
        </is>
      </c>
      <c r="B2788" t="inlineStr">
        <is>
          <t>avverkningsanmälan</t>
        </is>
      </c>
      <c r="C2788" t="inlineStr">
        <is>
          <t>Föryngringsavverkning</t>
        </is>
      </c>
      <c r="D2788" s="1" t="n">
        <v>46311</v>
      </c>
      <c r="E2788" s="1" t="n">
        <v>46315</v>
      </c>
      <c r="F2788" t="inlineStr">
        <is>
          <t>HALLANDS LÄN</t>
        </is>
      </c>
      <c r="G2788" t="inlineStr">
        <is>
          <t>VARBERG</t>
        </is>
      </c>
      <c r="I2788" t="n">
        <v>7.1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s="2" t="inlineStr"/>
    </row>
    <row r="2789" ht="15" customHeight="1">
      <c r="A2789" t="inlineStr">
        <is>
          <t>A 13085-2025</t>
        </is>
      </c>
      <c r="B2789" t="inlineStr">
        <is>
          <t>avverkningsanmälan</t>
        </is>
      </c>
      <c r="C2789" t="inlineStr">
        <is>
          <t>Föryngringsavverkning</t>
        </is>
      </c>
      <c r="D2789" s="1" t="n">
        <v>45734</v>
      </c>
      <c r="E2789" s="1" t="n">
        <v>46315</v>
      </c>
      <c r="F2789" t="inlineStr">
        <is>
          <t>HALLANDS LÄN</t>
        </is>
      </c>
      <c r="G2789" t="inlineStr">
        <is>
          <t>LAHOLM</t>
        </is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s="2" t="inlineStr"/>
    </row>
    <row r="2790" ht="15" customHeight="1">
      <c r="A2790" t="inlineStr">
        <is>
          <t>A 16198-2025</t>
        </is>
      </c>
      <c r="B2790" t="inlineStr">
        <is>
          <t>avverkningsanmälan</t>
        </is>
      </c>
      <c r="C2790" t="inlineStr">
        <is>
          <t>Föryngringsavverkning</t>
        </is>
      </c>
      <c r="D2790" s="1" t="n">
        <v>45750</v>
      </c>
      <c r="E2790" s="1" t="n">
        <v>46315</v>
      </c>
      <c r="F2790" t="inlineStr">
        <is>
          <t>HALLANDS LÄN</t>
        </is>
      </c>
      <c r="G2790" t="inlineStr">
        <is>
          <t>HALMSTAD</t>
        </is>
      </c>
      <c r="I2790" t="n">
        <v>0.9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s="2" t="inlineStr"/>
    </row>
    <row r="2791" ht="15" customHeight="1">
      <c r="A2791" t="inlineStr">
        <is>
          <t>A 16194-2025</t>
        </is>
      </c>
      <c r="B2791" t="inlineStr">
        <is>
          <t>avverkningsanmälan</t>
        </is>
      </c>
      <c r="C2791" t="inlineStr">
        <is>
          <t>Föryngringsavverkning</t>
        </is>
      </c>
      <c r="D2791" s="1" t="n">
        <v>45750</v>
      </c>
      <c r="E2791" s="1" t="n">
        <v>46315</v>
      </c>
      <c r="F2791" t="inlineStr">
        <is>
          <t>HALLANDS LÄN</t>
        </is>
      </c>
      <c r="G2791" t="inlineStr">
        <is>
          <t>FALKENBERG</t>
        </is>
      </c>
      <c r="I2791" t="n">
        <v>2.1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s="2" t="inlineStr"/>
    </row>
    <row r="2792" ht="15" customHeight="1">
      <c r="A2792" t="inlineStr">
        <is>
          <t>A 14521-2025</t>
        </is>
      </c>
      <c r="B2792" t="inlineStr">
        <is>
          <t>avverkningsanmälan</t>
        </is>
      </c>
      <c r="C2792" t="inlineStr">
        <is>
          <t>Föryngringsavverkning</t>
        </is>
      </c>
      <c r="D2792" s="1" t="n">
        <v>45741</v>
      </c>
      <c r="E2792" s="1" t="n">
        <v>46315</v>
      </c>
      <c r="F2792" t="inlineStr">
        <is>
          <t>HALLANDS LÄN</t>
        </is>
      </c>
      <c r="G2792" t="inlineStr">
        <is>
          <t>HALMSTAD</t>
        </is>
      </c>
      <c r="I2792" t="n">
        <v>1.3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s="2" t="inlineStr"/>
    </row>
    <row r="2793" ht="15" customHeight="1">
      <c r="A2793" t="inlineStr">
        <is>
          <t>A 39362-2026</t>
        </is>
      </c>
      <c r="B2793" t="inlineStr">
        <is>
          <t>avverkningsanmälan</t>
        </is>
      </c>
      <c r="C2793" t="inlineStr">
        <is>
          <t>Föryngringsavverkning</t>
        </is>
      </c>
      <c r="D2793" s="1" t="n">
        <v>46288</v>
      </c>
      <c r="E2793" s="1" t="n">
        <v>46315</v>
      </c>
      <c r="F2793" t="inlineStr">
        <is>
          <t>HALLANDS LÄN</t>
        </is>
      </c>
      <c r="G2793" t="inlineStr">
        <is>
          <t>LAHOLM</t>
        </is>
      </c>
      <c r="I2793" t="n">
        <v>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s="2" t="inlineStr"/>
    </row>
    <row r="2794" ht="15" customHeight="1">
      <c r="A2794" t="inlineStr">
        <is>
          <t>A 36753-2026</t>
        </is>
      </c>
      <c r="B2794" t="inlineStr">
        <is>
          <t>avverkningsanmälan</t>
        </is>
      </c>
      <c r="C2794" t="inlineStr">
        <is>
          <t>Föryngringsavverkning</t>
        </is>
      </c>
      <c r="D2794" s="1" t="n">
        <v>46272</v>
      </c>
      <c r="E2794" s="1" t="n">
        <v>46315</v>
      </c>
      <c r="F2794" t="inlineStr">
        <is>
          <t>HALLANDS LÄN</t>
        </is>
      </c>
      <c r="G2794" t="inlineStr">
        <is>
          <t>LAHOLM</t>
        </is>
      </c>
      <c r="H2794" t="inlineStr">
        <is>
          <t>Kommuner</t>
        </is>
      </c>
      <c r="I2794" t="n">
        <v>6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s="2" t="inlineStr"/>
    </row>
    <row r="2795" ht="15" customHeight="1">
      <c r="A2795" t="inlineStr">
        <is>
          <t>A 35801-2025</t>
        </is>
      </c>
      <c r="B2795" t="inlineStr">
        <is>
          <t>avverkningsanmälan</t>
        </is>
      </c>
      <c r="C2795" t="inlineStr">
        <is>
          <t>Föryngringsavverkning</t>
        </is>
      </c>
      <c r="D2795" s="1" t="n">
        <v>45861</v>
      </c>
      <c r="E2795" s="1" t="n">
        <v>46315</v>
      </c>
      <c r="F2795" t="inlineStr">
        <is>
          <t>HALLANDS LÄN</t>
        </is>
      </c>
      <c r="G2795" t="inlineStr">
        <is>
          <t>KUNGSBACKA</t>
        </is>
      </c>
      <c r="I2795" t="n">
        <v>0.5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s="2" t="inlineStr"/>
    </row>
    <row r="2796" ht="15" customHeight="1">
      <c r="A2796" t="inlineStr">
        <is>
          <t>A 18179-2025</t>
        </is>
      </c>
      <c r="B2796" t="inlineStr">
        <is>
          <t>avverkningsanmälan</t>
        </is>
      </c>
      <c r="C2796" t="inlineStr">
        <is>
          <t>Föryngringsavverkning</t>
        </is>
      </c>
      <c r="D2796" s="1" t="n">
        <v>45761</v>
      </c>
      <c r="E2796" s="1" t="n">
        <v>46315</v>
      </c>
      <c r="F2796" t="inlineStr">
        <is>
          <t>HALLANDS LÄN</t>
        </is>
      </c>
      <c r="G2796" t="inlineStr">
        <is>
          <t>KUNGSBACKA</t>
        </is>
      </c>
      <c r="I2796" t="n">
        <v>1.5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s="2" t="inlineStr"/>
    </row>
    <row r="2797" ht="15" customHeight="1">
      <c r="A2797" t="inlineStr">
        <is>
          <t>A 25129-2025</t>
        </is>
      </c>
      <c r="B2797" t="inlineStr">
        <is>
          <t>avverkningsanmälan</t>
        </is>
      </c>
      <c r="C2797" t="inlineStr">
        <is>
          <t>Föryngringsavverkning</t>
        </is>
      </c>
      <c r="D2797" s="1" t="n">
        <v>45800</v>
      </c>
      <c r="E2797" s="1" t="n">
        <v>46315</v>
      </c>
      <c r="F2797" t="inlineStr">
        <is>
          <t>HALLANDS LÄN</t>
        </is>
      </c>
      <c r="G2797" t="inlineStr">
        <is>
          <t>FALKENBERG</t>
        </is>
      </c>
      <c r="I2797" t="n">
        <v>2.9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s="2" t="inlineStr"/>
    </row>
    <row r="2798" ht="15" customHeight="1">
      <c r="A2798" t="inlineStr">
        <is>
          <t>A 30599-2024</t>
        </is>
      </c>
      <c r="B2798" t="inlineStr">
        <is>
          <t>avverkningsanmälan</t>
        </is>
      </c>
      <c r="C2798" t="inlineStr">
        <is>
          <t>Föryngringsavverkning</t>
        </is>
      </c>
      <c r="D2798" s="1" t="n">
        <v>45493</v>
      </c>
      <c r="E2798" s="1" t="n">
        <v>46315</v>
      </c>
      <c r="F2798" t="inlineStr">
        <is>
          <t>HALLANDS LÄN</t>
        </is>
      </c>
      <c r="G2798" t="inlineStr">
        <is>
          <t>HALMSTAD</t>
        </is>
      </c>
      <c r="I2798" t="n">
        <v>3.7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s="2" t="inlineStr"/>
    </row>
    <row r="2799" ht="15" customHeight="1">
      <c r="A2799" t="inlineStr">
        <is>
          <t>A 6596-2025</t>
        </is>
      </c>
      <c r="B2799" t="inlineStr">
        <is>
          <t>avverkningsanmälan</t>
        </is>
      </c>
      <c r="C2799" t="inlineStr">
        <is>
          <t>Föryngringsavverkning</t>
        </is>
      </c>
      <c r="D2799" s="1" t="n">
        <v>45700</v>
      </c>
      <c r="E2799" s="1" t="n">
        <v>46315</v>
      </c>
      <c r="F2799" t="inlineStr">
        <is>
          <t>HALLANDS LÄN</t>
        </is>
      </c>
      <c r="G2799" t="inlineStr">
        <is>
          <t>HYLTE</t>
        </is>
      </c>
      <c r="I2799" t="n">
        <v>0.7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s="2" t="inlineStr"/>
    </row>
    <row r="2800" ht="15" customHeight="1">
      <c r="A2800" t="inlineStr">
        <is>
          <t>A 6593-2025</t>
        </is>
      </c>
      <c r="B2800" t="inlineStr">
        <is>
          <t>avverkningsanmälan</t>
        </is>
      </c>
      <c r="C2800" t="inlineStr">
        <is>
          <t>Föryngringsavverkning</t>
        </is>
      </c>
      <c r="D2800" s="1" t="n">
        <v>45700</v>
      </c>
      <c r="E2800" s="1" t="n">
        <v>46315</v>
      </c>
      <c r="F2800" t="inlineStr">
        <is>
          <t>HALLANDS LÄN</t>
        </is>
      </c>
      <c r="G2800" t="inlineStr">
        <is>
          <t>HYLTE</t>
        </is>
      </c>
      <c r="I2800" t="n">
        <v>2.3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s="2" t="inlineStr"/>
    </row>
    <row r="2801" ht="15" customHeight="1">
      <c r="A2801" t="inlineStr">
        <is>
          <t>A 4596-2025</t>
        </is>
      </c>
      <c r="B2801" t="inlineStr">
        <is>
          <t>avverkningsanmälan</t>
        </is>
      </c>
      <c r="C2801" t="inlineStr">
        <is>
          <t>Föryngringsavverkning</t>
        </is>
      </c>
      <c r="D2801" s="1" t="n">
        <v>45687</v>
      </c>
      <c r="E2801" s="1" t="n">
        <v>46315</v>
      </c>
      <c r="F2801" t="inlineStr">
        <is>
          <t>HALLANDS LÄN</t>
        </is>
      </c>
      <c r="G2801" t="inlineStr">
        <is>
          <t>HYLTE</t>
        </is>
      </c>
      <c r="I2801" t="n">
        <v>2.1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s="2" t="inlineStr"/>
    </row>
    <row r="2802" ht="15" customHeight="1">
      <c r="A2802" t="inlineStr">
        <is>
          <t>A 25478-2025</t>
        </is>
      </c>
      <c r="B2802" t="inlineStr">
        <is>
          <t>avverkningsanmälan</t>
        </is>
      </c>
      <c r="C2802" t="inlineStr">
        <is>
          <t>Avverkning för annat ändamål</t>
        </is>
      </c>
      <c r="D2802" s="1" t="n">
        <v>45802</v>
      </c>
      <c r="E2802" s="1" t="n">
        <v>46315</v>
      </c>
      <c r="F2802" t="inlineStr">
        <is>
          <t>HALLANDS LÄN</t>
        </is>
      </c>
      <c r="G2802" t="inlineStr">
        <is>
          <t>LAHOLM</t>
        </is>
      </c>
      <c r="I2802" t="n">
        <v>1.1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s="2" t="inlineStr"/>
    </row>
    <row r="2803" ht="15" customHeight="1">
      <c r="A2803" t="inlineStr">
        <is>
          <t>A 20902-2025</t>
        </is>
      </c>
      <c r="B2803" t="inlineStr">
        <is>
          <t>avverkningsanmälan</t>
        </is>
      </c>
      <c r="C2803" t="inlineStr">
        <is>
          <t>Föryngringsavverkning</t>
        </is>
      </c>
      <c r="D2803" s="1" t="n">
        <v>45777</v>
      </c>
      <c r="E2803" s="1" t="n">
        <v>46315</v>
      </c>
      <c r="F2803" t="inlineStr">
        <is>
          <t>HALLANDS LÄN</t>
        </is>
      </c>
      <c r="G2803" t="inlineStr">
        <is>
          <t>FALKENBERG</t>
        </is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s="2" t="inlineStr"/>
    </row>
    <row r="2804" ht="15" customHeight="1">
      <c r="A2804" t="inlineStr">
        <is>
          <t>A 32444-2025</t>
        </is>
      </c>
      <c r="B2804" t="inlineStr">
        <is>
          <t>avverkningsanmälan</t>
        </is>
      </c>
      <c r="C2804" t="inlineStr">
        <is>
          <t>Föryngringsavverkning</t>
        </is>
      </c>
      <c r="D2804" s="1" t="n">
        <v>45838</v>
      </c>
      <c r="E2804" s="1" t="n">
        <v>46315</v>
      </c>
      <c r="F2804" t="inlineStr">
        <is>
          <t>HALLANDS LÄN</t>
        </is>
      </c>
      <c r="G2804" t="inlineStr">
        <is>
          <t>HYLTE</t>
        </is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s="2" t="inlineStr"/>
    </row>
    <row r="2805" ht="15" customHeight="1">
      <c r="A2805" t="inlineStr">
        <is>
          <t>A 65081-2021</t>
        </is>
      </c>
      <c r="B2805" t="inlineStr">
        <is>
          <t>avverkningsanmälan</t>
        </is>
      </c>
      <c r="C2805" t="inlineStr">
        <is>
          <t>Föryngringsavverkning</t>
        </is>
      </c>
      <c r="D2805" s="1" t="n">
        <v>44515</v>
      </c>
      <c r="E2805" s="1" t="n">
        <v>46315</v>
      </c>
      <c r="F2805" t="inlineStr">
        <is>
          <t>HALLANDS LÄN</t>
        </is>
      </c>
      <c r="G2805" t="inlineStr">
        <is>
          <t>FALKENBERG</t>
        </is>
      </c>
      <c r="I2805" t="n">
        <v>2.2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s="2" t="inlineStr"/>
    </row>
    <row r="2806" ht="15" customHeight="1">
      <c r="A2806" t="inlineStr">
        <is>
          <t>A 66747-2021</t>
        </is>
      </c>
      <c r="B2806" t="inlineStr">
        <is>
          <t>avverkningsanmälan</t>
        </is>
      </c>
      <c r="C2806" t="inlineStr">
        <is>
          <t>Föryngringsavverkning</t>
        </is>
      </c>
      <c r="D2806" s="1" t="n">
        <v>44521</v>
      </c>
      <c r="E2806" s="1" t="n">
        <v>46315</v>
      </c>
      <c r="F2806" t="inlineStr">
        <is>
          <t>HALLANDS LÄN</t>
        </is>
      </c>
      <c r="G2806" t="inlineStr">
        <is>
          <t>FALKENBERG</t>
        </is>
      </c>
      <c r="I2806" t="n">
        <v>10.7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s="2" t="inlineStr"/>
    </row>
    <row r="2807" ht="15" customHeight="1">
      <c r="A2807" t="inlineStr">
        <is>
          <t>A 6119-2023</t>
        </is>
      </c>
      <c r="B2807" t="inlineStr">
        <is>
          <t>avverkningsanmälan</t>
        </is>
      </c>
      <c r="C2807" t="inlineStr">
        <is>
          <t>Föryngringsavverkning</t>
        </is>
      </c>
      <c r="D2807" s="1" t="n">
        <v>44964</v>
      </c>
      <c r="E2807" s="1" t="n">
        <v>46315</v>
      </c>
      <c r="F2807" t="inlineStr">
        <is>
          <t>HALLANDS LÄN</t>
        </is>
      </c>
      <c r="G2807" t="inlineStr">
        <is>
          <t>LAHOLM</t>
        </is>
      </c>
      <c r="I2807" t="n">
        <v>0.9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s="2" t="inlineStr"/>
    </row>
    <row r="2808" ht="15" customHeight="1">
      <c r="A2808" t="inlineStr">
        <is>
          <t>A 58557-2022</t>
        </is>
      </c>
      <c r="B2808" t="inlineStr">
        <is>
          <t>avverkningsanmälan</t>
        </is>
      </c>
      <c r="C2808" t="inlineStr">
        <is>
          <t>Föryngringsavverkning</t>
        </is>
      </c>
      <c r="D2808" s="1" t="n">
        <v>44902</v>
      </c>
      <c r="E2808" s="1" t="n">
        <v>46315</v>
      </c>
      <c r="F2808" t="inlineStr">
        <is>
          <t>HALLANDS LÄN</t>
        </is>
      </c>
      <c r="G2808" t="inlineStr">
        <is>
          <t>LAHOLM</t>
        </is>
      </c>
      <c r="I2808" t="n">
        <v>1.2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s="2" t="inlineStr"/>
    </row>
    <row r="2809" ht="15" customHeight="1">
      <c r="A2809" t="inlineStr">
        <is>
          <t>A 3437-2023</t>
        </is>
      </c>
      <c r="B2809" t="inlineStr">
        <is>
          <t>avverkningsanmälan</t>
        </is>
      </c>
      <c r="C2809" t="inlineStr">
        <is>
          <t>Föryngringsavverkning</t>
        </is>
      </c>
      <c r="D2809" s="1" t="n">
        <v>44949</v>
      </c>
      <c r="E2809" s="1" t="n">
        <v>46315</v>
      </c>
      <c r="F2809" t="inlineStr">
        <is>
          <t>HALLANDS LÄN</t>
        </is>
      </c>
      <c r="G2809" t="inlineStr">
        <is>
          <t>VARBERG</t>
        </is>
      </c>
      <c r="I2809" t="n">
        <v>6.5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s="2" t="inlineStr"/>
    </row>
    <row r="2810" ht="15" customHeight="1">
      <c r="A2810" t="inlineStr">
        <is>
          <t>A 3821-2023</t>
        </is>
      </c>
      <c r="B2810" t="inlineStr">
        <is>
          <t>avverkningsanmälan</t>
        </is>
      </c>
      <c r="C2810" t="inlineStr">
        <is>
          <t>Föryngringsavverkning</t>
        </is>
      </c>
      <c r="D2810" s="1" t="n">
        <v>44951</v>
      </c>
      <c r="E2810" s="1" t="n">
        <v>46315</v>
      </c>
      <c r="F2810" t="inlineStr">
        <is>
          <t>HALLANDS LÄN</t>
        </is>
      </c>
      <c r="G2810" t="inlineStr">
        <is>
          <t>LAHOLM</t>
        </is>
      </c>
      <c r="I2810" t="n">
        <v>4.1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s="2" t="inlineStr"/>
    </row>
    <row r="2811" ht="15" customHeight="1">
      <c r="A2811" t="inlineStr">
        <is>
          <t>A 61775-2022</t>
        </is>
      </c>
      <c r="B2811" t="inlineStr">
        <is>
          <t>avverkningsanmälan</t>
        </is>
      </c>
      <c r="C2811" t="inlineStr">
        <is>
          <t>Föryngringsavverkning</t>
        </is>
      </c>
      <c r="D2811" s="1" t="n">
        <v>44917</v>
      </c>
      <c r="E2811" s="1" t="n">
        <v>46315</v>
      </c>
      <c r="F2811" t="inlineStr">
        <is>
          <t>HALLANDS LÄN</t>
        </is>
      </c>
      <c r="G2811" t="inlineStr">
        <is>
          <t>HALMSTAD</t>
        </is>
      </c>
      <c r="I2811" t="n">
        <v>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s="2" t="inlineStr"/>
    </row>
    <row r="2812" ht="15" customHeight="1">
      <c r="A2812" t="inlineStr">
        <is>
          <t>A 61783-2022</t>
        </is>
      </c>
      <c r="B2812" t="inlineStr">
        <is>
          <t>avverkningsanmälan</t>
        </is>
      </c>
      <c r="C2812" t="inlineStr">
        <is>
          <t>Föryngringsavverkning</t>
        </is>
      </c>
      <c r="D2812" s="1" t="n">
        <v>44917</v>
      </c>
      <c r="E2812" s="1" t="n">
        <v>46315</v>
      </c>
      <c r="F2812" t="inlineStr">
        <is>
          <t>HALLANDS LÄN</t>
        </is>
      </c>
      <c r="G2812" t="inlineStr">
        <is>
          <t>HALMSTAD</t>
        </is>
      </c>
      <c r="I2812" t="n">
        <v>1.3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s="2" t="inlineStr"/>
    </row>
    <row r="2813" ht="15" customHeight="1">
      <c r="A2813" t="inlineStr">
        <is>
          <t>A 28069-2023</t>
        </is>
      </c>
      <c r="B2813" t="inlineStr">
        <is>
          <t>avverkningsanmälan</t>
        </is>
      </c>
      <c r="C2813" t="inlineStr">
        <is>
          <t>Föryngringsavverkning</t>
        </is>
      </c>
      <c r="D2813" s="1" t="n">
        <v>45099</v>
      </c>
      <c r="E2813" s="1" t="n">
        <v>46315</v>
      </c>
      <c r="F2813" t="inlineStr">
        <is>
          <t>HALLANDS LÄN</t>
        </is>
      </c>
      <c r="G2813" t="inlineStr">
        <is>
          <t>HALMSTAD</t>
        </is>
      </c>
      <c r="I2813" t="n">
        <v>0.9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s="2" t="inlineStr"/>
    </row>
    <row r="2814" ht="15" customHeight="1">
      <c r="A2814" t="inlineStr">
        <is>
          <t>A 18321-2024</t>
        </is>
      </c>
      <c r="B2814" t="inlineStr">
        <is>
          <t>avverkningsanmälan</t>
        </is>
      </c>
      <c r="C2814" t="inlineStr">
        <is>
          <t>Föryngringsavverkning</t>
        </is>
      </c>
      <c r="D2814" s="1" t="n">
        <v>45422</v>
      </c>
      <c r="E2814" s="1" t="n">
        <v>46315</v>
      </c>
      <c r="F2814" t="inlineStr">
        <is>
          <t>HALLANDS LÄN</t>
        </is>
      </c>
      <c r="G2814" t="inlineStr">
        <is>
          <t>FALKENBERG</t>
        </is>
      </c>
      <c r="H2814" t="inlineStr">
        <is>
          <t>Bergvik skog väst AB</t>
        </is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s="2" t="inlineStr"/>
    </row>
    <row r="2815" ht="15" customHeight="1">
      <c r="A2815" t="inlineStr">
        <is>
          <t>A 28800-2023</t>
        </is>
      </c>
      <c r="B2815" t="inlineStr">
        <is>
          <t>avverkningsanmälan</t>
        </is>
      </c>
      <c r="C2815" t="inlineStr">
        <is>
          <t>Föryngringsavverkning</t>
        </is>
      </c>
      <c r="D2815" s="1" t="n">
        <v>45104</v>
      </c>
      <c r="E2815" s="1" t="n">
        <v>46315</v>
      </c>
      <c r="F2815" t="inlineStr">
        <is>
          <t>HALLANDS LÄN</t>
        </is>
      </c>
      <c r="G2815" t="inlineStr">
        <is>
          <t>LAHOLM</t>
        </is>
      </c>
      <c r="I2815" t="n">
        <v>2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s="2" t="inlineStr"/>
    </row>
    <row r="2816" ht="15" customHeight="1">
      <c r="A2816" t="inlineStr">
        <is>
          <t>A 28574-2024</t>
        </is>
      </c>
      <c r="B2816" t="inlineStr">
        <is>
          <t>avverkningsanmälan</t>
        </is>
      </c>
      <c r="C2816" t="inlineStr">
        <is>
          <t>Föryngringsavverkning</t>
        </is>
      </c>
      <c r="D2816" s="1" t="n">
        <v>45478</v>
      </c>
      <c r="E2816" s="1" t="n">
        <v>46315</v>
      </c>
      <c r="F2816" t="inlineStr">
        <is>
          <t>HALLANDS LÄN</t>
        </is>
      </c>
      <c r="G2816" t="inlineStr">
        <is>
          <t>KUNGSBACKA</t>
        </is>
      </c>
      <c r="I2816" t="n">
        <v>5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s="2" t="inlineStr"/>
    </row>
    <row r="2817" ht="15" customHeight="1">
      <c r="A2817" t="inlineStr">
        <is>
          <t>A 18323-2024</t>
        </is>
      </c>
      <c r="B2817" t="inlineStr">
        <is>
          <t>avverkningsanmälan</t>
        </is>
      </c>
      <c r="C2817" t="inlineStr">
        <is>
          <t>Föryngringsavverkning</t>
        </is>
      </c>
      <c r="D2817" s="1" t="n">
        <v>45422</v>
      </c>
      <c r="E2817" s="1" t="n">
        <v>46315</v>
      </c>
      <c r="F2817" t="inlineStr">
        <is>
          <t>HALLANDS LÄN</t>
        </is>
      </c>
      <c r="G2817" t="inlineStr">
        <is>
          <t>FALKENBERG</t>
        </is>
      </c>
      <c r="H2817" t="inlineStr">
        <is>
          <t>Bergvik skog väst AB</t>
        </is>
      </c>
      <c r="I2817" t="n">
        <v>10.4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s="2" t="inlineStr"/>
    </row>
    <row r="2818" ht="15" customHeight="1">
      <c r="A2818" t="inlineStr">
        <is>
          <t>A 18329-2024</t>
        </is>
      </c>
      <c r="B2818" t="inlineStr">
        <is>
          <t>avverkningsanmälan</t>
        </is>
      </c>
      <c r="C2818" t="inlineStr">
        <is>
          <t>Föryngringsavverkning</t>
        </is>
      </c>
      <c r="D2818" s="1" t="n">
        <v>45422</v>
      </c>
      <c r="E2818" s="1" t="n">
        <v>46315</v>
      </c>
      <c r="F2818" t="inlineStr">
        <is>
          <t>HALLANDS LÄN</t>
        </is>
      </c>
      <c r="G2818" t="inlineStr">
        <is>
          <t>FALKENBERG</t>
        </is>
      </c>
      <c r="H2818" t="inlineStr">
        <is>
          <t>Bergvik skog väst AB</t>
        </is>
      </c>
      <c r="I2818" t="n">
        <v>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s="2" t="inlineStr"/>
    </row>
    <row r="2819" ht="15" customHeight="1">
      <c r="A2819" t="inlineStr">
        <is>
          <t>A 7709-2025</t>
        </is>
      </c>
      <c r="B2819" t="inlineStr">
        <is>
          <t>avverkningsanmälan</t>
        </is>
      </c>
      <c r="C2819" t="inlineStr">
        <is>
          <t>Föryngringsavverkning</t>
        </is>
      </c>
      <c r="D2819" s="1" t="n">
        <v>45706</v>
      </c>
      <c r="E2819" s="1" t="n">
        <v>46315</v>
      </c>
      <c r="F2819" t="inlineStr">
        <is>
          <t>HALLANDS LÄN</t>
        </is>
      </c>
      <c r="G2819" t="inlineStr">
        <is>
          <t>KUNGSBACKA</t>
        </is>
      </c>
      <c r="I2819" t="n">
        <v>6.3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s="2" t="inlineStr"/>
    </row>
    <row r="2820" ht="15" customHeight="1">
      <c r="A2820" t="inlineStr">
        <is>
          <t>A 12762-2023</t>
        </is>
      </c>
      <c r="B2820" t="inlineStr">
        <is>
          <t>avverkningsanmälan</t>
        </is>
      </c>
      <c r="C2820" t="inlineStr">
        <is>
          <t>Föryngringsavverkning</t>
        </is>
      </c>
      <c r="D2820" s="1" t="n">
        <v>45001</v>
      </c>
      <c r="E2820" s="1" t="n">
        <v>46315</v>
      </c>
      <c r="F2820" t="inlineStr">
        <is>
          <t>HALLANDS LÄN</t>
        </is>
      </c>
      <c r="G2820" t="inlineStr">
        <is>
          <t>HALMSTAD</t>
        </is>
      </c>
      <c r="I2820" t="n">
        <v>1.2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s="2" t="inlineStr"/>
    </row>
    <row r="2821" ht="15" customHeight="1">
      <c r="A2821" t="inlineStr">
        <is>
          <t>A 39593-2022</t>
        </is>
      </c>
      <c r="B2821" t="inlineStr">
        <is>
          <t>avverkningsanmälan</t>
        </is>
      </c>
      <c r="C2821" t="inlineStr">
        <is>
          <t>Föryngringsavverkning</t>
        </is>
      </c>
      <c r="D2821" s="1" t="n">
        <v>44818</v>
      </c>
      <c r="E2821" s="1" t="n">
        <v>46315</v>
      </c>
      <c r="F2821" t="inlineStr">
        <is>
          <t>HALLANDS LÄN</t>
        </is>
      </c>
      <c r="G2821" t="inlineStr">
        <is>
          <t>FALKENBERG</t>
        </is>
      </c>
      <c r="H2821" t="inlineStr">
        <is>
          <t>Bergvik skog väst AB</t>
        </is>
      </c>
      <c r="I2821" t="n">
        <v>3.1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s="2" t="inlineStr"/>
    </row>
    <row r="2822" ht="15" customHeight="1">
      <c r="A2822" t="inlineStr">
        <is>
          <t>A 21815-2023</t>
        </is>
      </c>
      <c r="B2822" t="inlineStr">
        <is>
          <t>avverkningsanmälan</t>
        </is>
      </c>
      <c r="C2822" t="inlineStr">
        <is>
          <t>Föryngringsavverkning</t>
        </is>
      </c>
      <c r="D2822" s="1" t="n">
        <v>45068</v>
      </c>
      <c r="E2822" s="1" t="n">
        <v>46315</v>
      </c>
      <c r="F2822" t="inlineStr">
        <is>
          <t>HALLANDS LÄN</t>
        </is>
      </c>
      <c r="G2822" t="inlineStr">
        <is>
          <t>FALKENBERG</t>
        </is>
      </c>
      <c r="I2822" t="n">
        <v>0.9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s="2" t="inlineStr"/>
    </row>
    <row r="2823" ht="15" customHeight="1">
      <c r="A2823" t="inlineStr">
        <is>
          <t>A 34620-2025</t>
        </is>
      </c>
      <c r="B2823" t="inlineStr">
        <is>
          <t>avverkningsanmälan</t>
        </is>
      </c>
      <c r="C2823" t="inlineStr">
        <is>
          <t>Föryngringsavverkning</t>
        </is>
      </c>
      <c r="D2823" s="1" t="n">
        <v>45847</v>
      </c>
      <c r="E2823" s="1" t="n">
        <v>46315</v>
      </c>
      <c r="F2823" t="inlineStr">
        <is>
          <t>HALLANDS LÄN</t>
        </is>
      </c>
      <c r="G2823" t="inlineStr">
        <is>
          <t>KUNGSBACKA</t>
        </is>
      </c>
      <c r="I2823" t="n">
        <v>0.6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s="2" t="inlineStr"/>
    </row>
    <row r="2824" ht="15" customHeight="1">
      <c r="A2824" t="inlineStr">
        <is>
          <t>A 50381-2022</t>
        </is>
      </c>
      <c r="B2824" t="inlineStr">
        <is>
          <t>avverkningsanmälan</t>
        </is>
      </c>
      <c r="C2824" t="inlineStr">
        <is>
          <t>Föryngringsavverkning</t>
        </is>
      </c>
      <c r="D2824" s="1" t="n">
        <v>44866</v>
      </c>
      <c r="E2824" s="1" t="n">
        <v>46315</v>
      </c>
      <c r="F2824" t="inlineStr">
        <is>
          <t>HALLANDS LÄN</t>
        </is>
      </c>
      <c r="G2824" t="inlineStr">
        <is>
          <t>FALKENBERG</t>
        </is>
      </c>
      <c r="I2824" t="n">
        <v>2.6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s="2" t="inlineStr"/>
    </row>
    <row r="2825" ht="15" customHeight="1">
      <c r="A2825" t="inlineStr">
        <is>
          <t>A 51549-2023</t>
        </is>
      </c>
      <c r="B2825" t="inlineStr">
        <is>
          <t>avverkningsanmälan</t>
        </is>
      </c>
      <c r="C2825" t="inlineStr">
        <is>
          <t>Föryngringsavverkning</t>
        </is>
      </c>
      <c r="D2825" s="1" t="n">
        <v>45222</v>
      </c>
      <c r="E2825" s="1" t="n">
        <v>46315</v>
      </c>
      <c r="F2825" t="inlineStr">
        <is>
          <t>HALLANDS LÄN</t>
        </is>
      </c>
      <c r="G2825" t="inlineStr">
        <is>
          <t>LAHOLM</t>
        </is>
      </c>
      <c r="I2825" t="n">
        <v>1.1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s="2" t="inlineStr"/>
    </row>
    <row r="2826" ht="15" customHeight="1">
      <c r="A2826" t="inlineStr">
        <is>
          <t>A 13514-2024</t>
        </is>
      </c>
      <c r="B2826" t="inlineStr">
        <is>
          <t>avverkningsanmälan</t>
        </is>
      </c>
      <c r="C2826" t="inlineStr">
        <is>
          <t>Föryngringsavverkning</t>
        </is>
      </c>
      <c r="D2826" s="1" t="n">
        <v>45387</v>
      </c>
      <c r="E2826" s="1" t="n">
        <v>46315</v>
      </c>
      <c r="F2826" t="inlineStr">
        <is>
          <t>HALLANDS LÄN</t>
        </is>
      </c>
      <c r="G2826" t="inlineStr">
        <is>
          <t>FALKENBERG</t>
        </is>
      </c>
      <c r="I2826" t="n">
        <v>1.2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s="2" t="inlineStr"/>
    </row>
    <row r="2827" ht="15" customHeight="1">
      <c r="A2827" t="inlineStr">
        <is>
          <t>A 65126-2023</t>
        </is>
      </c>
      <c r="B2827" t="inlineStr">
        <is>
          <t>avverkningsanmälan</t>
        </is>
      </c>
      <c r="C2827" t="inlineStr">
        <is>
          <t>Föryngringsavverkning</t>
        </is>
      </c>
      <c r="D2827" s="1" t="n">
        <v>45288</v>
      </c>
      <c r="E2827" s="1" t="n">
        <v>46315</v>
      </c>
      <c r="F2827" t="inlineStr">
        <is>
          <t>HALLANDS LÄN</t>
        </is>
      </c>
      <c r="G2827" t="inlineStr">
        <is>
          <t>HYLTE</t>
        </is>
      </c>
      <c r="H2827" t="inlineStr">
        <is>
          <t>Kommuner</t>
        </is>
      </c>
      <c r="I2827" t="n">
        <v>1.8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s="2" t="inlineStr"/>
    </row>
    <row r="2828" ht="15" customHeight="1">
      <c r="A2828" t="inlineStr">
        <is>
          <t>A 3860-2024</t>
        </is>
      </c>
      <c r="B2828" t="inlineStr">
        <is>
          <t>avverkningsanmälan</t>
        </is>
      </c>
      <c r="C2828" t="inlineStr">
        <is>
          <t>Föryngringsavverkning</t>
        </is>
      </c>
      <c r="D2828" s="1" t="n">
        <v>45322</v>
      </c>
      <c r="E2828" s="1" t="n">
        <v>46315</v>
      </c>
      <c r="F2828" t="inlineStr">
        <is>
          <t>HALLANDS LÄN</t>
        </is>
      </c>
      <c r="G2828" t="inlineStr">
        <is>
          <t>LAHOLM</t>
        </is>
      </c>
      <c r="I2828" t="n">
        <v>2.4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s="2" t="inlineStr"/>
    </row>
    <row r="2829" ht="15" customHeight="1">
      <c r="A2829" t="inlineStr">
        <is>
          <t>A 2094-2024</t>
        </is>
      </c>
      <c r="B2829" t="inlineStr">
        <is>
          <t>avverkningsanmälan</t>
        </is>
      </c>
      <c r="C2829" t="inlineStr">
        <is>
          <t>Föryngringsavverkning</t>
        </is>
      </c>
      <c r="D2829" s="1" t="n">
        <v>45309</v>
      </c>
      <c r="E2829" s="1" t="n">
        <v>46315</v>
      </c>
      <c r="F2829" t="inlineStr">
        <is>
          <t>HALLANDS LÄN</t>
        </is>
      </c>
      <c r="G2829" t="inlineStr">
        <is>
          <t>HYLTE</t>
        </is>
      </c>
      <c r="I2829" t="n">
        <v>2.7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s="2" t="inlineStr"/>
    </row>
    <row r="2830" ht="15" customHeight="1">
      <c r="A2830" t="inlineStr">
        <is>
          <t>A 16295-2024</t>
        </is>
      </c>
      <c r="B2830" t="inlineStr">
        <is>
          <t>avverkningsanmälan</t>
        </is>
      </c>
      <c r="C2830" t="inlineStr">
        <is>
          <t>Föryngringsavverkning</t>
        </is>
      </c>
      <c r="D2830" s="1" t="n">
        <v>45407</v>
      </c>
      <c r="E2830" s="1" t="n">
        <v>46315</v>
      </c>
      <c r="F2830" t="inlineStr">
        <is>
          <t>HALLANDS LÄN</t>
        </is>
      </c>
      <c r="G2830" t="inlineStr">
        <is>
          <t>HYLTE</t>
        </is>
      </c>
      <c r="I2830" t="n">
        <v>0.9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s="2" t="inlineStr"/>
    </row>
    <row r="2831" ht="15" customHeight="1">
      <c r="A2831" t="inlineStr">
        <is>
          <t>A 20250-2024</t>
        </is>
      </c>
      <c r="B2831" t="inlineStr">
        <is>
          <t>avverkningsanmälan</t>
        </is>
      </c>
      <c r="C2831" t="inlineStr">
        <is>
          <t>Avverkning för annat ändamål</t>
        </is>
      </c>
      <c r="D2831" s="1" t="n">
        <v>45434</v>
      </c>
      <c r="E2831" s="1" t="n">
        <v>46315</v>
      </c>
      <c r="F2831" t="inlineStr">
        <is>
          <t>HALLANDS LÄN</t>
        </is>
      </c>
      <c r="G2831" t="inlineStr">
        <is>
          <t>FALKENBERG</t>
        </is>
      </c>
      <c r="I2831" t="n">
        <v>0.6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s="2" t="inlineStr"/>
    </row>
    <row r="2832" ht="15" customHeight="1">
      <c r="A2832" t="inlineStr">
        <is>
          <t>A 25590-2023</t>
        </is>
      </c>
      <c r="B2832" t="inlineStr">
        <is>
          <t>avverkningsanmälan</t>
        </is>
      </c>
      <c r="C2832" t="inlineStr">
        <is>
          <t>Föryngringsavverkning</t>
        </is>
      </c>
      <c r="D2832" s="1" t="n">
        <v>45089</v>
      </c>
      <c r="E2832" s="1" t="n">
        <v>46315</v>
      </c>
      <c r="F2832" t="inlineStr">
        <is>
          <t>HALLANDS LÄN</t>
        </is>
      </c>
      <c r="G2832" t="inlineStr">
        <is>
          <t>LAHOLM</t>
        </is>
      </c>
      <c r="I2832" t="n">
        <v>1.6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s="2" t="inlineStr"/>
    </row>
    <row r="2833" ht="15" customHeight="1">
      <c r="A2833" t="inlineStr">
        <is>
          <t>A 40467-2024</t>
        </is>
      </c>
      <c r="B2833" t="inlineStr">
        <is>
          <t>avverkningsanmälan</t>
        </is>
      </c>
      <c r="C2833" t="inlineStr">
        <is>
          <t>Föryngringsavverkning</t>
        </is>
      </c>
      <c r="D2833" s="1" t="n">
        <v>45555</v>
      </c>
      <c r="E2833" s="1" t="n">
        <v>46315</v>
      </c>
      <c r="F2833" t="inlineStr">
        <is>
          <t>HALLANDS LÄN</t>
        </is>
      </c>
      <c r="G2833" t="inlineStr">
        <is>
          <t>LAHOLM</t>
        </is>
      </c>
      <c r="I2833" t="n">
        <v>4.8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s="2" t="inlineStr"/>
    </row>
    <row r="2834" ht="15" customHeight="1">
      <c r="A2834" t="inlineStr">
        <is>
          <t>A 36770-2025</t>
        </is>
      </c>
      <c r="B2834" t="inlineStr">
        <is>
          <t>avverkningsanmälan</t>
        </is>
      </c>
      <c r="C2834" t="inlineStr">
        <is>
          <t>Föryngringsavverkning</t>
        </is>
      </c>
      <c r="D2834" s="1" t="n">
        <v>45873</v>
      </c>
      <c r="E2834" s="1" t="n">
        <v>46315</v>
      </c>
      <c r="F2834" t="inlineStr">
        <is>
          <t>HALLANDS LÄN</t>
        </is>
      </c>
      <c r="G2834" t="inlineStr">
        <is>
          <t>KUNGSBACKA</t>
        </is>
      </c>
      <c r="I2834" t="n">
        <v>3.3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s="2" t="inlineStr"/>
    </row>
    <row r="2835" ht="15" customHeight="1">
      <c r="A2835" t="inlineStr">
        <is>
          <t>A 28583-2024</t>
        </is>
      </c>
      <c r="B2835" t="inlineStr">
        <is>
          <t>avverkningsanmälan</t>
        </is>
      </c>
      <c r="C2835" t="inlineStr">
        <is>
          <t>Föryngringsavverkning</t>
        </is>
      </c>
      <c r="D2835" s="1" t="n">
        <v>45478</v>
      </c>
      <c r="E2835" s="1" t="n">
        <v>46315</v>
      </c>
      <c r="F2835" t="inlineStr">
        <is>
          <t>HALLANDS LÄN</t>
        </is>
      </c>
      <c r="G2835" t="inlineStr">
        <is>
          <t>KUNGSBACKA</t>
        </is>
      </c>
      <c r="I2835" t="n">
        <v>5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s="2" t="inlineStr"/>
    </row>
    <row r="2836" ht="15" customHeight="1">
      <c r="A2836" t="inlineStr">
        <is>
          <t>A 2817-2025</t>
        </is>
      </c>
      <c r="B2836" t="inlineStr">
        <is>
          <t>avverkningsanmälan</t>
        </is>
      </c>
      <c r="C2836" t="inlineStr">
        <is>
          <t>Föryngringsavverkning</t>
        </is>
      </c>
      <c r="D2836" s="1" t="n">
        <v>45677</v>
      </c>
      <c r="E2836" s="1" t="n">
        <v>46315</v>
      </c>
      <c r="F2836" t="inlineStr">
        <is>
          <t>HALLANDS LÄN</t>
        </is>
      </c>
      <c r="G2836" t="inlineStr">
        <is>
          <t>HYLTE</t>
        </is>
      </c>
      <c r="I2836" t="n">
        <v>1.1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s="2" t="inlineStr"/>
    </row>
    <row r="2837" ht="15" customHeight="1">
      <c r="A2837" t="inlineStr">
        <is>
          <t>A 24266-2025</t>
        </is>
      </c>
      <c r="B2837" t="inlineStr">
        <is>
          <t>avverkningsanmälan</t>
        </is>
      </c>
      <c r="C2837" t="inlineStr">
        <is>
          <t>Föryngringsavverkning</t>
        </is>
      </c>
      <c r="D2837" s="1" t="n">
        <v>45797</v>
      </c>
      <c r="E2837" s="1" t="n">
        <v>46315</v>
      </c>
      <c r="F2837" t="inlineStr">
        <is>
          <t>HALLANDS LÄN</t>
        </is>
      </c>
      <c r="G2837" t="inlineStr">
        <is>
          <t>HALMSTAD</t>
        </is>
      </c>
      <c r="I2837" t="n">
        <v>0.9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s="2" t="inlineStr"/>
    </row>
    <row r="2838" ht="15" customHeight="1">
      <c r="A2838" t="inlineStr">
        <is>
          <t>A 46877-2023</t>
        </is>
      </c>
      <c r="B2838" t="inlineStr">
        <is>
          <t>avverkningsanmälan</t>
        </is>
      </c>
      <c r="C2838" t="inlineStr">
        <is>
          <t>Föryngringsavverkning</t>
        </is>
      </c>
      <c r="D2838" s="1" t="n">
        <v>45200</v>
      </c>
      <c r="E2838" s="1" t="n">
        <v>46315</v>
      </c>
      <c r="F2838" t="inlineStr">
        <is>
          <t>HALLANDS LÄN</t>
        </is>
      </c>
      <c r="G2838" t="inlineStr">
        <is>
          <t>VARBERG</t>
        </is>
      </c>
      <c r="I2838" t="n">
        <v>8.800000000000001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s="2" t="inlineStr"/>
    </row>
    <row r="2839" ht="15" customHeight="1">
      <c r="A2839" t="inlineStr">
        <is>
          <t>A 53427-2023</t>
        </is>
      </c>
      <c r="B2839" t="inlineStr">
        <is>
          <t>avverkningsanmälan</t>
        </is>
      </c>
      <c r="C2839" t="inlineStr">
        <is>
          <t>Föryngringsavverkning</t>
        </is>
      </c>
      <c r="D2839" s="1" t="n">
        <v>45229</v>
      </c>
      <c r="E2839" s="1" t="n">
        <v>46315</v>
      </c>
      <c r="F2839" t="inlineStr">
        <is>
          <t>HALLANDS LÄN</t>
        </is>
      </c>
      <c r="G2839" t="inlineStr">
        <is>
          <t>FALKENBERG</t>
        </is>
      </c>
      <c r="I2839" t="n">
        <v>1.6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s="2" t="inlineStr"/>
    </row>
    <row r="2840" ht="15" customHeight="1">
      <c r="A2840" t="inlineStr">
        <is>
          <t>A 63254-2023</t>
        </is>
      </c>
      <c r="B2840" t="inlineStr">
        <is>
          <t>avverkningsanmälan</t>
        </is>
      </c>
      <c r="C2840" t="inlineStr">
        <is>
          <t>Föryngringsavverkning</t>
        </is>
      </c>
      <c r="D2840" s="1" t="n">
        <v>45273</v>
      </c>
      <c r="E2840" s="1" t="n">
        <v>46315</v>
      </c>
      <c r="F2840" t="inlineStr">
        <is>
          <t>HALLANDS LÄN</t>
        </is>
      </c>
      <c r="G2840" t="inlineStr">
        <is>
          <t>FALKENBERG</t>
        </is>
      </c>
      <c r="I2840" t="n">
        <v>1.5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s="2" t="inlineStr"/>
    </row>
    <row r="2841" ht="15" customHeight="1">
      <c r="A2841" t="inlineStr">
        <is>
          <t>A 24198-2023</t>
        </is>
      </c>
      <c r="B2841" t="inlineStr">
        <is>
          <t>avverkningsanmälan</t>
        </is>
      </c>
      <c r="C2841" t="inlineStr">
        <is>
          <t>Föryngringsavverkning</t>
        </is>
      </c>
      <c r="D2841" s="1" t="n">
        <v>45079</v>
      </c>
      <c r="E2841" s="1" t="n">
        <v>46315</v>
      </c>
      <c r="F2841" t="inlineStr">
        <is>
          <t>HALLANDS LÄN</t>
        </is>
      </c>
      <c r="G2841" t="inlineStr">
        <is>
          <t>FALKENBERG</t>
        </is>
      </c>
      <c r="I2841" t="n">
        <v>4.1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s="2" t="inlineStr"/>
    </row>
    <row r="2842" ht="15" customHeight="1">
      <c r="A2842" t="inlineStr">
        <is>
          <t>A 6103-2024</t>
        </is>
      </c>
      <c r="B2842" t="inlineStr">
        <is>
          <t>avverkningsanmälan</t>
        </is>
      </c>
      <c r="C2842" t="inlineStr">
        <is>
          <t>Föryngringsavverkning</t>
        </is>
      </c>
      <c r="D2842" s="1" t="n">
        <v>45337</v>
      </c>
      <c r="E2842" s="1" t="n">
        <v>46315</v>
      </c>
      <c r="F2842" t="inlineStr">
        <is>
          <t>HALLANDS LÄN</t>
        </is>
      </c>
      <c r="G2842" t="inlineStr">
        <is>
          <t>KUNGSBACKA</t>
        </is>
      </c>
      <c r="I2842" t="n">
        <v>0.9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s="2" t="inlineStr"/>
    </row>
    <row r="2843" ht="15" customHeight="1">
      <c r="A2843" t="inlineStr">
        <is>
          <t>A 6214-2024</t>
        </is>
      </c>
      <c r="B2843" t="inlineStr">
        <is>
          <t>avverkningsanmälan</t>
        </is>
      </c>
      <c r="C2843" t="inlineStr">
        <is>
          <t>Föryngringsavverkning</t>
        </is>
      </c>
      <c r="D2843" s="1" t="n">
        <v>45337</v>
      </c>
      <c r="E2843" s="1" t="n">
        <v>46315</v>
      </c>
      <c r="F2843" t="inlineStr">
        <is>
          <t>HALLANDS LÄN</t>
        </is>
      </c>
      <c r="G2843" t="inlineStr">
        <is>
          <t>KUNGSBACKA</t>
        </is>
      </c>
      <c r="I2843" t="n">
        <v>0.9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s="2" t="inlineStr"/>
    </row>
    <row r="2844" ht="15" customHeight="1">
      <c r="A2844" t="inlineStr">
        <is>
          <t>A 60181-2023</t>
        </is>
      </c>
      <c r="B2844" t="inlineStr">
        <is>
          <t>avverkningsanmälan</t>
        </is>
      </c>
      <c r="C2844" t="inlineStr">
        <is>
          <t>Föryngringsavverkning</t>
        </is>
      </c>
      <c r="D2844" s="1" t="n">
        <v>45257</v>
      </c>
      <c r="E2844" s="1" t="n">
        <v>46315</v>
      </c>
      <c r="F2844" t="inlineStr">
        <is>
          <t>HALLANDS LÄN</t>
        </is>
      </c>
      <c r="G2844" t="inlineStr">
        <is>
          <t>HYLTE</t>
        </is>
      </c>
      <c r="I2844" t="n">
        <v>1.9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s="2" t="inlineStr"/>
    </row>
    <row r="2845" ht="15" customHeight="1">
      <c r="A2845" t="inlineStr">
        <is>
          <t>A 14584-2024</t>
        </is>
      </c>
      <c r="B2845" t="inlineStr">
        <is>
          <t>avverkningsanmälan</t>
        </is>
      </c>
      <c r="C2845" t="inlineStr">
        <is>
          <t>Föryngringsavverkning</t>
        </is>
      </c>
      <c r="D2845" s="1" t="n">
        <v>45395</v>
      </c>
      <c r="E2845" s="1" t="n">
        <v>46315</v>
      </c>
      <c r="F2845" t="inlineStr">
        <is>
          <t>HALLANDS LÄN</t>
        </is>
      </c>
      <c r="G2845" t="inlineStr">
        <is>
          <t>HYLTE</t>
        </is>
      </c>
      <c r="I2845" t="n">
        <v>1.4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s="2" t="inlineStr"/>
    </row>
    <row r="2846" ht="15" customHeight="1">
      <c r="A2846" t="inlineStr">
        <is>
          <t>A 16230-2023</t>
        </is>
      </c>
      <c r="B2846" t="inlineStr">
        <is>
          <t>avverkningsanmälan</t>
        </is>
      </c>
      <c r="C2846" t="inlineStr">
        <is>
          <t>Föryngringsavverkning</t>
        </is>
      </c>
      <c r="D2846" s="1" t="n">
        <v>45028</v>
      </c>
      <c r="E2846" s="1" t="n">
        <v>46315</v>
      </c>
      <c r="F2846" t="inlineStr">
        <is>
          <t>HALLANDS LÄN</t>
        </is>
      </c>
      <c r="G2846" t="inlineStr">
        <is>
          <t>KUNGSBACKA</t>
        </is>
      </c>
      <c r="I2846" t="n">
        <v>2.5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s="2" t="inlineStr"/>
    </row>
    <row r="2847" ht="15" customHeight="1">
      <c r="A2847" t="inlineStr">
        <is>
          <t>A 49760-2024</t>
        </is>
      </c>
      <c r="B2847" t="inlineStr">
        <is>
          <t>avverkningsanmälan</t>
        </is>
      </c>
      <c r="C2847" t="inlineStr">
        <is>
          <t>Avverkning för annat ändamål</t>
        </is>
      </c>
      <c r="D2847" s="1" t="n">
        <v>45597</v>
      </c>
      <c r="E2847" s="1" t="n">
        <v>46315</v>
      </c>
      <c r="F2847" t="inlineStr">
        <is>
          <t>HALLANDS LÄN</t>
        </is>
      </c>
      <c r="G2847" t="inlineStr">
        <is>
          <t>VARBERG</t>
        </is>
      </c>
      <c r="I2847" t="n">
        <v>0.5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s="2" t="inlineStr"/>
    </row>
    <row r="2848" ht="15" customHeight="1">
      <c r="A2848" t="inlineStr">
        <is>
          <t>A 1480-2024</t>
        </is>
      </c>
      <c r="B2848" t="inlineStr">
        <is>
          <t>avverkningsanmälan</t>
        </is>
      </c>
      <c r="C2848" t="inlineStr">
        <is>
          <t>Föryngringsavverkning</t>
        </is>
      </c>
      <c r="D2848" s="1" t="n">
        <v>45305</v>
      </c>
      <c r="E2848" s="1" t="n">
        <v>46315</v>
      </c>
      <c r="F2848" t="inlineStr">
        <is>
          <t>HALLANDS LÄN</t>
        </is>
      </c>
      <c r="G2848" t="inlineStr">
        <is>
          <t>FALKENBERG</t>
        </is>
      </c>
      <c r="I2848" t="n">
        <v>0.5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s="2" t="inlineStr"/>
    </row>
    <row r="2849" ht="15" customHeight="1">
      <c r="A2849" t="inlineStr">
        <is>
          <t>A 34315-2024</t>
        </is>
      </c>
      <c r="B2849" t="inlineStr">
        <is>
          <t>avverkningsanmälan</t>
        </is>
      </c>
      <c r="C2849" t="inlineStr">
        <is>
          <t>Föryngringsavverkning</t>
        </is>
      </c>
      <c r="D2849" s="1" t="n">
        <v>45524</v>
      </c>
      <c r="E2849" s="1" t="n">
        <v>46315</v>
      </c>
      <c r="F2849" t="inlineStr">
        <is>
          <t>HALLANDS LÄN</t>
        </is>
      </c>
      <c r="G2849" t="inlineStr">
        <is>
          <t>KUNGSBACKA</t>
        </is>
      </c>
      <c r="I2849" t="n">
        <v>0.5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s="2" t="inlineStr"/>
    </row>
    <row r="2850" ht="15" customHeight="1">
      <c r="A2850" t="inlineStr">
        <is>
          <t>A 34319-2024</t>
        </is>
      </c>
      <c r="B2850" t="inlineStr">
        <is>
          <t>avverkningsanmälan</t>
        </is>
      </c>
      <c r="C2850" t="inlineStr">
        <is>
          <t>Föryngringsavverkning</t>
        </is>
      </c>
      <c r="D2850" s="1" t="n">
        <v>45524</v>
      </c>
      <c r="E2850" s="1" t="n">
        <v>46315</v>
      </c>
      <c r="F2850" t="inlineStr">
        <is>
          <t>HALLANDS LÄN</t>
        </is>
      </c>
      <c r="G2850" t="inlineStr">
        <is>
          <t>KUNGSBACKA</t>
        </is>
      </c>
      <c r="I2850" t="n">
        <v>0.5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s="2" t="inlineStr"/>
    </row>
    <row r="2851" ht="15" customHeight="1">
      <c r="A2851" t="inlineStr">
        <is>
          <t>A 19534-2022</t>
        </is>
      </c>
      <c r="B2851" t="inlineStr">
        <is>
          <t>avverkningsanmälan</t>
        </is>
      </c>
      <c r="C2851" t="inlineStr">
        <is>
          <t>Föryngringsavverkning</t>
        </is>
      </c>
      <c r="D2851" s="1" t="n">
        <v>44693</v>
      </c>
      <c r="E2851" s="1" t="n">
        <v>46315</v>
      </c>
      <c r="F2851" t="inlineStr">
        <is>
          <t>HALLANDS LÄN</t>
        </is>
      </c>
      <c r="G2851" t="inlineStr">
        <is>
          <t>FALKENBERG</t>
        </is>
      </c>
      <c r="I2851" t="n">
        <v>1.4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s="2" t="inlineStr"/>
    </row>
    <row r="2852" ht="15" customHeight="1">
      <c r="A2852" t="inlineStr">
        <is>
          <t>A 16412-2022</t>
        </is>
      </c>
      <c r="B2852" t="inlineStr">
        <is>
          <t>avverkningsanmälan</t>
        </is>
      </c>
      <c r="C2852" t="inlineStr">
        <is>
          <t>Föryngringsavverkning</t>
        </is>
      </c>
      <c r="D2852" s="1" t="n">
        <v>44671</v>
      </c>
      <c r="E2852" s="1" t="n">
        <v>46315</v>
      </c>
      <c r="F2852" t="inlineStr">
        <is>
          <t>HALLANDS LÄN</t>
        </is>
      </c>
      <c r="G2852" t="inlineStr">
        <is>
          <t>HYLTE</t>
        </is>
      </c>
      <c r="I2852" t="n">
        <v>6.3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s="2" t="inlineStr"/>
    </row>
    <row r="2853" ht="15" customHeight="1">
      <c r="A2853" t="inlineStr">
        <is>
          <t>A 4072-2023</t>
        </is>
      </c>
      <c r="B2853" t="inlineStr">
        <is>
          <t>avverkningsanmälan</t>
        </is>
      </c>
      <c r="C2853" t="inlineStr">
        <is>
          <t>Föryngringsavverkning</t>
        </is>
      </c>
      <c r="D2853" s="1" t="n">
        <v>44952</v>
      </c>
      <c r="E2853" s="1" t="n">
        <v>46315</v>
      </c>
      <c r="F2853" t="inlineStr">
        <is>
          <t>HALLANDS LÄN</t>
        </is>
      </c>
      <c r="G2853" t="inlineStr">
        <is>
          <t>FALKENBERG</t>
        </is>
      </c>
      <c r="I2853" t="n">
        <v>0.6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s="2" t="inlineStr"/>
    </row>
    <row r="2854" ht="15" customHeight="1">
      <c r="A2854" t="inlineStr">
        <is>
          <t>A 29704-2024</t>
        </is>
      </c>
      <c r="B2854" t="inlineStr">
        <is>
          <t>avverkningsanmälan</t>
        </is>
      </c>
      <c r="C2854" t="inlineStr">
        <is>
          <t>Föryngringsavverkning</t>
        </is>
      </c>
      <c r="D2854" s="1" t="n">
        <v>45485</v>
      </c>
      <c r="E2854" s="1" t="n">
        <v>46315</v>
      </c>
      <c r="F2854" t="inlineStr">
        <is>
          <t>HALLANDS LÄN</t>
        </is>
      </c>
      <c r="G2854" t="inlineStr">
        <is>
          <t>LAHOLM</t>
        </is>
      </c>
      <c r="I2854" t="n">
        <v>0.5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s="2" t="inlineStr"/>
    </row>
    <row r="2855" ht="15" customHeight="1">
      <c r="A2855" t="inlineStr">
        <is>
          <t>A 34192-2024</t>
        </is>
      </c>
      <c r="B2855" t="inlineStr">
        <is>
          <t>avverkningsanmälan</t>
        </is>
      </c>
      <c r="C2855" t="inlineStr">
        <is>
          <t>Föryngringsavverkning</t>
        </is>
      </c>
      <c r="D2855" s="1" t="n">
        <v>45524</v>
      </c>
      <c r="E2855" s="1" t="n">
        <v>46315</v>
      </c>
      <c r="F2855" t="inlineStr">
        <is>
          <t>HALLANDS LÄN</t>
        </is>
      </c>
      <c r="G2855" t="inlineStr">
        <is>
          <t>HYLTE</t>
        </is>
      </c>
      <c r="I2855" t="n">
        <v>2.9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s="2" t="inlineStr"/>
    </row>
    <row r="2856" ht="15" customHeight="1">
      <c r="A2856" t="inlineStr">
        <is>
          <t>A 63008-2023</t>
        </is>
      </c>
      <c r="B2856" t="inlineStr">
        <is>
          <t>avverkningsanmälan</t>
        </is>
      </c>
      <c r="C2856" t="inlineStr">
        <is>
          <t>Föryngringsavverkning</t>
        </is>
      </c>
      <c r="D2856" s="1" t="n">
        <v>45272</v>
      </c>
      <c r="E2856" s="1" t="n">
        <v>46315</v>
      </c>
      <c r="F2856" t="inlineStr">
        <is>
          <t>HALLANDS LÄN</t>
        </is>
      </c>
      <c r="G2856" t="inlineStr">
        <is>
          <t>HYLTE</t>
        </is>
      </c>
      <c r="I2856" t="n">
        <v>0.6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s="2" t="inlineStr"/>
    </row>
    <row r="2857" ht="15" customHeight="1">
      <c r="A2857" t="inlineStr">
        <is>
          <t>A 37319-2023</t>
        </is>
      </c>
      <c r="B2857" t="inlineStr">
        <is>
          <t>avverkningsanmälan</t>
        </is>
      </c>
      <c r="C2857" t="inlineStr">
        <is>
          <t>Föryngringsavverkning</t>
        </is>
      </c>
      <c r="D2857" s="1" t="n">
        <v>45156</v>
      </c>
      <c r="E2857" s="1" t="n">
        <v>46315</v>
      </c>
      <c r="F2857" t="inlineStr">
        <is>
          <t>HALLANDS LÄN</t>
        </is>
      </c>
      <c r="G2857" t="inlineStr">
        <is>
          <t>LAHOLM</t>
        </is>
      </c>
      <c r="I2857" t="n">
        <v>0.5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s="2" t="inlineStr"/>
    </row>
    <row r="2858" ht="15" customHeight="1">
      <c r="A2858" t="inlineStr">
        <is>
          <t>A 37322-2023</t>
        </is>
      </c>
      <c r="B2858" t="inlineStr">
        <is>
          <t>avverkningsanmälan</t>
        </is>
      </c>
      <c r="C2858" t="inlineStr">
        <is>
          <t>Föryngringsavverkning</t>
        </is>
      </c>
      <c r="D2858" s="1" t="n">
        <v>45156</v>
      </c>
      <c r="E2858" s="1" t="n">
        <v>46315</v>
      </c>
      <c r="F2858" t="inlineStr">
        <is>
          <t>HALLANDS LÄN</t>
        </is>
      </c>
      <c r="G2858" t="inlineStr">
        <is>
          <t>LAHOLM</t>
        </is>
      </c>
      <c r="I2858" t="n">
        <v>0.9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s="2" t="inlineStr"/>
    </row>
    <row r="2859" ht="15" customHeight="1">
      <c r="A2859" t="inlineStr">
        <is>
          <t>A 39274-2022</t>
        </is>
      </c>
      <c r="B2859" t="inlineStr">
        <is>
          <t>avverkningsanmälan</t>
        </is>
      </c>
      <c r="C2859" t="inlineStr">
        <is>
          <t>Föryngringsavverkning</t>
        </is>
      </c>
      <c r="D2859" s="1" t="n">
        <v>44817</v>
      </c>
      <c r="E2859" s="1" t="n">
        <v>46315</v>
      </c>
      <c r="F2859" t="inlineStr">
        <is>
          <t>HALLANDS LÄN</t>
        </is>
      </c>
      <c r="G2859" t="inlineStr">
        <is>
          <t>HALMSTAD</t>
        </is>
      </c>
      <c r="I2859" t="n">
        <v>2.9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s="2" t="inlineStr"/>
    </row>
    <row r="2860" ht="15" customHeight="1">
      <c r="A2860" t="inlineStr">
        <is>
          <t>A 53109-2024</t>
        </is>
      </c>
      <c r="B2860" t="inlineStr">
        <is>
          <t>avverkningsanmälan</t>
        </is>
      </c>
      <c r="C2860" t="inlineStr">
        <is>
          <t>Föryngringsavverkning</t>
        </is>
      </c>
      <c r="D2860" s="1" t="n">
        <v>45611</v>
      </c>
      <c r="E2860" s="1" t="n">
        <v>46315</v>
      </c>
      <c r="F2860" t="inlineStr">
        <is>
          <t>HALLANDS LÄN</t>
        </is>
      </c>
      <c r="G2860" t="inlineStr">
        <is>
          <t>HALMSTAD</t>
        </is>
      </c>
      <c r="I2860" t="n">
        <v>3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s="2" t="inlineStr"/>
    </row>
    <row r="2861" ht="15" customHeight="1">
      <c r="A2861" t="inlineStr">
        <is>
          <t>A 65916-2021</t>
        </is>
      </c>
      <c r="B2861" t="inlineStr">
        <is>
          <t>avverkningsanmälan</t>
        </is>
      </c>
      <c r="C2861" t="inlineStr">
        <is>
          <t>Föryngringsavverkning</t>
        </is>
      </c>
      <c r="D2861" s="1" t="n">
        <v>44517</v>
      </c>
      <c r="E2861" s="1" t="n">
        <v>46315</v>
      </c>
      <c r="F2861" t="inlineStr">
        <is>
          <t>HALLANDS LÄN</t>
        </is>
      </c>
      <c r="G2861" t="inlineStr">
        <is>
          <t>LAHOLM</t>
        </is>
      </c>
      <c r="I2861" t="n">
        <v>1.5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s="2" t="inlineStr"/>
    </row>
    <row r="2862" ht="15" customHeight="1">
      <c r="A2862" t="inlineStr">
        <is>
          <t>A 57812-2024</t>
        </is>
      </c>
      <c r="B2862" t="inlineStr">
        <is>
          <t>avverkningsanmälan</t>
        </is>
      </c>
      <c r="C2862" t="inlineStr">
        <is>
          <t>Föryngringsavverkning</t>
        </is>
      </c>
      <c r="D2862" s="1" t="n">
        <v>45631</v>
      </c>
      <c r="E2862" s="1" t="n">
        <v>46315</v>
      </c>
      <c r="F2862" t="inlineStr">
        <is>
          <t>HALLANDS LÄN</t>
        </is>
      </c>
      <c r="G2862" t="inlineStr">
        <is>
          <t>KUNGSBACKA</t>
        </is>
      </c>
      <c r="I2862" t="n">
        <v>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s="2" t="inlineStr"/>
    </row>
    <row r="2863" ht="15" customHeight="1">
      <c r="A2863" t="inlineStr">
        <is>
          <t>A 58241-2023</t>
        </is>
      </c>
      <c r="B2863" t="inlineStr">
        <is>
          <t>avverkningsanmälan</t>
        </is>
      </c>
      <c r="C2863" t="inlineStr">
        <is>
          <t>Föryngringsavverkning</t>
        </is>
      </c>
      <c r="D2863" s="1" t="n">
        <v>45245</v>
      </c>
      <c r="E2863" s="1" t="n">
        <v>46315</v>
      </c>
      <c r="F2863" t="inlineStr">
        <is>
          <t>HALLANDS LÄN</t>
        </is>
      </c>
      <c r="G2863" t="inlineStr">
        <is>
          <t>HYLTE</t>
        </is>
      </c>
      <c r="I2863" t="n">
        <v>0.8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s="2" t="inlineStr"/>
    </row>
    <row r="2864" ht="15" customHeight="1">
      <c r="A2864" t="inlineStr">
        <is>
          <t>A 13538-2025</t>
        </is>
      </c>
      <c r="B2864" t="inlineStr">
        <is>
          <t>avverkningsanmälan</t>
        </is>
      </c>
      <c r="C2864" t="inlineStr">
        <is>
          <t>Föryngringsavverkning</t>
        </is>
      </c>
      <c r="D2864" s="1" t="n">
        <v>45736</v>
      </c>
      <c r="E2864" s="1" t="n">
        <v>46315</v>
      </c>
      <c r="F2864" t="inlineStr">
        <is>
          <t>HALLANDS LÄN</t>
        </is>
      </c>
      <c r="G2864" t="inlineStr">
        <is>
          <t>HALMSTAD</t>
        </is>
      </c>
      <c r="I2864" t="n">
        <v>1.4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s="2" t="inlineStr"/>
    </row>
    <row r="2865" ht="15" customHeight="1">
      <c r="A2865" t="inlineStr">
        <is>
          <t>A 28103-2025</t>
        </is>
      </c>
      <c r="B2865" t="inlineStr">
        <is>
          <t>avverkningsanmälan</t>
        </is>
      </c>
      <c r="C2865" t="inlineStr">
        <is>
          <t>Föryngringsavverkning</t>
        </is>
      </c>
      <c r="D2865" s="1" t="n">
        <v>45817</v>
      </c>
      <c r="E2865" s="1" t="n">
        <v>46315</v>
      </c>
      <c r="F2865" t="inlineStr">
        <is>
          <t>HALLANDS LÄN</t>
        </is>
      </c>
      <c r="G2865" t="inlineStr">
        <is>
          <t>FALKENBERG</t>
        </is>
      </c>
      <c r="I2865" t="n">
        <v>3.9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s="2" t="inlineStr"/>
    </row>
    <row r="2866" ht="15" customHeight="1">
      <c r="A2866" t="inlineStr">
        <is>
          <t>A 29349-2025</t>
        </is>
      </c>
      <c r="B2866" t="inlineStr">
        <is>
          <t>avverkningsanmälan</t>
        </is>
      </c>
      <c r="C2866" t="inlineStr">
        <is>
          <t>Föryngringsavverkning</t>
        </is>
      </c>
      <c r="D2866" s="1" t="n">
        <v>45824</v>
      </c>
      <c r="E2866" s="1" t="n">
        <v>46315</v>
      </c>
      <c r="F2866" t="inlineStr">
        <is>
          <t>HALLANDS LÄN</t>
        </is>
      </c>
      <c r="G2866" t="inlineStr">
        <is>
          <t>LAHOLM</t>
        </is>
      </c>
      <c r="I2866" t="n">
        <v>4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s="2" t="inlineStr"/>
    </row>
    <row r="2867" ht="15" customHeight="1">
      <c r="A2867" t="inlineStr">
        <is>
          <t>A 4382-2025</t>
        </is>
      </c>
      <c r="B2867" t="inlineStr">
        <is>
          <t>avverkningsanmälan</t>
        </is>
      </c>
      <c r="C2867" t="inlineStr">
        <is>
          <t>Föryngringsavverkning</t>
        </is>
      </c>
      <c r="D2867" s="1" t="n">
        <v>45686</v>
      </c>
      <c r="E2867" s="1" t="n">
        <v>46315</v>
      </c>
      <c r="F2867" t="inlineStr">
        <is>
          <t>HALLANDS LÄN</t>
        </is>
      </c>
      <c r="G2867" t="inlineStr">
        <is>
          <t>KUNGSBACKA</t>
        </is>
      </c>
      <c r="I2867" t="n">
        <v>2.6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s="2" t="inlineStr"/>
    </row>
    <row r="2868" ht="15" customHeight="1">
      <c r="A2868" t="inlineStr">
        <is>
          <t>A 3262-2025</t>
        </is>
      </c>
      <c r="B2868" t="inlineStr">
        <is>
          <t>avverkningsanmälan</t>
        </is>
      </c>
      <c r="C2868" t="inlineStr">
        <is>
          <t>Föryngringsavverkning</t>
        </is>
      </c>
      <c r="D2868" s="1" t="n">
        <v>45679</v>
      </c>
      <c r="E2868" s="1" t="n">
        <v>46315</v>
      </c>
      <c r="F2868" t="inlineStr">
        <is>
          <t>HALLANDS LÄN</t>
        </is>
      </c>
      <c r="G2868" t="inlineStr">
        <is>
          <t>HYLTE</t>
        </is>
      </c>
      <c r="I2868" t="n">
        <v>2.1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s="2" t="inlineStr"/>
    </row>
    <row r="2869" ht="15" customHeight="1">
      <c r="A2869" t="inlineStr">
        <is>
          <t>A 5868-2025</t>
        </is>
      </c>
      <c r="B2869" t="inlineStr">
        <is>
          <t>avverkningsanmälan</t>
        </is>
      </c>
      <c r="C2869" t="inlineStr">
        <is>
          <t>Föryngringsavverkning</t>
        </is>
      </c>
      <c r="D2869" s="1" t="n">
        <v>45695</v>
      </c>
      <c r="E2869" s="1" t="n">
        <v>46315</v>
      </c>
      <c r="F2869" t="inlineStr">
        <is>
          <t>HALLANDS LÄN</t>
        </is>
      </c>
      <c r="G2869" t="inlineStr">
        <is>
          <t>LAHOLM</t>
        </is>
      </c>
      <c r="I2869" t="n">
        <v>0.8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s="2" t="inlineStr"/>
    </row>
    <row r="2870" ht="15" customHeight="1">
      <c r="A2870" t="inlineStr">
        <is>
          <t>A 5239-2025</t>
        </is>
      </c>
      <c r="B2870" t="inlineStr">
        <is>
          <t>avverkningsanmälan</t>
        </is>
      </c>
      <c r="C2870" t="inlineStr">
        <is>
          <t>Föryngringsavverkning</t>
        </is>
      </c>
      <c r="D2870" s="1" t="n">
        <v>45692</v>
      </c>
      <c r="E2870" s="1" t="n">
        <v>46315</v>
      </c>
      <c r="F2870" t="inlineStr">
        <is>
          <t>HALLANDS LÄN</t>
        </is>
      </c>
      <c r="G2870" t="inlineStr">
        <is>
          <t>HALMSTAD</t>
        </is>
      </c>
      <c r="I2870" t="n">
        <v>3.9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s="2" t="inlineStr"/>
    </row>
    <row r="2871" ht="15" customHeight="1">
      <c r="A2871" t="inlineStr">
        <is>
          <t>A 21279-2024</t>
        </is>
      </c>
      <c r="B2871" t="inlineStr">
        <is>
          <t>avverkningsanmälan</t>
        </is>
      </c>
      <c r="C2871" t="inlineStr">
        <is>
          <t>Föryngringsavverkning</t>
        </is>
      </c>
      <c r="D2871" s="1" t="n">
        <v>45440</v>
      </c>
      <c r="E2871" s="1" t="n">
        <v>46315</v>
      </c>
      <c r="F2871" t="inlineStr">
        <is>
          <t>HALLANDS LÄN</t>
        </is>
      </c>
      <c r="G2871" t="inlineStr">
        <is>
          <t>KUNGSBACKA</t>
        </is>
      </c>
      <c r="I2871" t="n">
        <v>1.2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s="2" t="inlineStr"/>
    </row>
    <row r="2872" ht="15" customHeight="1">
      <c r="A2872" t="inlineStr">
        <is>
          <t>A 23160-2024</t>
        </is>
      </c>
      <c r="B2872" t="inlineStr">
        <is>
          <t>avverkningsanmälan</t>
        </is>
      </c>
      <c r="C2872" t="inlineStr">
        <is>
          <t>Föryngringsavverkning</t>
        </is>
      </c>
      <c r="D2872" s="1" t="n">
        <v>45450</v>
      </c>
      <c r="E2872" s="1" t="n">
        <v>46315</v>
      </c>
      <c r="F2872" t="inlineStr">
        <is>
          <t>HALLANDS LÄN</t>
        </is>
      </c>
      <c r="G2872" t="inlineStr">
        <is>
          <t>LAHOLM</t>
        </is>
      </c>
      <c r="I2872" t="n">
        <v>2.8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s="2" t="inlineStr"/>
    </row>
    <row r="2873" ht="15" customHeight="1">
      <c r="A2873" t="inlineStr">
        <is>
          <t>A 42047-2024</t>
        </is>
      </c>
      <c r="B2873" t="inlineStr">
        <is>
          <t>avverkningsanmälan</t>
        </is>
      </c>
      <c r="C2873" t="inlineStr">
        <is>
          <t>Föryngringsavverkning</t>
        </is>
      </c>
      <c r="D2873" s="1" t="n">
        <v>45561</v>
      </c>
      <c r="E2873" s="1" t="n">
        <v>46315</v>
      </c>
      <c r="F2873" t="inlineStr">
        <is>
          <t>HALLANDS LÄN</t>
        </is>
      </c>
      <c r="G2873" t="inlineStr">
        <is>
          <t>VARBERG</t>
        </is>
      </c>
      <c r="I2873" t="n">
        <v>0.9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s="2" t="inlineStr"/>
    </row>
    <row r="2874" ht="15" customHeight="1">
      <c r="A2874" t="inlineStr">
        <is>
          <t>A 53539-2022</t>
        </is>
      </c>
      <c r="B2874" t="inlineStr">
        <is>
          <t>avverkningsanmälan</t>
        </is>
      </c>
      <c r="C2874" t="inlineStr">
        <is>
          <t>Föryngringsavverkning</t>
        </is>
      </c>
      <c r="D2874" s="1" t="n">
        <v>44879</v>
      </c>
      <c r="E2874" s="1" t="n">
        <v>46315</v>
      </c>
      <c r="F2874" t="inlineStr">
        <is>
          <t>HALLANDS LÄN</t>
        </is>
      </c>
      <c r="G2874" t="inlineStr">
        <is>
          <t>HALMSTAD</t>
        </is>
      </c>
      <c r="I2874" t="n">
        <v>0.7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s="2" t="inlineStr"/>
    </row>
    <row r="2875" ht="15" customHeight="1">
      <c r="A2875" t="inlineStr">
        <is>
          <t>A 53550-2022</t>
        </is>
      </c>
      <c r="B2875" t="inlineStr">
        <is>
          <t>avverkningsanmälan</t>
        </is>
      </c>
      <c r="C2875" t="inlineStr">
        <is>
          <t>Föryngringsavverkning</t>
        </is>
      </c>
      <c r="D2875" s="1" t="n">
        <v>44879</v>
      </c>
      <c r="E2875" s="1" t="n">
        <v>46315</v>
      </c>
      <c r="F2875" t="inlineStr">
        <is>
          <t>HALLANDS LÄN</t>
        </is>
      </c>
      <c r="G2875" t="inlineStr">
        <is>
          <t>HALMSTAD</t>
        </is>
      </c>
      <c r="I2875" t="n">
        <v>0.6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s="2" t="inlineStr"/>
    </row>
    <row r="2876" ht="15" customHeight="1">
      <c r="A2876" t="inlineStr">
        <is>
          <t>A 61778-2022</t>
        </is>
      </c>
      <c r="B2876" t="inlineStr">
        <is>
          <t>avverkningsanmälan</t>
        </is>
      </c>
      <c r="C2876" t="inlineStr">
        <is>
          <t>Föryngringsavverkning</t>
        </is>
      </c>
      <c r="D2876" s="1" t="n">
        <v>44917</v>
      </c>
      <c r="E2876" s="1" t="n">
        <v>46315</v>
      </c>
      <c r="F2876" t="inlineStr">
        <is>
          <t>HALLANDS LÄN</t>
        </is>
      </c>
      <c r="G2876" t="inlineStr">
        <is>
          <t>HALMSTAD</t>
        </is>
      </c>
      <c r="I2876" t="n">
        <v>0.6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s="2" t="inlineStr"/>
    </row>
    <row r="2877" ht="15" customHeight="1">
      <c r="A2877" t="inlineStr">
        <is>
          <t>A 27226-2023</t>
        </is>
      </c>
      <c r="B2877" t="inlineStr">
        <is>
          <t>avverkningsanmälan</t>
        </is>
      </c>
      <c r="C2877" t="inlineStr">
        <is>
          <t>Föryngringsavverkning</t>
        </is>
      </c>
      <c r="D2877" s="1" t="n">
        <v>45096</v>
      </c>
      <c r="E2877" s="1" t="n">
        <v>46315</v>
      </c>
      <c r="F2877" t="inlineStr">
        <is>
          <t>HALLANDS LÄN</t>
        </is>
      </c>
      <c r="G2877" t="inlineStr">
        <is>
          <t>LAHOLM</t>
        </is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s="2" t="inlineStr"/>
    </row>
    <row r="2878" ht="15" customHeight="1">
      <c r="A2878" t="inlineStr">
        <is>
          <t>A 35310-2023</t>
        </is>
      </c>
      <c r="B2878" t="inlineStr">
        <is>
          <t>avverkningsanmälan</t>
        </is>
      </c>
      <c r="C2878" t="inlineStr">
        <is>
          <t>Föryngringsavverkning</t>
        </is>
      </c>
      <c r="D2878" s="1" t="n">
        <v>45146</v>
      </c>
      <c r="E2878" s="1" t="n">
        <v>46315</v>
      </c>
      <c r="F2878" t="inlineStr">
        <is>
          <t>HALLANDS LÄN</t>
        </is>
      </c>
      <c r="G2878" t="inlineStr">
        <is>
          <t>FALKENBERG</t>
        </is>
      </c>
      <c r="I2878" t="n">
        <v>3.2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s="2" t="inlineStr"/>
    </row>
    <row r="2879" ht="15" customHeight="1">
      <c r="A2879" t="inlineStr">
        <is>
          <t>A 39903-2023</t>
        </is>
      </c>
      <c r="B2879" t="inlineStr">
        <is>
          <t>avverkningsanmälan</t>
        </is>
      </c>
      <c r="C2879" t="inlineStr">
        <is>
          <t>Avverkning för annat ändamål</t>
        </is>
      </c>
      <c r="D2879" s="1" t="n">
        <v>45168</v>
      </c>
      <c r="E2879" s="1" t="n">
        <v>46315</v>
      </c>
      <c r="F2879" t="inlineStr">
        <is>
          <t>HALLANDS LÄN</t>
        </is>
      </c>
      <c r="G2879" t="inlineStr">
        <is>
          <t>LAHOLM</t>
        </is>
      </c>
      <c r="I2879" t="n">
        <v>3.1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s="2" t="inlineStr"/>
    </row>
    <row r="2880" ht="15" customHeight="1">
      <c r="A2880" t="inlineStr">
        <is>
          <t>A 52742-2024</t>
        </is>
      </c>
      <c r="B2880" t="inlineStr">
        <is>
          <t>avverkningsanmälan</t>
        </is>
      </c>
      <c r="C2880" t="inlineStr">
        <is>
          <t>Föryngringsavverkning</t>
        </is>
      </c>
      <c r="D2880" s="1" t="n">
        <v>45610</v>
      </c>
      <c r="E2880" s="1" t="n">
        <v>46315</v>
      </c>
      <c r="F2880" t="inlineStr">
        <is>
          <t>HALLANDS LÄN</t>
        </is>
      </c>
      <c r="G2880" t="inlineStr">
        <is>
          <t>HYLTE</t>
        </is>
      </c>
      <c r="I2880" t="n">
        <v>2.2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s="2" t="inlineStr"/>
    </row>
    <row r="2881" ht="15" customHeight="1">
      <c r="A2881" t="inlineStr">
        <is>
          <t>A 19675-2024</t>
        </is>
      </c>
      <c r="B2881" t="inlineStr">
        <is>
          <t>avverkningsanmälan</t>
        </is>
      </c>
      <c r="C2881" t="inlineStr">
        <is>
          <t>Föryngringsavverkning</t>
        </is>
      </c>
      <c r="D2881" s="1" t="n">
        <v>45432</v>
      </c>
      <c r="E2881" s="1" t="n">
        <v>46315</v>
      </c>
      <c r="F2881" t="inlineStr">
        <is>
          <t>HALLANDS LÄN</t>
        </is>
      </c>
      <c r="G2881" t="inlineStr">
        <is>
          <t>HYLTE</t>
        </is>
      </c>
      <c r="I2881" t="n">
        <v>2.3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s="2" t="inlineStr"/>
    </row>
    <row r="2882" ht="15" customHeight="1">
      <c r="A2882" t="inlineStr">
        <is>
          <t>A 33071-2025</t>
        </is>
      </c>
      <c r="B2882" t="inlineStr">
        <is>
          <t>avverkningsanmälan</t>
        </is>
      </c>
      <c r="C2882" t="inlineStr">
        <is>
          <t>Föryngringsavverkning</t>
        </is>
      </c>
      <c r="D2882" s="1" t="n">
        <v>45840</v>
      </c>
      <c r="E2882" s="1" t="n">
        <v>46315</v>
      </c>
      <c r="F2882" t="inlineStr">
        <is>
          <t>HALLANDS LÄN</t>
        </is>
      </c>
      <c r="G2882" t="inlineStr">
        <is>
          <t>FALKENBERG</t>
        </is>
      </c>
      <c r="H2882" t="inlineStr">
        <is>
          <t>Bergvik skog väst AB</t>
        </is>
      </c>
      <c r="I2882" t="n">
        <v>9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s="2" t="inlineStr"/>
    </row>
    <row r="2883" ht="15" customHeight="1">
      <c r="A2883" t="inlineStr">
        <is>
          <t>A 16350-2025</t>
        </is>
      </c>
      <c r="B2883" t="inlineStr">
        <is>
          <t>avverkningsanmälan</t>
        </is>
      </c>
      <c r="C2883" t="inlineStr">
        <is>
          <t>Föryngringsavverkning</t>
        </is>
      </c>
      <c r="D2883" s="1" t="n">
        <v>45751</v>
      </c>
      <c r="E2883" s="1" t="n">
        <v>46315</v>
      </c>
      <c r="F2883" t="inlineStr">
        <is>
          <t>HALLANDS LÄN</t>
        </is>
      </c>
      <c r="G2883" t="inlineStr">
        <is>
          <t>LAHOLM</t>
        </is>
      </c>
      <c r="I2883" t="n">
        <v>4.8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s="2" t="inlineStr"/>
    </row>
    <row r="2884" ht="15" customHeight="1">
      <c r="A2884" t="inlineStr">
        <is>
          <t>A 21869-2023</t>
        </is>
      </c>
      <c r="B2884" t="inlineStr">
        <is>
          <t>avverkningsanmälan</t>
        </is>
      </c>
      <c r="C2884" t="inlineStr">
        <is>
          <t>Föryngringsavverkning</t>
        </is>
      </c>
      <c r="D2884" s="1" t="n">
        <v>45068</v>
      </c>
      <c r="E2884" s="1" t="n">
        <v>46315</v>
      </c>
      <c r="F2884" t="inlineStr">
        <is>
          <t>HALLANDS LÄN</t>
        </is>
      </c>
      <c r="G2884" t="inlineStr">
        <is>
          <t>HALMSTAD</t>
        </is>
      </c>
      <c r="I2884" t="n">
        <v>5.8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s="2" t="inlineStr"/>
    </row>
    <row r="2885" ht="15" customHeight="1">
      <c r="A2885" t="inlineStr">
        <is>
          <t>A 22184-2022</t>
        </is>
      </c>
      <c r="B2885" t="inlineStr">
        <is>
          <t>avverkningsanmälan</t>
        </is>
      </c>
      <c r="C2885" t="inlineStr">
        <is>
          <t>Föryngringsavverkning</t>
        </is>
      </c>
      <c r="D2885" s="1" t="n">
        <v>44712</v>
      </c>
      <c r="E2885" s="1" t="n">
        <v>46315</v>
      </c>
      <c r="F2885" t="inlineStr">
        <is>
          <t>HALLANDS LÄN</t>
        </is>
      </c>
      <c r="G2885" t="inlineStr">
        <is>
          <t>HYLTE</t>
        </is>
      </c>
      <c r="I2885" t="n">
        <v>1.2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s="2" t="inlineStr"/>
    </row>
    <row r="2886" ht="15" customHeight="1">
      <c r="A2886" t="inlineStr">
        <is>
          <t>A 36597-2023</t>
        </is>
      </c>
      <c r="B2886" t="inlineStr">
        <is>
          <t>avverkningsanmälan</t>
        </is>
      </c>
      <c r="C2886" t="inlineStr">
        <is>
          <t>Föryngringsavverkning</t>
        </is>
      </c>
      <c r="D2886" s="1" t="n">
        <v>45153</v>
      </c>
      <c r="E2886" s="1" t="n">
        <v>46315</v>
      </c>
      <c r="F2886" t="inlineStr">
        <is>
          <t>HALLANDS LÄN</t>
        </is>
      </c>
      <c r="G2886" t="inlineStr">
        <is>
          <t>KUNGSBACKA</t>
        </is>
      </c>
      <c r="I2886" t="n">
        <v>2.2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s="2" t="inlineStr"/>
    </row>
    <row r="2887" ht="15" customHeight="1">
      <c r="A2887" t="inlineStr">
        <is>
          <t>A 37748-2023</t>
        </is>
      </c>
      <c r="B2887" t="inlineStr">
        <is>
          <t>avverkningsanmälan</t>
        </is>
      </c>
      <c r="C2887" t="inlineStr">
        <is>
          <t>Föryngringsavverkning</t>
        </is>
      </c>
      <c r="D2887" s="1" t="n">
        <v>45159</v>
      </c>
      <c r="E2887" s="1" t="n">
        <v>46315</v>
      </c>
      <c r="F2887" t="inlineStr">
        <is>
          <t>HALLANDS LÄN</t>
        </is>
      </c>
      <c r="G2887" t="inlineStr">
        <is>
          <t>HALMSTAD</t>
        </is>
      </c>
      <c r="I2887" t="n">
        <v>4.1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s="2" t="inlineStr"/>
    </row>
    <row r="2888" ht="15" customHeight="1">
      <c r="A2888" t="inlineStr">
        <is>
          <t>A 34337-2023</t>
        </is>
      </c>
      <c r="B2888" t="inlineStr">
        <is>
          <t>avverkningsanmälan</t>
        </is>
      </c>
      <c r="C2888" t="inlineStr">
        <is>
          <t>Föryngringsavverkning</t>
        </is>
      </c>
      <c r="D2888" s="1" t="n">
        <v>45131</v>
      </c>
      <c r="E2888" s="1" t="n">
        <v>46315</v>
      </c>
      <c r="F2888" t="inlineStr">
        <is>
          <t>HALLANDS LÄN</t>
        </is>
      </c>
      <c r="G2888" t="inlineStr">
        <is>
          <t>HYLTE</t>
        </is>
      </c>
      <c r="I2888" t="n">
        <v>1.6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s="2" t="inlineStr"/>
    </row>
    <row r="2889" ht="15" customHeight="1">
      <c r="A2889" t="inlineStr">
        <is>
          <t>A 40481-2023</t>
        </is>
      </c>
      <c r="B2889" t="inlineStr">
        <is>
          <t>avverkningsanmälan</t>
        </is>
      </c>
      <c r="C2889" t="inlineStr">
        <is>
          <t>Föryngringsavverkning</t>
        </is>
      </c>
      <c r="D2889" s="1" t="n">
        <v>45170</v>
      </c>
      <c r="E2889" s="1" t="n">
        <v>46315</v>
      </c>
      <c r="F2889" t="inlineStr">
        <is>
          <t>HALLANDS LÄN</t>
        </is>
      </c>
      <c r="G2889" t="inlineStr">
        <is>
          <t>LAHOLM</t>
        </is>
      </c>
      <c r="I2889" t="n">
        <v>1.6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s="2" t="inlineStr"/>
    </row>
    <row r="2890" ht="15" customHeight="1">
      <c r="A2890" t="inlineStr">
        <is>
          <t>A 20414-2022</t>
        </is>
      </c>
      <c r="B2890" t="inlineStr">
        <is>
          <t>avverkningsanmälan</t>
        </is>
      </c>
      <c r="C2890" t="inlineStr">
        <is>
          <t>Föryngringsavverkning</t>
        </is>
      </c>
      <c r="D2890" s="1" t="n">
        <v>44699</v>
      </c>
      <c r="E2890" s="1" t="n">
        <v>46315</v>
      </c>
      <c r="F2890" t="inlineStr">
        <is>
          <t>HALLANDS LÄN</t>
        </is>
      </c>
      <c r="G2890" t="inlineStr">
        <is>
          <t>HALMSTAD</t>
        </is>
      </c>
      <c r="H2890" t="inlineStr">
        <is>
          <t>Kommuner</t>
        </is>
      </c>
      <c r="I2890" t="n">
        <v>2.9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s="2" t="inlineStr"/>
    </row>
    <row r="2891" ht="15" customHeight="1">
      <c r="A2891" t="inlineStr">
        <is>
          <t>A 42582-2023</t>
        </is>
      </c>
      <c r="B2891" t="inlineStr">
        <is>
          <t>avverkningsanmälan</t>
        </is>
      </c>
      <c r="C2891" t="inlineStr">
        <is>
          <t>Föryngringsavverkning</t>
        </is>
      </c>
      <c r="D2891" s="1" t="n">
        <v>45176</v>
      </c>
      <c r="E2891" s="1" t="n">
        <v>46315</v>
      </c>
      <c r="F2891" t="inlineStr">
        <is>
          <t>HALLANDS LÄN</t>
        </is>
      </c>
      <c r="G2891" t="inlineStr">
        <is>
          <t>HYLTE</t>
        </is>
      </c>
      <c r="I2891" t="n">
        <v>4.7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s="2" t="inlineStr"/>
    </row>
    <row r="2892" ht="15" customHeight="1">
      <c r="A2892" t="inlineStr">
        <is>
          <t>A 10396-2024</t>
        </is>
      </c>
      <c r="B2892" t="inlineStr">
        <is>
          <t>avverkningsanmälan</t>
        </is>
      </c>
      <c r="C2892" t="inlineStr">
        <is>
          <t>Föryngringsavverkning</t>
        </is>
      </c>
      <c r="D2892" s="1" t="n">
        <v>45365</v>
      </c>
      <c r="E2892" s="1" t="n">
        <v>46315</v>
      </c>
      <c r="F2892" t="inlineStr">
        <is>
          <t>HALLANDS LÄN</t>
        </is>
      </c>
      <c r="G2892" t="inlineStr">
        <is>
          <t>KUNGSBACKA</t>
        </is>
      </c>
      <c r="I2892" t="n">
        <v>0.8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s="2" t="inlineStr"/>
    </row>
    <row r="2893" ht="15" customHeight="1">
      <c r="A2893" t="inlineStr">
        <is>
          <t>A 6122-2024</t>
        </is>
      </c>
      <c r="B2893" t="inlineStr">
        <is>
          <t>avverkningsanmälan</t>
        </is>
      </c>
      <c r="C2893" t="inlineStr">
        <is>
          <t>Föryngringsavverkning</t>
        </is>
      </c>
      <c r="D2893" s="1" t="n">
        <v>45337</v>
      </c>
      <c r="E2893" s="1" t="n">
        <v>46315</v>
      </c>
      <c r="F2893" t="inlineStr">
        <is>
          <t>HALLANDS LÄN</t>
        </is>
      </c>
      <c r="G2893" t="inlineStr">
        <is>
          <t>FALKENBERG</t>
        </is>
      </c>
      <c r="I2893" t="n">
        <v>4.8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s="2" t="inlineStr"/>
    </row>
    <row r="2894" ht="15" customHeight="1">
      <c r="A2894" t="inlineStr">
        <is>
          <t>A 11406-2024</t>
        </is>
      </c>
      <c r="B2894" t="inlineStr">
        <is>
          <t>avverkningsanmälan</t>
        </is>
      </c>
      <c r="C2894" t="inlineStr">
        <is>
          <t>Föryngringsavverkning</t>
        </is>
      </c>
      <c r="D2894" s="1" t="n">
        <v>45372</v>
      </c>
      <c r="E2894" s="1" t="n">
        <v>46315</v>
      </c>
      <c r="F2894" t="inlineStr">
        <is>
          <t>HALLANDS LÄN</t>
        </is>
      </c>
      <c r="G2894" t="inlineStr">
        <is>
          <t>HYLTE</t>
        </is>
      </c>
      <c r="I2894" t="n">
        <v>1.4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s="2" t="inlineStr"/>
    </row>
    <row r="2895" ht="15" customHeight="1">
      <c r="A2895" t="inlineStr">
        <is>
          <t>A 6911-2024</t>
        </is>
      </c>
      <c r="B2895" t="inlineStr">
        <is>
          <t>avverkningsanmälan</t>
        </is>
      </c>
      <c r="C2895" t="inlineStr">
        <is>
          <t>Föryngringsavverkning</t>
        </is>
      </c>
      <c r="D2895" s="1" t="n">
        <v>45343</v>
      </c>
      <c r="E2895" s="1" t="n">
        <v>46315</v>
      </c>
      <c r="F2895" t="inlineStr">
        <is>
          <t>HALLANDS LÄN</t>
        </is>
      </c>
      <c r="G2895" t="inlineStr">
        <is>
          <t>LAHOLM</t>
        </is>
      </c>
      <c r="I2895" t="n">
        <v>2.1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s="2" t="inlineStr"/>
    </row>
    <row r="2896" ht="15" customHeight="1">
      <c r="A2896" t="inlineStr">
        <is>
          <t>A 9613-2024</t>
        </is>
      </c>
      <c r="B2896" t="inlineStr">
        <is>
          <t>avverkningsanmälan</t>
        </is>
      </c>
      <c r="C2896" t="inlineStr">
        <is>
          <t>Föryngringsavverkning</t>
        </is>
      </c>
      <c r="D2896" s="1" t="n">
        <v>45361</v>
      </c>
      <c r="E2896" s="1" t="n">
        <v>46315</v>
      </c>
      <c r="F2896" t="inlineStr">
        <is>
          <t>HALLANDS LÄN</t>
        </is>
      </c>
      <c r="G2896" t="inlineStr">
        <is>
          <t>HYLTE</t>
        </is>
      </c>
      <c r="I2896" t="n">
        <v>1.1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s="2" t="inlineStr"/>
    </row>
    <row r="2897" ht="15" customHeight="1">
      <c r="A2897" t="inlineStr">
        <is>
          <t>A 37752-2024</t>
        </is>
      </c>
      <c r="B2897" t="inlineStr">
        <is>
          <t>avverkningsanmälan</t>
        </is>
      </c>
      <c r="C2897" t="inlineStr">
        <is>
          <t>Föryngringsavverkning</t>
        </is>
      </c>
      <c r="D2897" s="1" t="n">
        <v>45541</v>
      </c>
      <c r="E2897" s="1" t="n">
        <v>46315</v>
      </c>
      <c r="F2897" t="inlineStr">
        <is>
          <t>HALLANDS LÄN</t>
        </is>
      </c>
      <c r="G2897" t="inlineStr">
        <is>
          <t>HYLTE</t>
        </is>
      </c>
      <c r="I2897" t="n">
        <v>5.5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s="2" t="inlineStr"/>
    </row>
    <row r="2898" ht="15" customHeight="1">
      <c r="A2898" t="inlineStr">
        <is>
          <t>A 60176-2023</t>
        </is>
      </c>
      <c r="B2898" t="inlineStr">
        <is>
          <t>avverkningsanmälan</t>
        </is>
      </c>
      <c r="C2898" t="inlineStr">
        <is>
          <t>Föryngringsavverkning</t>
        </is>
      </c>
      <c r="D2898" s="1" t="n">
        <v>45257</v>
      </c>
      <c r="E2898" s="1" t="n">
        <v>46315</v>
      </c>
      <c r="F2898" t="inlineStr">
        <is>
          <t>HALLANDS LÄN</t>
        </is>
      </c>
      <c r="G2898" t="inlineStr">
        <is>
          <t>HYLTE</t>
        </is>
      </c>
      <c r="H2898" t="inlineStr">
        <is>
          <t>Kommuner</t>
        </is>
      </c>
      <c r="I2898" t="n">
        <v>1.4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s="2" t="inlineStr"/>
    </row>
    <row r="2899" ht="15" customHeight="1">
      <c r="A2899" t="inlineStr">
        <is>
          <t>A 11743-2025</t>
        </is>
      </c>
      <c r="B2899" t="inlineStr">
        <is>
          <t>avverkningsanmälan</t>
        </is>
      </c>
      <c r="C2899" t="inlineStr">
        <is>
          <t>Föryngringsavverkning</t>
        </is>
      </c>
      <c r="D2899" s="1" t="n">
        <v>45727</v>
      </c>
      <c r="E2899" s="1" t="n">
        <v>46315</v>
      </c>
      <c r="F2899" t="inlineStr">
        <is>
          <t>HALLANDS LÄN</t>
        </is>
      </c>
      <c r="G2899" t="inlineStr">
        <is>
          <t>HYLTE</t>
        </is>
      </c>
      <c r="I2899" t="n">
        <v>1.8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s="2" t="inlineStr"/>
    </row>
    <row r="2900" ht="15" customHeight="1">
      <c r="A2900" t="inlineStr">
        <is>
          <t>A 2647-2022</t>
        </is>
      </c>
      <c r="B2900" t="inlineStr">
        <is>
          <t>avverkningsanmälan</t>
        </is>
      </c>
      <c r="C2900" t="inlineStr">
        <is>
          <t>Föryngringsavverkning</t>
        </is>
      </c>
      <c r="D2900" s="1" t="n">
        <v>44580</v>
      </c>
      <c r="E2900" s="1" t="n">
        <v>46315</v>
      </c>
      <c r="F2900" t="inlineStr">
        <is>
          <t>HALLANDS LÄN</t>
        </is>
      </c>
      <c r="G2900" t="inlineStr">
        <is>
          <t>HALMSTAD</t>
        </is>
      </c>
      <c r="I2900" t="n">
        <v>0.6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s="2" t="inlineStr"/>
    </row>
    <row r="2901" ht="15" customHeight="1">
      <c r="A2901" t="inlineStr">
        <is>
          <t>A 61843-2022</t>
        </is>
      </c>
      <c r="B2901" t="inlineStr">
        <is>
          <t>avverkningsanmälan</t>
        </is>
      </c>
      <c r="C2901" t="inlineStr">
        <is>
          <t>Föryngringsavverkning</t>
        </is>
      </c>
      <c r="D2901" s="1" t="n">
        <v>44917</v>
      </c>
      <c r="E2901" s="1" t="n">
        <v>46315</v>
      </c>
      <c r="F2901" t="inlineStr">
        <is>
          <t>HALLANDS LÄN</t>
        </is>
      </c>
      <c r="G2901" t="inlineStr">
        <is>
          <t>HYLTE</t>
        </is>
      </c>
      <c r="I2901" t="n">
        <v>1.6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s="2" t="inlineStr"/>
    </row>
    <row r="2902" ht="15" customHeight="1">
      <c r="A2902" t="inlineStr">
        <is>
          <t>A 4073-2023</t>
        </is>
      </c>
      <c r="B2902" t="inlineStr">
        <is>
          <t>avverkningsanmälan</t>
        </is>
      </c>
      <c r="C2902" t="inlineStr">
        <is>
          <t>Föryngringsavverkning</t>
        </is>
      </c>
      <c r="D2902" s="1" t="n">
        <v>44952</v>
      </c>
      <c r="E2902" s="1" t="n">
        <v>46315</v>
      </c>
      <c r="F2902" t="inlineStr">
        <is>
          <t>HALLANDS LÄN</t>
        </is>
      </c>
      <c r="G2902" t="inlineStr">
        <is>
          <t>FALKENBERG</t>
        </is>
      </c>
      <c r="I2902" t="n">
        <v>4.3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s="2" t="inlineStr"/>
    </row>
    <row r="2903" ht="15" customHeight="1">
      <c r="A2903" t="inlineStr">
        <is>
          <t>A 12448-2025</t>
        </is>
      </c>
      <c r="B2903" t="inlineStr">
        <is>
          <t>avverkningsanmälan</t>
        </is>
      </c>
      <c r="C2903" t="inlineStr">
        <is>
          <t>Föryngringsavverkning</t>
        </is>
      </c>
      <c r="D2903" s="1" t="n">
        <v>45730</v>
      </c>
      <c r="E2903" s="1" t="n">
        <v>46315</v>
      </c>
      <c r="F2903" t="inlineStr">
        <is>
          <t>HALLANDS LÄN</t>
        </is>
      </c>
      <c r="G2903" t="inlineStr">
        <is>
          <t>LAHOLM</t>
        </is>
      </c>
      <c r="I2903" t="n">
        <v>1.3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s="2" t="inlineStr"/>
    </row>
    <row r="2904" ht="15" customHeight="1">
      <c r="A2904" t="inlineStr">
        <is>
          <t>A 18077-2025</t>
        </is>
      </c>
      <c r="B2904" t="inlineStr">
        <is>
          <t>avverkningsanmälan</t>
        </is>
      </c>
      <c r="C2904" t="inlineStr">
        <is>
          <t>Föryngringsavverkning</t>
        </is>
      </c>
      <c r="D2904" s="1" t="n">
        <v>45761</v>
      </c>
      <c r="E2904" s="1" t="n">
        <v>46315</v>
      </c>
      <c r="F2904" t="inlineStr">
        <is>
          <t>HALLANDS LÄN</t>
        </is>
      </c>
      <c r="G2904" t="inlineStr">
        <is>
          <t>FALKENBERG</t>
        </is>
      </c>
      <c r="I2904" t="n">
        <v>1.5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s="2" t="inlineStr"/>
    </row>
    <row r="2905" ht="15" customHeight="1">
      <c r="A2905" t="inlineStr">
        <is>
          <t>A 60442-2024</t>
        </is>
      </c>
      <c r="B2905" t="inlineStr">
        <is>
          <t>avverkningsanmälan</t>
        </is>
      </c>
      <c r="C2905" t="inlineStr">
        <is>
          <t>Föryngringsavverkning</t>
        </is>
      </c>
      <c r="D2905" s="1" t="n">
        <v>45642</v>
      </c>
      <c r="E2905" s="1" t="n">
        <v>46315</v>
      </c>
      <c r="F2905" t="inlineStr">
        <is>
          <t>HALLANDS LÄN</t>
        </is>
      </c>
      <c r="G2905" t="inlineStr">
        <is>
          <t>HALMSTAD</t>
        </is>
      </c>
      <c r="I2905" t="n">
        <v>1.2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s="2" t="inlineStr"/>
    </row>
    <row r="2906" ht="15" customHeight="1">
      <c r="A2906" t="inlineStr">
        <is>
          <t>A 64455-2023</t>
        </is>
      </c>
      <c r="B2906" t="inlineStr">
        <is>
          <t>avverkningsanmälan</t>
        </is>
      </c>
      <c r="C2906" t="inlineStr">
        <is>
          <t>Föryngringsavverkning</t>
        </is>
      </c>
      <c r="D2906" s="1" t="n">
        <v>45280</v>
      </c>
      <c r="E2906" s="1" t="n">
        <v>46315</v>
      </c>
      <c r="F2906" t="inlineStr">
        <is>
          <t>HALLANDS LÄN</t>
        </is>
      </c>
      <c r="G2906" t="inlineStr">
        <is>
          <t>FALKENBERG</t>
        </is>
      </c>
      <c r="I2906" t="n">
        <v>0.8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s="2" t="inlineStr"/>
    </row>
    <row r="2907" ht="15" customHeight="1">
      <c r="A2907" t="inlineStr">
        <is>
          <t>A 13232-2025</t>
        </is>
      </c>
      <c r="B2907" t="inlineStr">
        <is>
          <t>avverkningsanmälan</t>
        </is>
      </c>
      <c r="C2907" t="inlineStr">
        <is>
          <t>Föryngringsavverkning</t>
        </is>
      </c>
      <c r="D2907" s="1" t="n">
        <v>45735</v>
      </c>
      <c r="E2907" s="1" t="n">
        <v>46315</v>
      </c>
      <c r="F2907" t="inlineStr">
        <is>
          <t>HALLANDS LÄN</t>
        </is>
      </c>
      <c r="G2907" t="inlineStr">
        <is>
          <t>HYLTE</t>
        </is>
      </c>
      <c r="I2907" t="n">
        <v>1.5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s="2" t="inlineStr"/>
    </row>
    <row r="2908" ht="15" customHeight="1">
      <c r="A2908" t="inlineStr">
        <is>
          <t>A 588-2024</t>
        </is>
      </c>
      <c r="B2908" t="inlineStr">
        <is>
          <t>avverkningsanmälan</t>
        </is>
      </c>
      <c r="C2908" t="inlineStr">
        <is>
          <t>Föryngringsavverkning</t>
        </is>
      </c>
      <c r="D2908" s="1" t="n">
        <v>45299</v>
      </c>
      <c r="E2908" s="1" t="n">
        <v>46315</v>
      </c>
      <c r="F2908" t="inlineStr">
        <is>
          <t>HALLANDS LÄN</t>
        </is>
      </c>
      <c r="G2908" t="inlineStr">
        <is>
          <t>HALMSTAD</t>
        </is>
      </c>
      <c r="I2908" t="n">
        <v>4.6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s="2" t="inlineStr"/>
    </row>
    <row r="2909" ht="15" customHeight="1">
      <c r="A2909" t="inlineStr">
        <is>
          <t>A 2016-2025</t>
        </is>
      </c>
      <c r="B2909" t="inlineStr">
        <is>
          <t>avverkningsanmälan</t>
        </is>
      </c>
      <c r="C2909" t="inlineStr">
        <is>
          <t>Föryngringsavverkning</t>
        </is>
      </c>
      <c r="D2909" s="1" t="n">
        <v>45672</v>
      </c>
      <c r="E2909" s="1" t="n">
        <v>46315</v>
      </c>
      <c r="F2909" t="inlineStr">
        <is>
          <t>HALLANDS LÄN</t>
        </is>
      </c>
      <c r="G2909" t="inlineStr">
        <is>
          <t>HYLTE</t>
        </is>
      </c>
      <c r="I2909" t="n">
        <v>7.4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s="2" t="inlineStr"/>
    </row>
    <row r="2910" ht="15" customHeight="1">
      <c r="A2910" t="inlineStr">
        <is>
          <t>A 23582-2025</t>
        </is>
      </c>
      <c r="B2910" t="inlineStr">
        <is>
          <t>avverkningsanmälan</t>
        </is>
      </c>
      <c r="C2910" t="inlineStr">
        <is>
          <t>Föryngringsavverkning</t>
        </is>
      </c>
      <c r="D2910" s="1" t="n">
        <v>45792</v>
      </c>
      <c r="E2910" s="1" t="n">
        <v>46315</v>
      </c>
      <c r="F2910" t="inlineStr">
        <is>
          <t>HALLANDS LÄN</t>
        </is>
      </c>
      <c r="G2910" t="inlineStr">
        <is>
          <t>LAHOLM</t>
        </is>
      </c>
      <c r="I2910" t="n">
        <v>3.2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s="2" t="inlineStr"/>
    </row>
    <row r="2911" ht="15" customHeight="1">
      <c r="A2911" t="inlineStr">
        <is>
          <t>A 6149-2024</t>
        </is>
      </c>
      <c r="B2911" t="inlineStr">
        <is>
          <t>avverkningsanmälan</t>
        </is>
      </c>
      <c r="C2911" t="inlineStr">
        <is>
          <t>Föryngringsavverkning</t>
        </is>
      </c>
      <c r="D2911" s="1" t="n">
        <v>45337</v>
      </c>
      <c r="E2911" s="1" t="n">
        <v>46315</v>
      </c>
      <c r="F2911" t="inlineStr">
        <is>
          <t>HALLANDS LÄN</t>
        </is>
      </c>
      <c r="G2911" t="inlineStr">
        <is>
          <t>FALKENBERG</t>
        </is>
      </c>
      <c r="I2911" t="n">
        <v>5.8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s="2" t="inlineStr"/>
    </row>
    <row r="2912" ht="15" customHeight="1">
      <c r="A2912" t="inlineStr">
        <is>
          <t>A 21978-2023</t>
        </is>
      </c>
      <c r="B2912" t="inlineStr">
        <is>
          <t>avverkningsanmälan</t>
        </is>
      </c>
      <c r="C2912" t="inlineStr">
        <is>
          <t>Föryngringsavverkning</t>
        </is>
      </c>
      <c r="D2912" s="1" t="n">
        <v>45068</v>
      </c>
      <c r="E2912" s="1" t="n">
        <v>46315</v>
      </c>
      <c r="F2912" t="inlineStr">
        <is>
          <t>HALLANDS LÄN</t>
        </is>
      </c>
      <c r="G2912" t="inlineStr">
        <is>
          <t>FALKENBERG</t>
        </is>
      </c>
      <c r="I2912" t="n">
        <v>13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s="2" t="inlineStr"/>
    </row>
    <row r="2913" ht="15" customHeight="1">
      <c r="A2913" t="inlineStr">
        <is>
          <t>A 23036-2023</t>
        </is>
      </c>
      <c r="B2913" t="inlineStr">
        <is>
          <t>avverkningsanmälan</t>
        </is>
      </c>
      <c r="C2913" t="inlineStr">
        <is>
          <t>Föryngringsavverkning</t>
        </is>
      </c>
      <c r="D2913" s="1" t="n">
        <v>45074</v>
      </c>
      <c r="E2913" s="1" t="n">
        <v>46315</v>
      </c>
      <c r="F2913" t="inlineStr">
        <is>
          <t>HALLANDS LÄN</t>
        </is>
      </c>
      <c r="G2913" t="inlineStr">
        <is>
          <t>FALKENBERG</t>
        </is>
      </c>
      <c r="I2913" t="n">
        <v>2.7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s="2" t="inlineStr"/>
    </row>
    <row r="2914" ht="15" customHeight="1">
      <c r="A2914" t="inlineStr">
        <is>
          <t>A 26148-2023</t>
        </is>
      </c>
      <c r="B2914" t="inlineStr">
        <is>
          <t>avverkningsanmälan</t>
        </is>
      </c>
      <c r="C2914" t="inlineStr">
        <is>
          <t>Föryngringsavverkning</t>
        </is>
      </c>
      <c r="D2914" s="1" t="n">
        <v>45091</v>
      </c>
      <c r="E2914" s="1" t="n">
        <v>46315</v>
      </c>
      <c r="F2914" t="inlineStr">
        <is>
          <t>HALLANDS LÄN</t>
        </is>
      </c>
      <c r="G2914" t="inlineStr">
        <is>
          <t>KUNGSBACKA</t>
        </is>
      </c>
      <c r="I2914" t="n">
        <v>0.8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s="2" t="inlineStr"/>
    </row>
    <row r="2915" ht="15" customHeight="1">
      <c r="A2915" t="inlineStr">
        <is>
          <t>A 31885-2023</t>
        </is>
      </c>
      <c r="B2915" t="inlineStr">
        <is>
          <t>avverkningsanmälan</t>
        </is>
      </c>
      <c r="C2915" t="inlineStr">
        <is>
          <t>Föryngringsavverkning</t>
        </is>
      </c>
      <c r="D2915" s="1" t="n">
        <v>45118</v>
      </c>
      <c r="E2915" s="1" t="n">
        <v>46315</v>
      </c>
      <c r="F2915" t="inlineStr">
        <is>
          <t>HALLANDS LÄN</t>
        </is>
      </c>
      <c r="G2915" t="inlineStr">
        <is>
          <t>KUNGSBACKA</t>
        </is>
      </c>
      <c r="I2915" t="n">
        <v>1.3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s="2" t="inlineStr"/>
    </row>
    <row r="2916" ht="15" customHeight="1">
      <c r="A2916" t="inlineStr">
        <is>
          <t>A 26920-2023</t>
        </is>
      </c>
      <c r="B2916" t="inlineStr">
        <is>
          <t>avverkningsanmälan</t>
        </is>
      </c>
      <c r="C2916" t="inlineStr">
        <is>
          <t>Föryngringsavverkning</t>
        </is>
      </c>
      <c r="D2916" s="1" t="n">
        <v>45093</v>
      </c>
      <c r="E2916" s="1" t="n">
        <v>46315</v>
      </c>
      <c r="F2916" t="inlineStr">
        <is>
          <t>HALLANDS LÄN</t>
        </is>
      </c>
      <c r="G2916" t="inlineStr">
        <is>
          <t>LAHOLM</t>
        </is>
      </c>
      <c r="I2916" t="n">
        <v>1.5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s="2" t="inlineStr"/>
    </row>
    <row r="2917" ht="15" customHeight="1">
      <c r="A2917" t="inlineStr">
        <is>
          <t>A 21163-2023</t>
        </is>
      </c>
      <c r="B2917" t="inlineStr">
        <is>
          <t>avverkningsanmälan</t>
        </is>
      </c>
      <c r="C2917" t="inlineStr">
        <is>
          <t>Föryngringsavverkning</t>
        </is>
      </c>
      <c r="D2917" s="1" t="n">
        <v>45062</v>
      </c>
      <c r="E2917" s="1" t="n">
        <v>46315</v>
      </c>
      <c r="F2917" t="inlineStr">
        <is>
          <t>HALLANDS LÄN</t>
        </is>
      </c>
      <c r="G2917" t="inlineStr">
        <is>
          <t>KUNGSBACKA</t>
        </is>
      </c>
      <c r="I2917" t="n">
        <v>3.3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s="2" t="inlineStr"/>
    </row>
    <row r="2918" ht="15" customHeight="1">
      <c r="A2918" t="inlineStr">
        <is>
          <t>A 62582-2023</t>
        </is>
      </c>
      <c r="B2918" t="inlineStr">
        <is>
          <t>avverkningsanmälan</t>
        </is>
      </c>
      <c r="C2918" t="inlineStr">
        <is>
          <t>Föryngringsavverkning</t>
        </is>
      </c>
      <c r="D2918" s="1" t="n">
        <v>45270</v>
      </c>
      <c r="E2918" s="1" t="n">
        <v>46315</v>
      </c>
      <c r="F2918" t="inlineStr">
        <is>
          <t>HALLANDS LÄN</t>
        </is>
      </c>
      <c r="G2918" t="inlineStr">
        <is>
          <t>FALKENBERG</t>
        </is>
      </c>
      <c r="I2918" t="n">
        <v>1.6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s="2" t="inlineStr"/>
    </row>
    <row r="2919" ht="15" customHeight="1">
      <c r="A2919" t="inlineStr">
        <is>
          <t>A 62655-2023</t>
        </is>
      </c>
      <c r="B2919" t="inlineStr">
        <is>
          <t>avverkningsanmälan</t>
        </is>
      </c>
      <c r="C2919" t="inlineStr">
        <is>
          <t>Föryngringsavverkning</t>
        </is>
      </c>
      <c r="D2919" s="1" t="n">
        <v>45271</v>
      </c>
      <c r="E2919" s="1" t="n">
        <v>46315</v>
      </c>
      <c r="F2919" t="inlineStr">
        <is>
          <t>HALLANDS LÄN</t>
        </is>
      </c>
      <c r="G2919" t="inlineStr">
        <is>
          <t>VARBERG</t>
        </is>
      </c>
      <c r="I2919" t="n">
        <v>2.3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s="2" t="inlineStr"/>
    </row>
    <row r="2920" ht="15" customHeight="1">
      <c r="A2920" t="inlineStr">
        <is>
          <t>A 48044-2023</t>
        </is>
      </c>
      <c r="B2920" t="inlineStr">
        <is>
          <t>avverkningsanmälan</t>
        </is>
      </c>
      <c r="C2920" t="inlineStr">
        <is>
          <t>Föryngringsavverkning</t>
        </is>
      </c>
      <c r="D2920" s="1" t="n">
        <v>45204</v>
      </c>
      <c r="E2920" s="1" t="n">
        <v>46315</v>
      </c>
      <c r="F2920" t="inlineStr">
        <is>
          <t>HALLANDS LÄN</t>
        </is>
      </c>
      <c r="G2920" t="inlineStr">
        <is>
          <t>HYLTE</t>
        </is>
      </c>
      <c r="I2920" t="n">
        <v>0.6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s="2" t="inlineStr"/>
    </row>
    <row r="2921" ht="15" customHeight="1">
      <c r="A2921" t="inlineStr">
        <is>
          <t>A 53-2024</t>
        </is>
      </c>
      <c r="B2921" t="inlineStr">
        <is>
          <t>avverkningsanmälan</t>
        </is>
      </c>
      <c r="C2921" t="inlineStr">
        <is>
          <t>Föryngringsavverkning</t>
        </is>
      </c>
      <c r="D2921" s="1" t="n">
        <v>45293</v>
      </c>
      <c r="E2921" s="1" t="n">
        <v>46315</v>
      </c>
      <c r="F2921" t="inlineStr">
        <is>
          <t>HALLANDS LÄN</t>
        </is>
      </c>
      <c r="G2921" t="inlineStr">
        <is>
          <t>HYLTE</t>
        </is>
      </c>
      <c r="I2921" t="n">
        <v>0.8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s="2" t="inlineStr"/>
    </row>
    <row r="2922" ht="15" customHeight="1">
      <c r="A2922" t="inlineStr">
        <is>
          <t>A 57378-2023</t>
        </is>
      </c>
      <c r="B2922" t="inlineStr">
        <is>
          <t>avverkningsanmälan</t>
        </is>
      </c>
      <c r="C2922" t="inlineStr">
        <is>
          <t>Föryngringsavverkning</t>
        </is>
      </c>
      <c r="D2922" s="1" t="n">
        <v>45245</v>
      </c>
      <c r="E2922" s="1" t="n">
        <v>46315</v>
      </c>
      <c r="F2922" t="inlineStr">
        <is>
          <t>HALLANDS LÄN</t>
        </is>
      </c>
      <c r="G2922" t="inlineStr">
        <is>
          <t>HYLTE</t>
        </is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s="2" t="inlineStr"/>
    </row>
    <row r="2923" ht="15" customHeight="1">
      <c r="A2923" t="inlineStr">
        <is>
          <t>A 3832-2023</t>
        </is>
      </c>
      <c r="B2923" t="inlineStr">
        <is>
          <t>avverkningsanmälan</t>
        </is>
      </c>
      <c r="C2923" t="inlineStr">
        <is>
          <t>Föryngringsavverkning</t>
        </is>
      </c>
      <c r="D2923" s="1" t="n">
        <v>44951</v>
      </c>
      <c r="E2923" s="1" t="n">
        <v>46315</v>
      </c>
      <c r="F2923" t="inlineStr">
        <is>
          <t>HALLANDS LÄN</t>
        </is>
      </c>
      <c r="G2923" t="inlineStr">
        <is>
          <t>LAHOLM</t>
        </is>
      </c>
      <c r="I2923" t="n">
        <v>6.2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s="2" t="inlineStr"/>
    </row>
    <row r="2924" ht="15" customHeight="1">
      <c r="A2924" t="inlineStr">
        <is>
          <t>A 2438-2024</t>
        </is>
      </c>
      <c r="B2924" t="inlineStr">
        <is>
          <t>avverkningsanmälan</t>
        </is>
      </c>
      <c r="C2924" t="inlineStr">
        <is>
          <t>Avverkning för annat ändamål</t>
        </is>
      </c>
      <c r="D2924" s="1" t="n">
        <v>45311</v>
      </c>
      <c r="E2924" s="1" t="n">
        <v>46315</v>
      </c>
      <c r="F2924" t="inlineStr">
        <is>
          <t>HALLANDS LÄN</t>
        </is>
      </c>
      <c r="G2924" t="inlineStr">
        <is>
          <t>HALMSTAD</t>
        </is>
      </c>
      <c r="I2924" t="n">
        <v>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s="2" t="inlineStr"/>
    </row>
    <row r="2925" ht="15" customHeight="1">
      <c r="A2925" t="inlineStr">
        <is>
          <t>A 58107-2023</t>
        </is>
      </c>
      <c r="B2925" t="inlineStr">
        <is>
          <t>avverkningsanmälan</t>
        </is>
      </c>
      <c r="C2925" t="inlineStr">
        <is>
          <t>Föryngringsavverkning</t>
        </is>
      </c>
      <c r="D2925" s="1" t="n">
        <v>45249</v>
      </c>
      <c r="E2925" s="1" t="n">
        <v>46315</v>
      </c>
      <c r="F2925" t="inlineStr">
        <is>
          <t>HALLANDS LÄN</t>
        </is>
      </c>
      <c r="G2925" t="inlineStr">
        <is>
          <t>FALKENBERG</t>
        </is>
      </c>
      <c r="I2925" t="n">
        <v>2.7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s="2" t="inlineStr"/>
    </row>
    <row r="2926" ht="15" customHeight="1">
      <c r="A2926" t="inlineStr">
        <is>
          <t>A 10061-2022</t>
        </is>
      </c>
      <c r="B2926" t="inlineStr">
        <is>
          <t>avverkningsanmälan</t>
        </is>
      </c>
      <c r="C2926" t="inlineStr">
        <is>
          <t>Föryngringsavverkning</t>
        </is>
      </c>
      <c r="D2926" s="1" t="n">
        <v>44621</v>
      </c>
      <c r="E2926" s="1" t="n">
        <v>46315</v>
      </c>
      <c r="F2926" t="inlineStr">
        <is>
          <t>HALLANDS LÄN</t>
        </is>
      </c>
      <c r="G2926" t="inlineStr">
        <is>
          <t>HALMSTAD</t>
        </is>
      </c>
      <c r="I2926" t="n">
        <v>2.5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s="2" t="inlineStr"/>
    </row>
    <row r="2927" ht="15" customHeight="1">
      <c r="A2927" t="inlineStr">
        <is>
          <t>A 16410-2022</t>
        </is>
      </c>
      <c r="B2927" t="inlineStr">
        <is>
          <t>avverkningsanmälan</t>
        </is>
      </c>
      <c r="C2927" t="inlineStr">
        <is>
          <t>Föryngringsavverkning</t>
        </is>
      </c>
      <c r="D2927" s="1" t="n">
        <v>44671</v>
      </c>
      <c r="E2927" s="1" t="n">
        <v>46315</v>
      </c>
      <c r="F2927" t="inlineStr">
        <is>
          <t>HALLANDS LÄN</t>
        </is>
      </c>
      <c r="G2927" t="inlineStr">
        <is>
          <t>HYLTE</t>
        </is>
      </c>
      <c r="I2927" t="n">
        <v>3.1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s="2" t="inlineStr"/>
    </row>
    <row r="2928" ht="15" customHeight="1">
      <c r="A2928" t="inlineStr">
        <is>
          <t>A 72361-2021</t>
        </is>
      </c>
      <c r="B2928" t="inlineStr">
        <is>
          <t>avverkningsanmälan</t>
        </is>
      </c>
      <c r="C2928" t="inlineStr">
        <is>
          <t>Föryngringsavverkning</t>
        </is>
      </c>
      <c r="D2928" s="1" t="n">
        <v>44545</v>
      </c>
      <c r="E2928" s="1" t="n">
        <v>46315</v>
      </c>
      <c r="F2928" t="inlineStr">
        <is>
          <t>HALLANDS LÄN</t>
        </is>
      </c>
      <c r="G2928" t="inlineStr">
        <is>
          <t>VARBERG</t>
        </is>
      </c>
      <c r="I2928" t="n">
        <v>2.5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s="2" t="inlineStr"/>
    </row>
    <row r="2929" ht="15" customHeight="1">
      <c r="A2929" t="inlineStr">
        <is>
          <t>A 57420-2022</t>
        </is>
      </c>
      <c r="B2929" t="inlineStr">
        <is>
          <t>avverkningsanmälan</t>
        </is>
      </c>
      <c r="C2929" t="inlineStr">
        <is>
          <t>Föryngringsavverkning</t>
        </is>
      </c>
      <c r="D2929" s="1" t="n">
        <v>44896</v>
      </c>
      <c r="E2929" s="1" t="n">
        <v>46315</v>
      </c>
      <c r="F2929" t="inlineStr">
        <is>
          <t>HALLANDS LÄN</t>
        </is>
      </c>
      <c r="G2929" t="inlineStr">
        <is>
          <t>HYLTE</t>
        </is>
      </c>
      <c r="I2929" t="n">
        <v>1.5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s="2" t="inlineStr"/>
    </row>
    <row r="2930" ht="15" customHeight="1">
      <c r="A2930" t="inlineStr">
        <is>
          <t>A 45974-2022</t>
        </is>
      </c>
      <c r="B2930" t="inlineStr">
        <is>
          <t>avverkningsanmälan</t>
        </is>
      </c>
      <c r="C2930" t="inlineStr">
        <is>
          <t>Föryngringsavverkning</t>
        </is>
      </c>
      <c r="D2930" s="1" t="n">
        <v>44846</v>
      </c>
      <c r="E2930" s="1" t="n">
        <v>46315</v>
      </c>
      <c r="F2930" t="inlineStr">
        <is>
          <t>HALLANDS LÄN</t>
        </is>
      </c>
      <c r="G2930" t="inlineStr">
        <is>
          <t>FALKENBERG</t>
        </is>
      </c>
      <c r="I2930" t="n">
        <v>3.6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s="2" t="inlineStr"/>
    </row>
    <row r="2931" ht="15" customHeight="1">
      <c r="A2931" t="inlineStr">
        <is>
          <t>A 59921-2022</t>
        </is>
      </c>
      <c r="B2931" t="inlineStr">
        <is>
          <t>avverkningsanmälan</t>
        </is>
      </c>
      <c r="C2931" t="inlineStr">
        <is>
          <t>Föryngringsavverkning</t>
        </is>
      </c>
      <c r="D2931" s="1" t="n">
        <v>44909</v>
      </c>
      <c r="E2931" s="1" t="n">
        <v>46315</v>
      </c>
      <c r="F2931" t="inlineStr">
        <is>
          <t>HALLANDS LÄN</t>
        </is>
      </c>
      <c r="G2931" t="inlineStr">
        <is>
          <t>LAHOLM</t>
        </is>
      </c>
      <c r="I2931" t="n">
        <v>1.3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s="2" t="inlineStr"/>
    </row>
    <row r="2932" ht="15" customHeight="1">
      <c r="A2932" t="inlineStr">
        <is>
          <t>A 14606-2023</t>
        </is>
      </c>
      <c r="B2932" t="inlineStr">
        <is>
          <t>avverkningsanmälan</t>
        </is>
      </c>
      <c r="C2932" t="inlineStr">
        <is>
          <t>Föryngringsavverkning</t>
        </is>
      </c>
      <c r="D2932" s="1" t="n">
        <v>45013</v>
      </c>
      <c r="E2932" s="1" t="n">
        <v>46315</v>
      </c>
      <c r="F2932" t="inlineStr">
        <is>
          <t>HALLANDS LÄN</t>
        </is>
      </c>
      <c r="G2932" t="inlineStr">
        <is>
          <t>FALKENBERG</t>
        </is>
      </c>
      <c r="I2932" t="n">
        <v>2.3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s="2" t="inlineStr"/>
    </row>
    <row r="2933" ht="15" customHeight="1">
      <c r="A2933" t="inlineStr">
        <is>
          <t>A 13326-2022</t>
        </is>
      </c>
      <c r="B2933" t="inlineStr">
        <is>
          <t>avverkningsanmälan</t>
        </is>
      </c>
      <c r="C2933" t="inlineStr">
        <is>
          <t>Föryngringsavverkning</t>
        </is>
      </c>
      <c r="D2933" s="1" t="n">
        <v>44645</v>
      </c>
      <c r="E2933" s="1" t="n">
        <v>46315</v>
      </c>
      <c r="F2933" t="inlineStr">
        <is>
          <t>HALLANDS LÄN</t>
        </is>
      </c>
      <c r="G2933" t="inlineStr">
        <is>
          <t>LAHOLM</t>
        </is>
      </c>
      <c r="I2933" t="n">
        <v>1.1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s="2" t="inlineStr"/>
    </row>
    <row r="2934" ht="15" customHeight="1">
      <c r="A2934" t="inlineStr">
        <is>
          <t>A 9572-2023</t>
        </is>
      </c>
      <c r="B2934" t="inlineStr">
        <is>
          <t>avverkningsanmälan</t>
        </is>
      </c>
      <c r="C2934" t="inlineStr">
        <is>
          <t>Föryngringsavverkning</t>
        </is>
      </c>
      <c r="D2934" s="1" t="n">
        <v>44982</v>
      </c>
      <c r="E2934" s="1" t="n">
        <v>46315</v>
      </c>
      <c r="F2934" t="inlineStr">
        <is>
          <t>HALLANDS LÄN</t>
        </is>
      </c>
      <c r="G2934" t="inlineStr">
        <is>
          <t>VARBERG</t>
        </is>
      </c>
      <c r="I2934" t="n">
        <v>1.9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s="2" t="inlineStr"/>
    </row>
    <row r="2935" ht="15" customHeight="1">
      <c r="A2935" t="inlineStr">
        <is>
          <t>A 8574-2023</t>
        </is>
      </c>
      <c r="B2935" t="inlineStr">
        <is>
          <t>avverkningsanmälan</t>
        </is>
      </c>
      <c r="C2935" t="inlineStr">
        <is>
          <t>Föryngringsavverkning</t>
        </is>
      </c>
      <c r="D2935" s="1" t="n">
        <v>44977</v>
      </c>
      <c r="E2935" s="1" t="n">
        <v>46315</v>
      </c>
      <c r="F2935" t="inlineStr">
        <is>
          <t>HALLANDS LÄN</t>
        </is>
      </c>
      <c r="G2935" t="inlineStr">
        <is>
          <t>LAHOLM</t>
        </is>
      </c>
      <c r="I2935" t="n">
        <v>3.2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s="2" t="inlineStr"/>
    </row>
    <row r="2936" ht="15" customHeight="1">
      <c r="A2936" t="inlineStr">
        <is>
          <t>A 12717-2023</t>
        </is>
      </c>
      <c r="B2936" t="inlineStr">
        <is>
          <t>avverkningsanmälan</t>
        </is>
      </c>
      <c r="C2936" t="inlineStr">
        <is>
          <t>Föryngringsavverkning</t>
        </is>
      </c>
      <c r="D2936" s="1" t="n">
        <v>45000</v>
      </c>
      <c r="E2936" s="1" t="n">
        <v>46315</v>
      </c>
      <c r="F2936" t="inlineStr">
        <is>
          <t>HALLANDS LÄN</t>
        </is>
      </c>
      <c r="G2936" t="inlineStr">
        <is>
          <t>HALMSTAD</t>
        </is>
      </c>
      <c r="I2936" t="n">
        <v>1.9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s="2" t="inlineStr"/>
    </row>
    <row r="2937" ht="15" customHeight="1">
      <c r="A2937" t="inlineStr">
        <is>
          <t>A 13532-2023</t>
        </is>
      </c>
      <c r="B2937" t="inlineStr">
        <is>
          <t>avverkningsanmälan</t>
        </is>
      </c>
      <c r="C2937" t="inlineStr">
        <is>
          <t>Föryngringsavverkning</t>
        </is>
      </c>
      <c r="D2937" s="1" t="n">
        <v>45006</v>
      </c>
      <c r="E2937" s="1" t="n">
        <v>46315</v>
      </c>
      <c r="F2937" t="inlineStr">
        <is>
          <t>HALLANDS LÄN</t>
        </is>
      </c>
      <c r="G2937" t="inlineStr">
        <is>
          <t>HALMSTAD</t>
        </is>
      </c>
      <c r="I2937" t="n">
        <v>2.1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s="2" t="inlineStr"/>
    </row>
    <row r="2938" ht="15" customHeight="1">
      <c r="A2938" t="inlineStr">
        <is>
          <t>A 45970-2022</t>
        </is>
      </c>
      <c r="B2938" t="inlineStr">
        <is>
          <t>avverkningsanmälan</t>
        </is>
      </c>
      <c r="C2938" t="inlineStr">
        <is>
          <t>Föryngringsavverkning</t>
        </is>
      </c>
      <c r="D2938" s="1" t="n">
        <v>44846</v>
      </c>
      <c r="E2938" s="1" t="n">
        <v>46315</v>
      </c>
      <c r="F2938" t="inlineStr">
        <is>
          <t>HALLANDS LÄN</t>
        </is>
      </c>
      <c r="G2938" t="inlineStr">
        <is>
          <t>FALKENBERG</t>
        </is>
      </c>
      <c r="I2938" t="n">
        <v>2.2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s="2" t="inlineStr"/>
    </row>
    <row r="2939" ht="15" customHeight="1">
      <c r="A2939" t="inlineStr">
        <is>
          <t>A 4757-2022</t>
        </is>
      </c>
      <c r="B2939" t="inlineStr">
        <is>
          <t>avverkningsanmälan</t>
        </is>
      </c>
      <c r="C2939" t="inlineStr">
        <is>
          <t>Föryngringsavverkning</t>
        </is>
      </c>
      <c r="D2939" s="1" t="n">
        <v>44592</v>
      </c>
      <c r="E2939" s="1" t="n">
        <v>46315</v>
      </c>
      <c r="F2939" t="inlineStr">
        <is>
          <t>HALLANDS LÄN</t>
        </is>
      </c>
      <c r="G2939" t="inlineStr">
        <is>
          <t>HYLTE</t>
        </is>
      </c>
      <c r="I2939" t="n">
        <v>2.4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s="2" t="inlineStr"/>
    </row>
    <row r="2940" ht="15" customHeight="1">
      <c r="A2940" t="inlineStr">
        <is>
          <t>A 53126-2023</t>
        </is>
      </c>
      <c r="B2940" t="inlineStr">
        <is>
          <t>avverkningsanmälan</t>
        </is>
      </c>
      <c r="C2940" t="inlineStr">
        <is>
          <t>Föryngringsavverkning</t>
        </is>
      </c>
      <c r="D2940" s="1" t="n">
        <v>45229</v>
      </c>
      <c r="E2940" s="1" t="n">
        <v>46315</v>
      </c>
      <c r="F2940" t="inlineStr">
        <is>
          <t>HALLANDS LÄN</t>
        </is>
      </c>
      <c r="G2940" t="inlineStr">
        <is>
          <t>HALMSTAD</t>
        </is>
      </c>
      <c r="I2940" t="n">
        <v>4.1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s="2" t="inlineStr"/>
    </row>
    <row r="2941" ht="15" customHeight="1">
      <c r="A2941" t="inlineStr">
        <is>
          <t>A 41864-2022</t>
        </is>
      </c>
      <c r="B2941" t="inlineStr">
        <is>
          <t>avverkningsanmälan</t>
        </is>
      </c>
      <c r="C2941" t="inlineStr">
        <is>
          <t>Föryngringsavverkning</t>
        </is>
      </c>
      <c r="D2941" s="1" t="n">
        <v>44829</v>
      </c>
      <c r="E2941" s="1" t="n">
        <v>46315</v>
      </c>
      <c r="F2941" t="inlineStr">
        <is>
          <t>HALLANDS LÄN</t>
        </is>
      </c>
      <c r="G2941" t="inlineStr">
        <is>
          <t>VARBERG</t>
        </is>
      </c>
      <c r="I2941" t="n">
        <v>2.6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s="2" t="inlineStr"/>
    </row>
    <row r="2942" ht="15" customHeight="1">
      <c r="A2942" t="inlineStr">
        <is>
          <t>A 60594-2023</t>
        </is>
      </c>
      <c r="B2942" t="inlineStr">
        <is>
          <t>avverkningsanmälan</t>
        </is>
      </c>
      <c r="C2942" t="inlineStr">
        <is>
          <t>Föryngringsavverkning</t>
        </is>
      </c>
      <c r="D2942" s="1" t="n">
        <v>45260</v>
      </c>
      <c r="E2942" s="1" t="n">
        <v>46315</v>
      </c>
      <c r="F2942" t="inlineStr">
        <is>
          <t>HALLANDS LÄN</t>
        </is>
      </c>
      <c r="G2942" t="inlineStr">
        <is>
          <t>FALKENBERG</t>
        </is>
      </c>
      <c r="I2942" t="n">
        <v>5.1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s="2" t="inlineStr"/>
    </row>
    <row r="2943" ht="15" customHeight="1">
      <c r="A2943" t="inlineStr">
        <is>
          <t>A 61835-2023</t>
        </is>
      </c>
      <c r="B2943" t="inlineStr">
        <is>
          <t>avverkningsanmälan</t>
        </is>
      </c>
      <c r="C2943" t="inlineStr">
        <is>
          <t>Föryngringsavverkning</t>
        </is>
      </c>
      <c r="D2943" s="1" t="n">
        <v>45266</v>
      </c>
      <c r="E2943" s="1" t="n">
        <v>46315</v>
      </c>
      <c r="F2943" t="inlineStr">
        <is>
          <t>HALLANDS LÄN</t>
        </is>
      </c>
      <c r="G2943" t="inlineStr">
        <is>
          <t>HALMSTAD</t>
        </is>
      </c>
      <c r="I2943" t="n">
        <v>12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s="2" t="inlineStr"/>
    </row>
    <row r="2944" ht="15" customHeight="1">
      <c r="A2944" t="inlineStr">
        <is>
          <t>A 58089-2023</t>
        </is>
      </c>
      <c r="B2944" t="inlineStr">
        <is>
          <t>avverkningsanmälan</t>
        </is>
      </c>
      <c r="C2944" t="inlineStr">
        <is>
          <t>Föryngringsavverkning</t>
        </is>
      </c>
      <c r="D2944" s="1" t="n">
        <v>45248</v>
      </c>
      <c r="E2944" s="1" t="n">
        <v>46315</v>
      </c>
      <c r="F2944" t="inlineStr">
        <is>
          <t>HALLANDS LÄN</t>
        </is>
      </c>
      <c r="G2944" t="inlineStr">
        <is>
          <t>FALKENBERG</t>
        </is>
      </c>
      <c r="H2944" t="inlineStr">
        <is>
          <t>Bergvik skog väst AB</t>
        </is>
      </c>
      <c r="I2944" t="n">
        <v>2.2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s="2" t="inlineStr"/>
    </row>
    <row r="2945" ht="15" customHeight="1">
      <c r="A2945" t="inlineStr">
        <is>
          <t>A 58106-2023</t>
        </is>
      </c>
      <c r="B2945" t="inlineStr">
        <is>
          <t>avverkningsanmälan</t>
        </is>
      </c>
      <c r="C2945" t="inlineStr">
        <is>
          <t>Föryngringsavverkning</t>
        </is>
      </c>
      <c r="D2945" s="1" t="n">
        <v>45249</v>
      </c>
      <c r="E2945" s="1" t="n">
        <v>46315</v>
      </c>
      <c r="F2945" t="inlineStr">
        <is>
          <t>HALLANDS LÄN</t>
        </is>
      </c>
      <c r="G2945" t="inlineStr">
        <is>
          <t>FALKENBERG</t>
        </is>
      </c>
      <c r="I2945" t="n">
        <v>3.6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s="2" t="inlineStr"/>
    </row>
    <row r="2946" ht="15" customHeight="1">
      <c r="A2946" t="inlineStr">
        <is>
          <t>A 62712-2023</t>
        </is>
      </c>
      <c r="B2946" t="inlineStr">
        <is>
          <t>avverkningsanmälan</t>
        </is>
      </c>
      <c r="C2946" t="inlineStr">
        <is>
          <t>Föryngringsavverkning</t>
        </is>
      </c>
      <c r="D2946" s="1" t="n">
        <v>45271</v>
      </c>
      <c r="E2946" s="1" t="n">
        <v>46315</v>
      </c>
      <c r="F2946" t="inlineStr">
        <is>
          <t>HALLANDS LÄN</t>
        </is>
      </c>
      <c r="G2946" t="inlineStr">
        <is>
          <t>FALKENBERG</t>
        </is>
      </c>
      <c r="I2946" t="n">
        <v>1.4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s="2" t="inlineStr"/>
    </row>
    <row r="2947" ht="15" customHeight="1">
      <c r="A2947" t="inlineStr">
        <is>
          <t>A 62791-2023</t>
        </is>
      </c>
      <c r="B2947" t="inlineStr">
        <is>
          <t>avverkningsanmälan</t>
        </is>
      </c>
      <c r="C2947" t="inlineStr">
        <is>
          <t>Föryngringsavverkning</t>
        </is>
      </c>
      <c r="D2947" s="1" t="n">
        <v>45271</v>
      </c>
      <c r="E2947" s="1" t="n">
        <v>46315</v>
      </c>
      <c r="F2947" t="inlineStr">
        <is>
          <t>HALLANDS LÄN</t>
        </is>
      </c>
      <c r="G2947" t="inlineStr">
        <is>
          <t>VARBERG</t>
        </is>
      </c>
      <c r="I2947" t="n">
        <v>1.4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s="2" t="inlineStr"/>
    </row>
    <row r="2948" ht="15" customHeight="1">
      <c r="A2948" t="inlineStr">
        <is>
          <t>A 63104-2023</t>
        </is>
      </c>
      <c r="B2948" t="inlineStr">
        <is>
          <t>avverkningsanmälan</t>
        </is>
      </c>
      <c r="C2948" t="inlineStr">
        <is>
          <t>Föryngringsavverkning</t>
        </is>
      </c>
      <c r="D2948" s="1" t="n">
        <v>45273</v>
      </c>
      <c r="E2948" s="1" t="n">
        <v>46315</v>
      </c>
      <c r="F2948" t="inlineStr">
        <is>
          <t>HALLANDS LÄN</t>
        </is>
      </c>
      <c r="G2948" t="inlineStr">
        <is>
          <t>KUNGSBACKA</t>
        </is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s="2" t="inlineStr"/>
    </row>
    <row r="2949" ht="15" customHeight="1">
      <c r="A2949" t="inlineStr">
        <is>
          <t>A 63823-2023</t>
        </is>
      </c>
      <c r="B2949" t="inlineStr">
        <is>
          <t>avverkningsanmälan</t>
        </is>
      </c>
      <c r="C2949" t="inlineStr">
        <is>
          <t>Föryngringsavverkning</t>
        </is>
      </c>
      <c r="D2949" s="1" t="n">
        <v>45278</v>
      </c>
      <c r="E2949" s="1" t="n">
        <v>46315</v>
      </c>
      <c r="F2949" t="inlineStr">
        <is>
          <t>HALLANDS LÄN</t>
        </is>
      </c>
      <c r="G2949" t="inlineStr">
        <is>
          <t>HALMSTAD</t>
        </is>
      </c>
      <c r="I2949" t="n">
        <v>3.9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s="2" t="inlineStr"/>
    </row>
    <row r="2950" ht="15" customHeight="1">
      <c r="A2950" t="inlineStr">
        <is>
          <t>A 55-2024</t>
        </is>
      </c>
      <c r="B2950" t="inlineStr">
        <is>
          <t>avverkningsanmälan</t>
        </is>
      </c>
      <c r="C2950" t="inlineStr">
        <is>
          <t>Föryngringsavverkning</t>
        </is>
      </c>
      <c r="D2950" s="1" t="n">
        <v>45293</v>
      </c>
      <c r="E2950" s="1" t="n">
        <v>46315</v>
      </c>
      <c r="F2950" t="inlineStr">
        <is>
          <t>HALLANDS LÄN</t>
        </is>
      </c>
      <c r="G2950" t="inlineStr">
        <is>
          <t>HYLTE</t>
        </is>
      </c>
      <c r="I2950" t="n">
        <v>1.3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s="2" t="inlineStr"/>
    </row>
    <row r="2951" ht="15" customHeight="1">
      <c r="A2951" t="inlineStr">
        <is>
          <t>A 55861-2024</t>
        </is>
      </c>
      <c r="B2951" t="inlineStr">
        <is>
          <t>avverkningsanmälan</t>
        </is>
      </c>
      <c r="C2951" t="inlineStr">
        <is>
          <t>Föryngringsavverkning</t>
        </is>
      </c>
      <c r="D2951" s="1" t="n">
        <v>45623</v>
      </c>
      <c r="E2951" s="1" t="n">
        <v>46315</v>
      </c>
      <c r="F2951" t="inlineStr">
        <is>
          <t>HALLANDS LÄN</t>
        </is>
      </c>
      <c r="G2951" t="inlineStr">
        <is>
          <t>HYLTE</t>
        </is>
      </c>
      <c r="I2951" t="n">
        <v>0.7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s="2" t="inlineStr"/>
    </row>
    <row r="2952" ht="15" customHeight="1">
      <c r="A2952" t="inlineStr">
        <is>
          <t>A 73894-2021</t>
        </is>
      </c>
      <c r="B2952" t="inlineStr">
        <is>
          <t>avverkningsanmälan</t>
        </is>
      </c>
      <c r="C2952" t="inlineStr">
        <is>
          <t>Föryngringsavverkning</t>
        </is>
      </c>
      <c r="D2952" s="1" t="n">
        <v>44553</v>
      </c>
      <c r="E2952" s="1" t="n">
        <v>46315</v>
      </c>
      <c r="F2952" t="inlineStr">
        <is>
          <t>HALLANDS LÄN</t>
        </is>
      </c>
      <c r="G2952" t="inlineStr">
        <is>
          <t>LAHOLM</t>
        </is>
      </c>
      <c r="I2952" t="n">
        <v>0.9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s="2" t="inlineStr"/>
    </row>
    <row r="2953" ht="15" customHeight="1">
      <c r="A2953" t="inlineStr">
        <is>
          <t>A 46846-2023</t>
        </is>
      </c>
      <c r="B2953" t="inlineStr">
        <is>
          <t>avverkningsanmälan</t>
        </is>
      </c>
      <c r="C2953" t="inlineStr">
        <is>
          <t>Föryngringsavverkning</t>
        </is>
      </c>
      <c r="D2953" s="1" t="n">
        <v>45199</v>
      </c>
      <c r="E2953" s="1" t="n">
        <v>46315</v>
      </c>
      <c r="F2953" t="inlineStr">
        <is>
          <t>HALLANDS LÄN</t>
        </is>
      </c>
      <c r="G2953" t="inlineStr">
        <is>
          <t>HYLTE</t>
        </is>
      </c>
      <c r="I2953" t="n">
        <v>2.1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s="2" t="inlineStr"/>
    </row>
    <row r="2954" ht="15" customHeight="1">
      <c r="A2954" t="inlineStr">
        <is>
          <t>A 26145-2023</t>
        </is>
      </c>
      <c r="B2954" t="inlineStr">
        <is>
          <t>avverkningsanmälan</t>
        </is>
      </c>
      <c r="C2954" t="inlineStr">
        <is>
          <t>Föryngringsavverkning</t>
        </is>
      </c>
      <c r="D2954" s="1" t="n">
        <v>45091</v>
      </c>
      <c r="E2954" s="1" t="n">
        <v>46315</v>
      </c>
      <c r="F2954" t="inlineStr">
        <is>
          <t>HALLANDS LÄN</t>
        </is>
      </c>
      <c r="G2954" t="inlineStr">
        <is>
          <t>KUNGSBACKA</t>
        </is>
      </c>
      <c r="I2954" t="n">
        <v>0.7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s="2" t="inlineStr"/>
    </row>
    <row r="2955" ht="15" customHeight="1">
      <c r="A2955" t="inlineStr">
        <is>
          <t>A 10428-2024</t>
        </is>
      </c>
      <c r="B2955" t="inlineStr">
        <is>
          <t>avverkningsanmälan</t>
        </is>
      </c>
      <c r="C2955" t="inlineStr">
        <is>
          <t>Föryngringsavverkning</t>
        </is>
      </c>
      <c r="D2955" s="1" t="n">
        <v>45365</v>
      </c>
      <c r="E2955" s="1" t="n">
        <v>46315</v>
      </c>
      <c r="F2955" t="inlineStr">
        <is>
          <t>HALLANDS LÄN</t>
        </is>
      </c>
      <c r="G2955" t="inlineStr">
        <is>
          <t>VARBERG</t>
        </is>
      </c>
      <c r="I2955" t="n">
        <v>1.8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s="2" t="inlineStr"/>
    </row>
    <row r="2956" ht="15" customHeight="1">
      <c r="A2956" t="inlineStr">
        <is>
          <t>A 33983-2023</t>
        </is>
      </c>
      <c r="B2956" t="inlineStr">
        <is>
          <t>avverkningsanmälan</t>
        </is>
      </c>
      <c r="C2956" t="inlineStr">
        <is>
          <t>Föryngringsavverkning</t>
        </is>
      </c>
      <c r="D2956" s="1" t="n">
        <v>45134</v>
      </c>
      <c r="E2956" s="1" t="n">
        <v>46315</v>
      </c>
      <c r="F2956" t="inlineStr">
        <is>
          <t>HALLANDS LÄN</t>
        </is>
      </c>
      <c r="G2956" t="inlineStr">
        <is>
          <t>KUNGSBACKA</t>
        </is>
      </c>
      <c r="I2956" t="n">
        <v>1.1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s="2" t="inlineStr"/>
    </row>
    <row r="2957" ht="15" customHeight="1">
      <c r="A2957" t="inlineStr">
        <is>
          <t>A 19353-2025</t>
        </is>
      </c>
      <c r="B2957" t="inlineStr">
        <is>
          <t>avverkningsanmälan</t>
        </is>
      </c>
      <c r="C2957" t="inlineStr">
        <is>
          <t>Föryngringsavverkning</t>
        </is>
      </c>
      <c r="D2957" s="1" t="n">
        <v>45769</v>
      </c>
      <c r="E2957" s="1" t="n">
        <v>46315</v>
      </c>
      <c r="F2957" t="inlineStr">
        <is>
          <t>HALLANDS LÄN</t>
        </is>
      </c>
      <c r="G2957" t="inlineStr">
        <is>
          <t>HYLTE</t>
        </is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s="2" t="inlineStr"/>
    </row>
    <row r="2958" ht="15" customHeight="1">
      <c r="A2958" t="inlineStr">
        <is>
          <t>A 9092-2024</t>
        </is>
      </c>
      <c r="B2958" t="inlineStr">
        <is>
          <t>avverkningsanmälan</t>
        </is>
      </c>
      <c r="C2958" t="inlineStr">
        <is>
          <t>Föryngringsavverkning</t>
        </is>
      </c>
      <c r="D2958" s="1" t="n">
        <v>45357</v>
      </c>
      <c r="E2958" s="1" t="n">
        <v>46315</v>
      </c>
      <c r="F2958" t="inlineStr">
        <is>
          <t>HALLANDS LÄN</t>
        </is>
      </c>
      <c r="G2958" t="inlineStr">
        <is>
          <t>HALMSTAD</t>
        </is>
      </c>
      <c r="I2958" t="n">
        <v>0.4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s="2" t="inlineStr"/>
    </row>
    <row r="2959" ht="15" customHeight="1">
      <c r="A2959" t="inlineStr">
        <is>
          <t>A 9972-2024</t>
        </is>
      </c>
      <c r="B2959" t="inlineStr">
        <is>
          <t>avverkningsanmälan</t>
        </is>
      </c>
      <c r="C2959" t="inlineStr">
        <is>
          <t>Föryngringsavverkning</t>
        </is>
      </c>
      <c r="D2959" s="1" t="n">
        <v>45363</v>
      </c>
      <c r="E2959" s="1" t="n">
        <v>46315</v>
      </c>
      <c r="F2959" t="inlineStr">
        <is>
          <t>HALLANDS LÄN</t>
        </is>
      </c>
      <c r="G2959" t="inlineStr">
        <is>
          <t>LAHOLM</t>
        </is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s="2" t="inlineStr"/>
    </row>
    <row r="2960" ht="15" customHeight="1">
      <c r="A2960" t="inlineStr">
        <is>
          <t>A 14015-2024</t>
        </is>
      </c>
      <c r="B2960" t="inlineStr">
        <is>
          <t>avverkningsanmälan</t>
        </is>
      </c>
      <c r="C2960" t="inlineStr">
        <is>
          <t>Föryngringsavverkning</t>
        </is>
      </c>
      <c r="D2960" s="1" t="n">
        <v>45392</v>
      </c>
      <c r="E2960" s="1" t="n">
        <v>46315</v>
      </c>
      <c r="F2960" t="inlineStr">
        <is>
          <t>HALLANDS LÄN</t>
        </is>
      </c>
      <c r="G2960" t="inlineStr">
        <is>
          <t>HYLTE</t>
        </is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s="2" t="inlineStr"/>
    </row>
    <row r="2961" ht="15" customHeight="1">
      <c r="A2961" t="inlineStr">
        <is>
          <t>A 2532-2024</t>
        </is>
      </c>
      <c r="B2961" t="inlineStr">
        <is>
          <t>avverkningsanmälan</t>
        </is>
      </c>
      <c r="C2961" t="inlineStr">
        <is>
          <t>Föryngringsavverkning</t>
        </is>
      </c>
      <c r="D2961" s="1" t="n">
        <v>45313</v>
      </c>
      <c r="E2961" s="1" t="n">
        <v>46315</v>
      </c>
      <c r="F2961" t="inlineStr">
        <is>
          <t>HALLANDS LÄN</t>
        </is>
      </c>
      <c r="G2961" t="inlineStr">
        <is>
          <t>VARBERG</t>
        </is>
      </c>
      <c r="I2961" t="n">
        <v>1.8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s="2" t="inlineStr"/>
    </row>
    <row r="2962" ht="15" customHeight="1">
      <c r="A2962" t="inlineStr">
        <is>
          <t>A 14585-2024</t>
        </is>
      </c>
      <c r="B2962" t="inlineStr">
        <is>
          <t>avverkningsanmälan</t>
        </is>
      </c>
      <c r="C2962" t="inlineStr">
        <is>
          <t>Föryngringsavverkning</t>
        </is>
      </c>
      <c r="D2962" s="1" t="n">
        <v>45395</v>
      </c>
      <c r="E2962" s="1" t="n">
        <v>46315</v>
      </c>
      <c r="F2962" t="inlineStr">
        <is>
          <t>HALLANDS LÄN</t>
        </is>
      </c>
      <c r="G2962" t="inlineStr">
        <is>
          <t>HYLTE</t>
        </is>
      </c>
      <c r="I2962" t="n">
        <v>1.8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s="2" t="inlineStr"/>
    </row>
    <row r="2963" ht="15" customHeight="1">
      <c r="A2963" t="inlineStr">
        <is>
          <t>A 20251-2024</t>
        </is>
      </c>
      <c r="B2963" t="inlineStr">
        <is>
          <t>avverkningsanmälan</t>
        </is>
      </c>
      <c r="C2963" t="inlineStr">
        <is>
          <t>Föryngringsavverkning</t>
        </is>
      </c>
      <c r="D2963" s="1" t="n">
        <v>45434</v>
      </c>
      <c r="E2963" s="1" t="n">
        <v>46315</v>
      </c>
      <c r="F2963" t="inlineStr">
        <is>
          <t>HALLANDS LÄN</t>
        </is>
      </c>
      <c r="G2963" t="inlineStr">
        <is>
          <t>FALKENBERG</t>
        </is>
      </c>
      <c r="I2963" t="n">
        <v>3.4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s="2" t="inlineStr"/>
    </row>
    <row r="2964" ht="15" customHeight="1">
      <c r="A2964" t="inlineStr">
        <is>
          <t>A 46295-2024</t>
        </is>
      </c>
      <c r="B2964" t="inlineStr">
        <is>
          <t>avverkningsanmälan</t>
        </is>
      </c>
      <c r="C2964" t="inlineStr">
        <is>
          <t>Föryngringsavverkning</t>
        </is>
      </c>
      <c r="D2964" s="1" t="n">
        <v>45581</v>
      </c>
      <c r="E2964" s="1" t="n">
        <v>46315</v>
      </c>
      <c r="F2964" t="inlineStr">
        <is>
          <t>HALLANDS LÄN</t>
        </is>
      </c>
      <c r="G2964" t="inlineStr">
        <is>
          <t>HALMSTAD</t>
        </is>
      </c>
      <c r="I2964" t="n">
        <v>5.2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s="2" t="inlineStr"/>
    </row>
    <row r="2965" ht="15" customHeight="1">
      <c r="A2965" t="inlineStr">
        <is>
          <t>A 50133-2023</t>
        </is>
      </c>
      <c r="B2965" t="inlineStr">
        <is>
          <t>avverkningsanmälan</t>
        </is>
      </c>
      <c r="C2965" t="inlineStr">
        <is>
          <t>Föryngringsavverkning</t>
        </is>
      </c>
      <c r="D2965" s="1" t="n">
        <v>45215</v>
      </c>
      <c r="E2965" s="1" t="n">
        <v>46315</v>
      </c>
      <c r="F2965" t="inlineStr">
        <is>
          <t>HALLANDS LÄN</t>
        </is>
      </c>
      <c r="G2965" t="inlineStr">
        <is>
          <t>FALKENBERG</t>
        </is>
      </c>
      <c r="I2965" t="n">
        <v>1.4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s="2" t="inlineStr"/>
    </row>
    <row r="2966" ht="15" customHeight="1">
      <c r="A2966" t="inlineStr">
        <is>
          <t>A 36654-2024</t>
        </is>
      </c>
      <c r="B2966" t="inlineStr">
        <is>
          <t>avverkningsanmälan</t>
        </is>
      </c>
      <c r="C2966" t="inlineStr">
        <is>
          <t>Föryngringsavverkning</t>
        </is>
      </c>
      <c r="D2966" s="1" t="n">
        <v>45537</v>
      </c>
      <c r="E2966" s="1" t="n">
        <v>46315</v>
      </c>
      <c r="F2966" t="inlineStr">
        <is>
          <t>HALLANDS LÄN</t>
        </is>
      </c>
      <c r="G2966" t="inlineStr">
        <is>
          <t>KUNGSBACKA</t>
        </is>
      </c>
      <c r="I2966" t="n">
        <v>0.5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s="2" t="inlineStr"/>
    </row>
    <row r="2967" ht="15" customHeight="1">
      <c r="A2967" t="inlineStr">
        <is>
          <t>A 47998-2024</t>
        </is>
      </c>
      <c r="B2967" t="inlineStr">
        <is>
          <t>avverkningsanmälan</t>
        </is>
      </c>
      <c r="C2967" t="inlineStr">
        <is>
          <t>Föryngringsavverkning</t>
        </is>
      </c>
      <c r="D2967" s="1" t="n">
        <v>45589</v>
      </c>
      <c r="E2967" s="1" t="n">
        <v>46315</v>
      </c>
      <c r="F2967" t="inlineStr">
        <is>
          <t>HALLANDS LÄN</t>
        </is>
      </c>
      <c r="G2967" t="inlineStr">
        <is>
          <t>HYLTE</t>
        </is>
      </c>
      <c r="I2967" t="n">
        <v>2.3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s="2" t="inlineStr"/>
    </row>
    <row r="2968" ht="15" customHeight="1">
      <c r="A2968" t="inlineStr">
        <is>
          <t>A 55705-2024</t>
        </is>
      </c>
      <c r="B2968" t="inlineStr">
        <is>
          <t>avverkningsanmälan</t>
        </is>
      </c>
      <c r="C2968" t="inlineStr">
        <is>
          <t>Föryngringsavverkning</t>
        </is>
      </c>
      <c r="D2968" s="1" t="n">
        <v>45622</v>
      </c>
      <c r="E2968" s="1" t="n">
        <v>46315</v>
      </c>
      <c r="F2968" t="inlineStr">
        <is>
          <t>HALLANDS LÄN</t>
        </is>
      </c>
      <c r="G2968" t="inlineStr">
        <is>
          <t>VARBERG</t>
        </is>
      </c>
      <c r="I2968" t="n">
        <v>1.5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s="2" t="inlineStr"/>
    </row>
    <row r="2969" ht="15" customHeight="1">
      <c r="A2969" t="inlineStr">
        <is>
          <t>A 59726-2024</t>
        </is>
      </c>
      <c r="B2969" t="inlineStr">
        <is>
          <t>avverkningsanmälan</t>
        </is>
      </c>
      <c r="C2969" t="inlineStr">
        <is>
          <t>Föryngringsavverkning</t>
        </is>
      </c>
      <c r="D2969" s="1" t="n">
        <v>45639</v>
      </c>
      <c r="E2969" s="1" t="n">
        <v>46315</v>
      </c>
      <c r="F2969" t="inlineStr">
        <is>
          <t>HALLANDS LÄN</t>
        </is>
      </c>
      <c r="G2969" t="inlineStr">
        <is>
          <t>KUNGSBACKA</t>
        </is>
      </c>
      <c r="I2969" t="n">
        <v>1.3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s="2" t="inlineStr"/>
    </row>
    <row r="2970" ht="15" customHeight="1">
      <c r="A2970" t="inlineStr">
        <is>
          <t>A 38381-2024</t>
        </is>
      </c>
      <c r="B2970" t="inlineStr">
        <is>
          <t>avverkningsanmälan</t>
        </is>
      </c>
      <c r="C2970" t="inlineStr">
        <is>
          <t>Föryngringsavverkning</t>
        </is>
      </c>
      <c r="D2970" s="1" t="n">
        <v>45546</v>
      </c>
      <c r="E2970" s="1" t="n">
        <v>46315</v>
      </c>
      <c r="F2970" t="inlineStr">
        <is>
          <t>HALLANDS LÄN</t>
        </is>
      </c>
      <c r="G2970" t="inlineStr">
        <is>
          <t>HYLTE</t>
        </is>
      </c>
      <c r="I2970" t="n">
        <v>3.2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s="2" t="inlineStr"/>
    </row>
    <row r="2971" ht="15" customHeight="1">
      <c r="A2971" t="inlineStr">
        <is>
          <t>A 40316-2024</t>
        </is>
      </c>
      <c r="B2971" t="inlineStr">
        <is>
          <t>avverkningsanmälan</t>
        </is>
      </c>
      <c r="C2971" t="inlineStr">
        <is>
          <t>Föryngringsavverkning</t>
        </is>
      </c>
      <c r="D2971" s="1" t="n">
        <v>45554</v>
      </c>
      <c r="E2971" s="1" t="n">
        <v>46315</v>
      </c>
      <c r="F2971" t="inlineStr">
        <is>
          <t>HALLANDS LÄN</t>
        </is>
      </c>
      <c r="G2971" t="inlineStr">
        <is>
          <t>LAHOLM</t>
        </is>
      </c>
      <c r="I2971" t="n">
        <v>4.1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s="2" t="inlineStr"/>
    </row>
    <row r="2972" ht="15" customHeight="1">
      <c r="A2972" t="inlineStr">
        <is>
          <t>A 38242-2024</t>
        </is>
      </c>
      <c r="B2972" t="inlineStr">
        <is>
          <t>avverkningsanmälan</t>
        </is>
      </c>
      <c r="C2972" t="inlineStr">
        <is>
          <t>Föryngringsavverkning</t>
        </is>
      </c>
      <c r="D2972" s="1" t="n">
        <v>45545</v>
      </c>
      <c r="E2972" s="1" t="n">
        <v>46315</v>
      </c>
      <c r="F2972" t="inlineStr">
        <is>
          <t>HALLANDS LÄN</t>
        </is>
      </c>
      <c r="G2972" t="inlineStr">
        <is>
          <t>LAHOLM</t>
        </is>
      </c>
      <c r="I2972" t="n">
        <v>0.8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s="2" t="inlineStr"/>
    </row>
    <row r="2973" ht="15" customHeight="1">
      <c r="A2973" t="inlineStr">
        <is>
          <t>A 40468-2024</t>
        </is>
      </c>
      <c r="B2973" t="inlineStr">
        <is>
          <t>avverkningsanmälan</t>
        </is>
      </c>
      <c r="C2973" t="inlineStr">
        <is>
          <t>Föryngringsavverkning</t>
        </is>
      </c>
      <c r="D2973" s="1" t="n">
        <v>45555</v>
      </c>
      <c r="E2973" s="1" t="n">
        <v>46315</v>
      </c>
      <c r="F2973" t="inlineStr">
        <is>
          <t>HALLANDS LÄN</t>
        </is>
      </c>
      <c r="G2973" t="inlineStr">
        <is>
          <t>LAHOLM</t>
        </is>
      </c>
      <c r="I2973" t="n">
        <v>6.5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s="2" t="inlineStr"/>
    </row>
    <row r="2974" ht="15" customHeight="1">
      <c r="A2974" t="inlineStr">
        <is>
          <t>A 30893-2022</t>
        </is>
      </c>
      <c r="B2974" t="inlineStr">
        <is>
          <t>avverkningsanmälan</t>
        </is>
      </c>
      <c r="C2974" t="inlineStr">
        <is>
          <t>Föryngringsavverkning</t>
        </is>
      </c>
      <c r="D2974" s="1" t="n">
        <v>44767</v>
      </c>
      <c r="E2974" s="1" t="n">
        <v>46315</v>
      </c>
      <c r="F2974" t="inlineStr">
        <is>
          <t>HALLANDS LÄN</t>
        </is>
      </c>
      <c r="G2974" t="inlineStr">
        <is>
          <t>FALKENBERG</t>
        </is>
      </c>
      <c r="I2974" t="n">
        <v>1.2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s="2" t="inlineStr"/>
    </row>
    <row r="2975" ht="15" customHeight="1">
      <c r="A2975" t="inlineStr">
        <is>
          <t>A 30910-2022</t>
        </is>
      </c>
      <c r="B2975" t="inlineStr">
        <is>
          <t>avverkningsanmälan</t>
        </is>
      </c>
      <c r="C2975" t="inlineStr">
        <is>
          <t>Föryngringsavverkning</t>
        </is>
      </c>
      <c r="D2975" s="1" t="n">
        <v>44767</v>
      </c>
      <c r="E2975" s="1" t="n">
        <v>46315</v>
      </c>
      <c r="F2975" t="inlineStr">
        <is>
          <t>HALLANDS LÄN</t>
        </is>
      </c>
      <c r="G2975" t="inlineStr">
        <is>
          <t>VARBERG</t>
        </is>
      </c>
      <c r="I2975" t="n">
        <v>7.4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s="2" t="inlineStr"/>
    </row>
    <row r="2976" ht="15" customHeight="1">
      <c r="A2976" t="inlineStr">
        <is>
          <t>A 30917-2022</t>
        </is>
      </c>
      <c r="B2976" t="inlineStr">
        <is>
          <t>avverkningsanmälan</t>
        </is>
      </c>
      <c r="C2976" t="inlineStr">
        <is>
          <t>Föryngringsavverkning</t>
        </is>
      </c>
      <c r="D2976" s="1" t="n">
        <v>44767</v>
      </c>
      <c r="E2976" s="1" t="n">
        <v>46315</v>
      </c>
      <c r="F2976" t="inlineStr">
        <is>
          <t>HALLANDS LÄN</t>
        </is>
      </c>
      <c r="G2976" t="inlineStr">
        <is>
          <t>VARBERG</t>
        </is>
      </c>
      <c r="I2976" t="n">
        <v>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s="2" t="inlineStr"/>
    </row>
    <row r="2977" ht="15" customHeight="1">
      <c r="A2977" t="inlineStr">
        <is>
          <t>A 20879-2022</t>
        </is>
      </c>
      <c r="B2977" t="inlineStr">
        <is>
          <t>avverkningsanmälan</t>
        </is>
      </c>
      <c r="C2977" t="inlineStr">
        <is>
          <t>Föryngringsavverkning</t>
        </is>
      </c>
      <c r="D2977" s="1" t="n">
        <v>44701</v>
      </c>
      <c r="E2977" s="1" t="n">
        <v>46315</v>
      </c>
      <c r="F2977" t="inlineStr">
        <is>
          <t>HALLANDS LÄN</t>
        </is>
      </c>
      <c r="G2977" t="inlineStr">
        <is>
          <t>HYLTE</t>
        </is>
      </c>
      <c r="I2977" t="n">
        <v>1.1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s="2" t="inlineStr"/>
    </row>
    <row r="2978" ht="15" customHeight="1">
      <c r="A2978" t="inlineStr">
        <is>
          <t>A 35175-2023</t>
        </is>
      </c>
      <c r="B2978" t="inlineStr">
        <is>
          <t>avverkningsanmälan</t>
        </is>
      </c>
      <c r="C2978" t="inlineStr">
        <is>
          <t>Föryngringsavverkning</t>
        </is>
      </c>
      <c r="D2978" s="1" t="n">
        <v>45145</v>
      </c>
      <c r="E2978" s="1" t="n">
        <v>46315</v>
      </c>
      <c r="F2978" t="inlineStr">
        <is>
          <t>HALLANDS LÄN</t>
        </is>
      </c>
      <c r="G2978" t="inlineStr">
        <is>
          <t>HYLTE</t>
        </is>
      </c>
      <c r="I2978" t="n">
        <v>1.7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s="2" t="inlineStr"/>
    </row>
    <row r="2979" ht="15" customHeight="1">
      <c r="A2979" t="inlineStr">
        <is>
          <t>A 32992-2024</t>
        </is>
      </c>
      <c r="B2979" t="inlineStr">
        <is>
          <t>avverkningsanmälan</t>
        </is>
      </c>
      <c r="C2979" t="inlineStr">
        <is>
          <t>Föryngringsavverkning</t>
        </is>
      </c>
      <c r="D2979" s="1" t="n">
        <v>45517</v>
      </c>
      <c r="E2979" s="1" t="n">
        <v>46315</v>
      </c>
      <c r="F2979" t="inlineStr">
        <is>
          <t>HALLANDS LÄN</t>
        </is>
      </c>
      <c r="G2979" t="inlineStr">
        <is>
          <t>HYLTE</t>
        </is>
      </c>
      <c r="I2979" t="n">
        <v>2.6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s="2" t="inlineStr"/>
    </row>
    <row r="2980" ht="15" customHeight="1">
      <c r="A2980" t="inlineStr">
        <is>
          <t>A 14602-2023</t>
        </is>
      </c>
      <c r="B2980" t="inlineStr">
        <is>
          <t>avverkningsanmälan</t>
        </is>
      </c>
      <c r="C2980" t="inlineStr">
        <is>
          <t>Föryngringsavverkning</t>
        </is>
      </c>
      <c r="D2980" s="1" t="n">
        <v>45013</v>
      </c>
      <c r="E2980" s="1" t="n">
        <v>46315</v>
      </c>
      <c r="F2980" t="inlineStr">
        <is>
          <t>HALLANDS LÄN</t>
        </is>
      </c>
      <c r="G2980" t="inlineStr">
        <is>
          <t>FALKENBERG</t>
        </is>
      </c>
      <c r="I2980" t="n">
        <v>2.2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s="2" t="inlineStr"/>
    </row>
    <row r="2981" ht="15" customHeight="1">
      <c r="A2981" t="inlineStr">
        <is>
          <t>A 22253-2023</t>
        </is>
      </c>
      <c r="B2981" t="inlineStr">
        <is>
          <t>avverkningsanmälan</t>
        </is>
      </c>
      <c r="C2981" t="inlineStr">
        <is>
          <t>Föryngringsavverkning</t>
        </is>
      </c>
      <c r="D2981" s="1" t="n">
        <v>45070</v>
      </c>
      <c r="E2981" s="1" t="n">
        <v>46315</v>
      </c>
      <c r="F2981" t="inlineStr">
        <is>
          <t>HALLANDS LÄN</t>
        </is>
      </c>
      <c r="G2981" t="inlineStr">
        <is>
          <t>LAHOLM</t>
        </is>
      </c>
      <c r="I2981" t="n">
        <v>1.2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s="2" t="inlineStr"/>
    </row>
    <row r="2982" ht="15" customHeight="1">
      <c r="A2982" t="inlineStr">
        <is>
          <t>A 45836-2024</t>
        </is>
      </c>
      <c r="B2982" t="inlineStr">
        <is>
          <t>avverkningsanmälan</t>
        </is>
      </c>
      <c r="C2982" t="inlineStr">
        <is>
          <t>Föryngringsavverkning</t>
        </is>
      </c>
      <c r="D2982" s="1" t="n">
        <v>45579</v>
      </c>
      <c r="E2982" s="1" t="n">
        <v>46315</v>
      </c>
      <c r="F2982" t="inlineStr">
        <is>
          <t>HALLANDS LÄN</t>
        </is>
      </c>
      <c r="G2982" t="inlineStr">
        <is>
          <t>HALMSTAD</t>
        </is>
      </c>
      <c r="I2982" t="n">
        <v>0.9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s="2" t="inlineStr"/>
    </row>
    <row r="2983" ht="15" customHeight="1">
      <c r="A2983" t="inlineStr">
        <is>
          <t>A 24087-2023</t>
        </is>
      </c>
      <c r="B2983" t="inlineStr">
        <is>
          <t>avverkningsanmälan</t>
        </is>
      </c>
      <c r="C2983" t="inlineStr">
        <is>
          <t>Föryngringsavverkning</t>
        </is>
      </c>
      <c r="D2983" s="1" t="n">
        <v>45079</v>
      </c>
      <c r="E2983" s="1" t="n">
        <v>46315</v>
      </c>
      <c r="F2983" t="inlineStr">
        <is>
          <t>HALLANDS LÄN</t>
        </is>
      </c>
      <c r="G2983" t="inlineStr">
        <is>
          <t>HALMSTAD</t>
        </is>
      </c>
      <c r="I2983" t="n">
        <v>1.9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s="2" t="inlineStr"/>
    </row>
    <row r="2984" ht="15" customHeight="1">
      <c r="A2984" t="inlineStr">
        <is>
          <t>A 52520-2023</t>
        </is>
      </c>
      <c r="B2984" t="inlineStr">
        <is>
          <t>avverkningsanmälan</t>
        </is>
      </c>
      <c r="C2984" t="inlineStr">
        <is>
          <t>Föryngringsavverkning</t>
        </is>
      </c>
      <c r="D2984" s="1" t="n">
        <v>45225</v>
      </c>
      <c r="E2984" s="1" t="n">
        <v>46315</v>
      </c>
      <c r="F2984" t="inlineStr">
        <is>
          <t>HALLANDS LÄN</t>
        </is>
      </c>
      <c r="G2984" t="inlineStr">
        <is>
          <t>LAHOLM</t>
        </is>
      </c>
      <c r="I2984" t="n">
        <v>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s="2" t="inlineStr"/>
    </row>
    <row r="2985" ht="15" customHeight="1">
      <c r="A2985" t="inlineStr">
        <is>
          <t>A 6757-2025</t>
        </is>
      </c>
      <c r="B2985" t="inlineStr">
        <is>
          <t>avverkningsanmälan</t>
        </is>
      </c>
      <c r="C2985" t="inlineStr">
        <is>
          <t>Föryngringsavverkning</t>
        </is>
      </c>
      <c r="D2985" s="1" t="n">
        <v>45700</v>
      </c>
      <c r="E2985" s="1" t="n">
        <v>46315</v>
      </c>
      <c r="F2985" t="inlineStr">
        <is>
          <t>HALLANDS LÄN</t>
        </is>
      </c>
      <c r="G2985" t="inlineStr">
        <is>
          <t>KUNGSBACKA</t>
        </is>
      </c>
      <c r="I2985" t="n">
        <v>1.8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s="2" t="inlineStr"/>
    </row>
    <row r="2986" ht="15" customHeight="1">
      <c r="A2986" t="inlineStr">
        <is>
          <t>A 9108-2025</t>
        </is>
      </c>
      <c r="B2986" t="inlineStr">
        <is>
          <t>avverkningsanmälan</t>
        </is>
      </c>
      <c r="C2986" t="inlineStr">
        <is>
          <t>Föryngringsavverkning</t>
        </is>
      </c>
      <c r="D2986" s="1" t="n">
        <v>45713</v>
      </c>
      <c r="E2986" s="1" t="n">
        <v>46315</v>
      </c>
      <c r="F2986" t="inlineStr">
        <is>
          <t>HALLANDS LÄN</t>
        </is>
      </c>
      <c r="G2986" t="inlineStr">
        <is>
          <t>VARBERG</t>
        </is>
      </c>
      <c r="I2986" t="n">
        <v>1.5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s="2" t="inlineStr"/>
    </row>
    <row r="2987" ht="15" customHeight="1">
      <c r="A2987" t="inlineStr">
        <is>
          <t>A 55116-2023</t>
        </is>
      </c>
      <c r="B2987" t="inlineStr">
        <is>
          <t>avverkningsanmälan</t>
        </is>
      </c>
      <c r="C2987" t="inlineStr">
        <is>
          <t>Föryngringsavverkning</t>
        </is>
      </c>
      <c r="D2987" s="1" t="n">
        <v>45230</v>
      </c>
      <c r="E2987" s="1" t="n">
        <v>46315</v>
      </c>
      <c r="F2987" t="inlineStr">
        <is>
          <t>HALLANDS LÄN</t>
        </is>
      </c>
      <c r="G2987" t="inlineStr">
        <is>
          <t>HYLTE</t>
        </is>
      </c>
      <c r="I2987" t="n">
        <v>1.7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s="2" t="inlineStr"/>
    </row>
    <row r="2988" ht="15" customHeight="1">
      <c r="A2988" t="inlineStr">
        <is>
          <t>A 2819-2025</t>
        </is>
      </c>
      <c r="B2988" t="inlineStr">
        <is>
          <t>avverkningsanmälan</t>
        </is>
      </c>
      <c r="C2988" t="inlineStr">
        <is>
          <t>Föryngringsavverkning</t>
        </is>
      </c>
      <c r="D2988" s="1" t="n">
        <v>45677</v>
      </c>
      <c r="E2988" s="1" t="n">
        <v>46315</v>
      </c>
      <c r="F2988" t="inlineStr">
        <is>
          <t>HALLANDS LÄN</t>
        </is>
      </c>
      <c r="G2988" t="inlineStr">
        <is>
          <t>HYLTE</t>
        </is>
      </c>
      <c r="I2988" t="n">
        <v>1.2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s="2" t="inlineStr"/>
    </row>
    <row r="2989" ht="15" customHeight="1">
      <c r="A2989" t="inlineStr">
        <is>
          <t>A 2154-2025</t>
        </is>
      </c>
      <c r="B2989" t="inlineStr">
        <is>
          <t>avverkningsanmälan</t>
        </is>
      </c>
      <c r="C2989" t="inlineStr">
        <is>
          <t>Föryngringsavverkning</t>
        </is>
      </c>
      <c r="D2989" s="1" t="n">
        <v>45672</v>
      </c>
      <c r="E2989" s="1" t="n">
        <v>46315</v>
      </c>
      <c r="F2989" t="inlineStr">
        <is>
          <t>HALLANDS LÄN</t>
        </is>
      </c>
      <c r="G2989" t="inlineStr">
        <is>
          <t>HYLTE</t>
        </is>
      </c>
      <c r="I2989" t="n">
        <v>1.7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s="2" t="inlineStr"/>
    </row>
    <row r="2990" ht="15" customHeight="1">
      <c r="A2990" t="inlineStr">
        <is>
          <t>A 2155-2025</t>
        </is>
      </c>
      <c r="B2990" t="inlineStr">
        <is>
          <t>avverkningsanmälan</t>
        </is>
      </c>
      <c r="C2990" t="inlineStr">
        <is>
          <t>Föryngringsavverkning</t>
        </is>
      </c>
      <c r="D2990" s="1" t="n">
        <v>45672</v>
      </c>
      <c r="E2990" s="1" t="n">
        <v>46315</v>
      </c>
      <c r="F2990" t="inlineStr">
        <is>
          <t>HALLANDS LÄN</t>
        </is>
      </c>
      <c r="G2990" t="inlineStr">
        <is>
          <t>HYLTE</t>
        </is>
      </c>
      <c r="I2990" t="n">
        <v>0.8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s="2" t="inlineStr"/>
    </row>
    <row r="2991" ht="15" customHeight="1">
      <c r="A2991" t="inlineStr">
        <is>
          <t>A 16268-2025</t>
        </is>
      </c>
      <c r="B2991" t="inlineStr">
        <is>
          <t>avverkningsanmälan</t>
        </is>
      </c>
      <c r="C2991" t="inlineStr">
        <is>
          <t>Föryngringsavverkning</t>
        </is>
      </c>
      <c r="D2991" s="1" t="n">
        <v>45750</v>
      </c>
      <c r="E2991" s="1" t="n">
        <v>46315</v>
      </c>
      <c r="F2991" t="inlineStr">
        <is>
          <t>HALLANDS LÄN</t>
        </is>
      </c>
      <c r="G2991" t="inlineStr">
        <is>
          <t>HALMSTAD</t>
        </is>
      </c>
      <c r="I2991" t="n">
        <v>0.5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s="2" t="inlineStr"/>
    </row>
    <row r="2992" ht="15" customHeight="1">
      <c r="A2992" t="inlineStr">
        <is>
          <t>A 16675-2025</t>
        </is>
      </c>
      <c r="B2992" t="inlineStr">
        <is>
          <t>avverkningsanmälan</t>
        </is>
      </c>
      <c r="C2992" t="inlineStr">
        <is>
          <t>Föryngringsavverkning</t>
        </is>
      </c>
      <c r="D2992" s="1" t="n">
        <v>45754</v>
      </c>
      <c r="E2992" s="1" t="n">
        <v>46315</v>
      </c>
      <c r="F2992" t="inlineStr">
        <is>
          <t>HALLANDS LÄN</t>
        </is>
      </c>
      <c r="G2992" t="inlineStr">
        <is>
          <t>FALKENBERG</t>
        </is>
      </c>
      <c r="I2992" t="n">
        <v>1.3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s="2" t="inlineStr"/>
    </row>
    <row r="2993" ht="15" customHeight="1">
      <c r="A2993" t="inlineStr">
        <is>
          <t>A 12439-2025</t>
        </is>
      </c>
      <c r="B2993" t="inlineStr">
        <is>
          <t>avverkningsanmälan</t>
        </is>
      </c>
      <c r="C2993" t="inlineStr">
        <is>
          <t>Föryngringsavverkning</t>
        </is>
      </c>
      <c r="D2993" s="1" t="n">
        <v>45730</v>
      </c>
      <c r="E2993" s="1" t="n">
        <v>46315</v>
      </c>
      <c r="F2993" t="inlineStr">
        <is>
          <t>HALLANDS LÄN</t>
        </is>
      </c>
      <c r="G2993" t="inlineStr">
        <is>
          <t>LAHOLM</t>
        </is>
      </c>
      <c r="I2993" t="n">
        <v>2.6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s="2" t="inlineStr"/>
    </row>
    <row r="2994" ht="15" customHeight="1">
      <c r="A2994" t="inlineStr">
        <is>
          <t>A 61931-2021</t>
        </is>
      </c>
      <c r="B2994" t="inlineStr">
        <is>
          <t>avverkningsanmälan</t>
        </is>
      </c>
      <c r="C2994" t="inlineStr">
        <is>
          <t>Föryngringsavverkning</t>
        </is>
      </c>
      <c r="D2994" s="1" t="n">
        <v>44502</v>
      </c>
      <c r="E2994" s="1" t="n">
        <v>46315</v>
      </c>
      <c r="F2994" t="inlineStr">
        <is>
          <t>HALLANDS LÄN</t>
        </is>
      </c>
      <c r="G2994" t="inlineStr">
        <is>
          <t>FALKENBERG</t>
        </is>
      </c>
      <c r="I2994" t="n">
        <v>1.8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s="2" t="inlineStr"/>
    </row>
    <row r="2995" ht="15" customHeight="1">
      <c r="A2995" t="inlineStr">
        <is>
          <t>A 6106-2023</t>
        </is>
      </c>
      <c r="B2995" t="inlineStr">
        <is>
          <t>avverkningsanmälan</t>
        </is>
      </c>
      <c r="C2995" t="inlineStr">
        <is>
          <t>Föryngringsavverkning</t>
        </is>
      </c>
      <c r="D2995" s="1" t="n">
        <v>44964</v>
      </c>
      <c r="E2995" s="1" t="n">
        <v>46315</v>
      </c>
      <c r="F2995" t="inlineStr">
        <is>
          <t>HALLANDS LÄN</t>
        </is>
      </c>
      <c r="G2995" t="inlineStr">
        <is>
          <t>HYLTE</t>
        </is>
      </c>
      <c r="I2995" t="n">
        <v>2.7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s="2" t="inlineStr"/>
    </row>
    <row r="2996" ht="15" customHeight="1">
      <c r="A2996" t="inlineStr">
        <is>
          <t>A 13245-2025</t>
        </is>
      </c>
      <c r="B2996" t="inlineStr">
        <is>
          <t>avverkningsanmälan</t>
        </is>
      </c>
      <c r="C2996" t="inlineStr">
        <is>
          <t>Föryngringsavverkning</t>
        </is>
      </c>
      <c r="D2996" s="1" t="n">
        <v>45735</v>
      </c>
      <c r="E2996" s="1" t="n">
        <v>46315</v>
      </c>
      <c r="F2996" t="inlineStr">
        <is>
          <t>HALLANDS LÄN</t>
        </is>
      </c>
      <c r="G2996" t="inlineStr">
        <is>
          <t>HYLTE</t>
        </is>
      </c>
      <c r="I2996" t="n">
        <v>0.8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s="2" t="inlineStr"/>
    </row>
    <row r="2997" ht="15" customHeight="1">
      <c r="A2997" t="inlineStr">
        <is>
          <t>A 29863-2025</t>
        </is>
      </c>
      <c r="B2997" t="inlineStr">
        <is>
          <t>avverkningsanmälan</t>
        </is>
      </c>
      <c r="C2997" t="inlineStr">
        <is>
          <t>Föryngringsavverkning</t>
        </is>
      </c>
      <c r="D2997" s="1" t="n">
        <v>45826</v>
      </c>
      <c r="E2997" s="1" t="n">
        <v>46315</v>
      </c>
      <c r="F2997" t="inlineStr">
        <is>
          <t>HALLANDS LÄN</t>
        </is>
      </c>
      <c r="G2997" t="inlineStr">
        <is>
          <t>FALKENBERG</t>
        </is>
      </c>
      <c r="I2997" t="n">
        <v>2.3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s="2" t="inlineStr"/>
    </row>
    <row r="2998" ht="15" customHeight="1">
      <c r="A2998" t="inlineStr">
        <is>
          <t>A 21171-2023</t>
        </is>
      </c>
      <c r="B2998" t="inlineStr">
        <is>
          <t>avverkningsanmälan</t>
        </is>
      </c>
      <c r="C2998" t="inlineStr">
        <is>
          <t>Föryngringsavverkning</t>
        </is>
      </c>
      <c r="D2998" s="1" t="n">
        <v>45062</v>
      </c>
      <c r="E2998" s="1" t="n">
        <v>46315</v>
      </c>
      <c r="F2998" t="inlineStr">
        <is>
          <t>HALLANDS LÄN</t>
        </is>
      </c>
      <c r="G2998" t="inlineStr">
        <is>
          <t>KUNGSBACKA</t>
        </is>
      </c>
      <c r="I2998" t="n">
        <v>3.3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s="2" t="inlineStr"/>
    </row>
    <row r="2999" ht="15" customHeight="1">
      <c r="A2999" t="inlineStr">
        <is>
          <t>A 21306-2023</t>
        </is>
      </c>
      <c r="B2999" t="inlineStr">
        <is>
          <t>avverkningsanmälan</t>
        </is>
      </c>
      <c r="C2999" t="inlineStr">
        <is>
          <t>Föryngringsavverkning</t>
        </is>
      </c>
      <c r="D2999" s="1" t="n">
        <v>45062</v>
      </c>
      <c r="E2999" s="1" t="n">
        <v>46315</v>
      </c>
      <c r="F2999" t="inlineStr">
        <is>
          <t>HALLANDS LÄN</t>
        </is>
      </c>
      <c r="G2999" t="inlineStr">
        <is>
          <t>KUNGSBACKA</t>
        </is>
      </c>
      <c r="I2999" t="n">
        <v>3.9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s="2" t="inlineStr"/>
    </row>
    <row r="3000" ht="15" customHeight="1">
      <c r="A3000" t="inlineStr">
        <is>
          <t>A 26602-2022</t>
        </is>
      </c>
      <c r="B3000" t="inlineStr">
        <is>
          <t>avverkningsanmälan</t>
        </is>
      </c>
      <c r="C3000" t="inlineStr">
        <is>
          <t>Föryngringsavverkning</t>
        </is>
      </c>
      <c r="D3000" s="1" t="n">
        <v>44739</v>
      </c>
      <c r="E3000" s="1" t="n">
        <v>46315</v>
      </c>
      <c r="F3000" t="inlineStr">
        <is>
          <t>HALLANDS LÄN</t>
        </is>
      </c>
      <c r="G3000" t="inlineStr">
        <is>
          <t>HYLTE</t>
        </is>
      </c>
      <c r="I3000" t="n">
        <v>0.5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s="2" t="inlineStr"/>
    </row>
    <row r="3001" ht="15" customHeight="1">
      <c r="A3001" t="inlineStr">
        <is>
          <t>A 53909-2022</t>
        </is>
      </c>
      <c r="B3001" t="inlineStr">
        <is>
          <t>avverkningsanmälan</t>
        </is>
      </c>
      <c r="C3001" t="inlineStr">
        <is>
          <t>Föryngringsavverkning</t>
        </is>
      </c>
      <c r="D3001" s="1" t="n">
        <v>44880</v>
      </c>
      <c r="E3001" s="1" t="n">
        <v>46315</v>
      </c>
      <c r="F3001" t="inlineStr">
        <is>
          <t>HALLANDS LÄN</t>
        </is>
      </c>
      <c r="G3001" t="inlineStr">
        <is>
          <t>LAHOLM</t>
        </is>
      </c>
      <c r="I3001" t="n">
        <v>2.1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s="2" t="inlineStr"/>
    </row>
    <row r="3002" ht="15" customHeight="1">
      <c r="A3002" t="inlineStr">
        <is>
          <t>A 2088-2024</t>
        </is>
      </c>
      <c r="B3002" t="inlineStr">
        <is>
          <t>avverkningsanmälan</t>
        </is>
      </c>
      <c r="C3002" t="inlineStr">
        <is>
          <t>Föryngringsavverkning</t>
        </is>
      </c>
      <c r="D3002" s="1" t="n">
        <v>45309</v>
      </c>
      <c r="E3002" s="1" t="n">
        <v>46315</v>
      </c>
      <c r="F3002" t="inlineStr">
        <is>
          <t>HALLANDS LÄN</t>
        </is>
      </c>
      <c r="G3002" t="inlineStr">
        <is>
          <t>HYLTE</t>
        </is>
      </c>
      <c r="I3002" t="n">
        <v>8.1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s="2" t="inlineStr"/>
    </row>
    <row r="3003" ht="15" customHeight="1">
      <c r="A3003" t="inlineStr">
        <is>
          <t>A 63808-2021</t>
        </is>
      </c>
      <c r="B3003" t="inlineStr">
        <is>
          <t>avverkningsanmälan</t>
        </is>
      </c>
      <c r="C3003" t="inlineStr">
        <is>
          <t>Föryngringsavverkning</t>
        </is>
      </c>
      <c r="D3003" s="1" t="n">
        <v>44508</v>
      </c>
      <c r="E3003" s="1" t="n">
        <v>46315</v>
      </c>
      <c r="F3003" t="inlineStr">
        <is>
          <t>HALLANDS LÄN</t>
        </is>
      </c>
      <c r="G3003" t="inlineStr">
        <is>
          <t>HYLTE</t>
        </is>
      </c>
      <c r="I3003" t="n">
        <v>0.8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s="2" t="inlineStr"/>
    </row>
    <row r="3004" ht="15" customHeight="1">
      <c r="A3004" t="inlineStr">
        <is>
          <t>A 55865-2024</t>
        </is>
      </c>
      <c r="B3004" t="inlineStr">
        <is>
          <t>avverkningsanmälan</t>
        </is>
      </c>
      <c r="C3004" t="inlineStr">
        <is>
          <t>Föryngringsavverkning</t>
        </is>
      </c>
      <c r="D3004" s="1" t="n">
        <v>45623</v>
      </c>
      <c r="E3004" s="1" t="n">
        <v>46315</v>
      </c>
      <c r="F3004" t="inlineStr">
        <is>
          <t>HALLANDS LÄN</t>
        </is>
      </c>
      <c r="G3004" t="inlineStr">
        <is>
          <t>HYLTE</t>
        </is>
      </c>
      <c r="I3004" t="n">
        <v>1.3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s="2" t="inlineStr"/>
    </row>
    <row r="3005" ht="15" customHeight="1">
      <c r="A3005" t="inlineStr">
        <is>
          <t>A 58109-2023</t>
        </is>
      </c>
      <c r="B3005" t="inlineStr">
        <is>
          <t>avverkningsanmälan</t>
        </is>
      </c>
      <c r="C3005" t="inlineStr">
        <is>
          <t>Föryngringsavverkning</t>
        </is>
      </c>
      <c r="D3005" s="1" t="n">
        <v>45249</v>
      </c>
      <c r="E3005" s="1" t="n">
        <v>46315</v>
      </c>
      <c r="F3005" t="inlineStr">
        <is>
          <t>HALLANDS LÄN</t>
        </is>
      </c>
      <c r="G3005" t="inlineStr">
        <is>
          <t>FALKENBERG</t>
        </is>
      </c>
      <c r="I3005" t="n">
        <v>0.8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s="2" t="inlineStr"/>
    </row>
    <row r="3006" ht="15" customHeight="1">
      <c r="A3006" t="inlineStr">
        <is>
          <t>A 58417-2023</t>
        </is>
      </c>
      <c r="B3006" t="inlineStr">
        <is>
          <t>avverkningsanmälan</t>
        </is>
      </c>
      <c r="C3006" t="inlineStr">
        <is>
          <t>Föryngringsavverkning</t>
        </is>
      </c>
      <c r="D3006" s="1" t="n">
        <v>45250</v>
      </c>
      <c r="E3006" s="1" t="n">
        <v>46315</v>
      </c>
      <c r="F3006" t="inlineStr">
        <is>
          <t>HALLANDS LÄN</t>
        </is>
      </c>
      <c r="G3006" t="inlineStr">
        <is>
          <t>FALKENBERG</t>
        </is>
      </c>
      <c r="I3006" t="n">
        <v>5.4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s="2" t="inlineStr"/>
    </row>
    <row r="3007" ht="15" customHeight="1">
      <c r="A3007" t="inlineStr">
        <is>
          <t>A 59353-2023</t>
        </is>
      </c>
      <c r="B3007" t="inlineStr">
        <is>
          <t>avverkningsanmälan</t>
        </is>
      </c>
      <c r="C3007" t="inlineStr">
        <is>
          <t>Föryngringsavverkning</t>
        </is>
      </c>
      <c r="D3007" s="1" t="n">
        <v>45252</v>
      </c>
      <c r="E3007" s="1" t="n">
        <v>46315</v>
      </c>
      <c r="F3007" t="inlineStr">
        <is>
          <t>HALLANDS LÄN</t>
        </is>
      </c>
      <c r="G3007" t="inlineStr">
        <is>
          <t>HYLTE</t>
        </is>
      </c>
      <c r="I3007" t="n">
        <v>0.8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s="2" t="inlineStr"/>
    </row>
    <row r="3008" ht="15" customHeight="1">
      <c r="A3008" t="inlineStr">
        <is>
          <t>A 58779-2024</t>
        </is>
      </c>
      <c r="B3008" t="inlineStr">
        <is>
          <t>avverkningsanmälan</t>
        </is>
      </c>
      <c r="C3008" t="inlineStr">
        <is>
          <t>Föryngringsavverkning</t>
        </is>
      </c>
      <c r="D3008" s="1" t="n">
        <v>45635</v>
      </c>
      <c r="E3008" s="1" t="n">
        <v>46315</v>
      </c>
      <c r="F3008" t="inlineStr">
        <is>
          <t>HALLANDS LÄN</t>
        </is>
      </c>
      <c r="G3008" t="inlineStr">
        <is>
          <t>KUNGSBACKA</t>
        </is>
      </c>
      <c r="I3008" t="n">
        <v>3.7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s="2" t="inlineStr"/>
    </row>
    <row r="3009" ht="15" customHeight="1">
      <c r="A3009" t="inlineStr">
        <is>
          <t>A 47996-2024</t>
        </is>
      </c>
      <c r="B3009" t="inlineStr">
        <is>
          <t>avverkningsanmälan</t>
        </is>
      </c>
      <c r="C3009" t="inlineStr">
        <is>
          <t>Föryngringsavverkning</t>
        </is>
      </c>
      <c r="D3009" s="1" t="n">
        <v>45589</v>
      </c>
      <c r="E3009" s="1" t="n">
        <v>46315</v>
      </c>
      <c r="F3009" t="inlineStr">
        <is>
          <t>HALLANDS LÄN</t>
        </is>
      </c>
      <c r="G3009" t="inlineStr">
        <is>
          <t>HYLTE</t>
        </is>
      </c>
      <c r="I3009" t="n">
        <v>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s="2" t="inlineStr"/>
    </row>
    <row r="3010" ht="15" customHeight="1">
      <c r="A3010" t="inlineStr">
        <is>
          <t>A 58771-2024</t>
        </is>
      </c>
      <c r="B3010" t="inlineStr">
        <is>
          <t>avverkningsanmälan</t>
        </is>
      </c>
      <c r="C3010" t="inlineStr">
        <is>
          <t>Föryngringsavverkning</t>
        </is>
      </c>
      <c r="D3010" s="1" t="n">
        <v>45635</v>
      </c>
      <c r="E3010" s="1" t="n">
        <v>46315</v>
      </c>
      <c r="F3010" t="inlineStr">
        <is>
          <t>HALLANDS LÄN</t>
        </is>
      </c>
      <c r="G3010" t="inlineStr">
        <is>
          <t>LAHOLM</t>
        </is>
      </c>
      <c r="I3010" t="n">
        <v>2.3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s="2" t="inlineStr"/>
    </row>
    <row r="3011" ht="15" customHeight="1">
      <c r="A3011" t="inlineStr">
        <is>
          <t>A 56652-2023</t>
        </is>
      </c>
      <c r="B3011" t="inlineStr">
        <is>
          <t>avverkningsanmälan</t>
        </is>
      </c>
      <c r="C3011" t="inlineStr">
        <is>
          <t>Föryngringsavverkning</t>
        </is>
      </c>
      <c r="D3011" s="1" t="n">
        <v>45243</v>
      </c>
      <c r="E3011" s="1" t="n">
        <v>46315</v>
      </c>
      <c r="F3011" t="inlineStr">
        <is>
          <t>HALLANDS LÄN</t>
        </is>
      </c>
      <c r="G3011" t="inlineStr">
        <is>
          <t>FALKENBERG</t>
        </is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s="2" t="inlineStr"/>
    </row>
    <row r="3012" ht="15" customHeight="1">
      <c r="A3012" t="inlineStr">
        <is>
          <t>A 44866-2023</t>
        </is>
      </c>
      <c r="B3012" t="inlineStr">
        <is>
          <t>avverkningsanmälan</t>
        </is>
      </c>
      <c r="C3012" t="inlineStr">
        <is>
          <t>Föryngringsavverkning</t>
        </is>
      </c>
      <c r="D3012" s="1" t="n">
        <v>45190</v>
      </c>
      <c r="E3012" s="1" t="n">
        <v>46315</v>
      </c>
      <c r="F3012" t="inlineStr">
        <is>
          <t>HALLANDS LÄN</t>
        </is>
      </c>
      <c r="G3012" t="inlineStr">
        <is>
          <t>HYLTE</t>
        </is>
      </c>
      <c r="I3012" t="n">
        <v>1.4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s="2" t="inlineStr"/>
    </row>
    <row r="3013" ht="15" customHeight="1">
      <c r="A3013" t="inlineStr">
        <is>
          <t>A 41855-2024</t>
        </is>
      </c>
      <c r="B3013" t="inlineStr">
        <is>
          <t>avverkningsanmälan</t>
        </is>
      </c>
      <c r="C3013" t="inlineStr">
        <is>
          <t>Föryngringsavverkning</t>
        </is>
      </c>
      <c r="D3013" s="1" t="n">
        <v>45561</v>
      </c>
      <c r="E3013" s="1" t="n">
        <v>46315</v>
      </c>
      <c r="F3013" t="inlineStr">
        <is>
          <t>HALLANDS LÄN</t>
        </is>
      </c>
      <c r="G3013" t="inlineStr">
        <is>
          <t>KUNGSBACKA</t>
        </is>
      </c>
      <c r="I3013" t="n">
        <v>1.1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s="2" t="inlineStr"/>
    </row>
    <row r="3014" ht="15" customHeight="1">
      <c r="A3014" t="inlineStr">
        <is>
          <t>A 39143-2022</t>
        </is>
      </c>
      <c r="B3014" t="inlineStr">
        <is>
          <t>avverkningsanmälan</t>
        </is>
      </c>
      <c r="C3014" t="inlineStr">
        <is>
          <t>Föryngringsavverkning</t>
        </is>
      </c>
      <c r="D3014" s="1" t="n">
        <v>44817</v>
      </c>
      <c r="E3014" s="1" t="n">
        <v>46315</v>
      </c>
      <c r="F3014" t="inlineStr">
        <is>
          <t>HALLANDS LÄN</t>
        </is>
      </c>
      <c r="G3014" t="inlineStr">
        <is>
          <t>HYLTE</t>
        </is>
      </c>
      <c r="I3014" t="n">
        <v>1.9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s="2" t="inlineStr"/>
    </row>
    <row r="3015" ht="15" customHeight="1">
      <c r="A3015" t="inlineStr">
        <is>
          <t>A 36980-2025</t>
        </is>
      </c>
      <c r="B3015" t="inlineStr">
        <is>
          <t>avverkningsanmälan</t>
        </is>
      </c>
      <c r="C3015" t="inlineStr">
        <is>
          <t>Föryngringsavverkning</t>
        </is>
      </c>
      <c r="D3015" s="1" t="n">
        <v>45874</v>
      </c>
      <c r="E3015" s="1" t="n">
        <v>46315</v>
      </c>
      <c r="F3015" t="inlineStr">
        <is>
          <t>HALLANDS LÄN</t>
        </is>
      </c>
      <c r="G3015" t="inlineStr">
        <is>
          <t>HALMSTAD</t>
        </is>
      </c>
      <c r="I3015" t="n">
        <v>1.2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s="2" t="inlineStr"/>
    </row>
    <row r="3016" ht="15" customHeight="1">
      <c r="A3016" t="inlineStr">
        <is>
          <t>A 36812-2025</t>
        </is>
      </c>
      <c r="B3016" t="inlineStr">
        <is>
          <t>avverkningsanmälan</t>
        </is>
      </c>
      <c r="C3016" t="inlineStr">
        <is>
          <t>Föryngringsavverkning</t>
        </is>
      </c>
      <c r="D3016" s="1" t="n">
        <v>45873</v>
      </c>
      <c r="E3016" s="1" t="n">
        <v>46315</v>
      </c>
      <c r="F3016" t="inlineStr">
        <is>
          <t>HALLANDS LÄN</t>
        </is>
      </c>
      <c r="G3016" t="inlineStr">
        <is>
          <t>VARBERG</t>
        </is>
      </c>
      <c r="I3016" t="n">
        <v>2.5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s="2" t="inlineStr"/>
    </row>
    <row r="3017" ht="15" customHeight="1">
      <c r="A3017" t="inlineStr">
        <is>
          <t>A 46316-2024</t>
        </is>
      </c>
      <c r="B3017" t="inlineStr">
        <is>
          <t>avverkningsanmälan</t>
        </is>
      </c>
      <c r="C3017" t="inlineStr">
        <is>
          <t>Föryngringsavverkning</t>
        </is>
      </c>
      <c r="D3017" s="1" t="n">
        <v>45581</v>
      </c>
      <c r="E3017" s="1" t="n">
        <v>46315</v>
      </c>
      <c r="F3017" t="inlineStr">
        <is>
          <t>HALLANDS LÄN</t>
        </is>
      </c>
      <c r="G3017" t="inlineStr">
        <is>
          <t>HALMSTAD</t>
        </is>
      </c>
      <c r="I3017" t="n">
        <v>6.3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s="2" t="inlineStr"/>
    </row>
    <row r="3018" ht="15" customHeight="1">
      <c r="A3018" t="inlineStr">
        <is>
          <t>A 29868-2025</t>
        </is>
      </c>
      <c r="B3018" t="inlineStr">
        <is>
          <t>avverkningsanmälan</t>
        </is>
      </c>
      <c r="C3018" t="inlineStr">
        <is>
          <t>Föryngringsavverkning</t>
        </is>
      </c>
      <c r="D3018" s="1" t="n">
        <v>45826</v>
      </c>
      <c r="E3018" s="1" t="n">
        <v>46315</v>
      </c>
      <c r="F3018" t="inlineStr">
        <is>
          <t>HALLANDS LÄN</t>
        </is>
      </c>
      <c r="G3018" t="inlineStr">
        <is>
          <t>LAHOLM</t>
        </is>
      </c>
      <c r="I3018" t="n">
        <v>1.2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s="2" t="inlineStr"/>
    </row>
    <row r="3019" ht="15" customHeight="1">
      <c r="A3019" t="inlineStr">
        <is>
          <t>A 44551-2024</t>
        </is>
      </c>
      <c r="B3019" t="inlineStr">
        <is>
          <t>avverkningsanmälan</t>
        </is>
      </c>
      <c r="C3019" t="inlineStr">
        <is>
          <t>Föryngringsavverkning</t>
        </is>
      </c>
      <c r="D3019" s="1" t="n">
        <v>45574</v>
      </c>
      <c r="E3019" s="1" t="n">
        <v>46315</v>
      </c>
      <c r="F3019" t="inlineStr">
        <is>
          <t>HALLANDS LÄN</t>
        </is>
      </c>
      <c r="G3019" t="inlineStr">
        <is>
          <t>HYLTE</t>
        </is>
      </c>
      <c r="I3019" t="n">
        <v>13.3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s="2" t="inlineStr"/>
    </row>
    <row r="3020" ht="15" customHeight="1">
      <c r="A3020" t="inlineStr">
        <is>
          <t>A 45281-2024</t>
        </is>
      </c>
      <c r="B3020" t="inlineStr">
        <is>
          <t>avverkningsanmälan</t>
        </is>
      </c>
      <c r="C3020" t="inlineStr">
        <is>
          <t>Föryngringsavverkning</t>
        </is>
      </c>
      <c r="D3020" s="1" t="n">
        <v>45576</v>
      </c>
      <c r="E3020" s="1" t="n">
        <v>46315</v>
      </c>
      <c r="F3020" t="inlineStr">
        <is>
          <t>HALLANDS LÄN</t>
        </is>
      </c>
      <c r="G3020" t="inlineStr">
        <is>
          <t>KUNGSBACKA</t>
        </is>
      </c>
      <c r="I3020" t="n">
        <v>5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s="2" t="inlineStr"/>
    </row>
    <row r="3021" ht="15" customHeight="1">
      <c r="A3021" t="inlineStr">
        <is>
          <t>A 38372-2024</t>
        </is>
      </c>
      <c r="B3021" t="inlineStr">
        <is>
          <t>avverkningsanmälan</t>
        </is>
      </c>
      <c r="C3021" t="inlineStr">
        <is>
          <t>Föryngringsavverkning</t>
        </is>
      </c>
      <c r="D3021" s="1" t="n">
        <v>45545</v>
      </c>
      <c r="E3021" s="1" t="n">
        <v>46315</v>
      </c>
      <c r="F3021" t="inlineStr">
        <is>
          <t>HALLANDS LÄN</t>
        </is>
      </c>
      <c r="G3021" t="inlineStr">
        <is>
          <t>HYLTE</t>
        </is>
      </c>
      <c r="I3021" t="n">
        <v>0.5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s="2" t="inlineStr"/>
    </row>
    <row r="3022" ht="15" customHeight="1">
      <c r="A3022" t="inlineStr">
        <is>
          <t>A 40465-2024</t>
        </is>
      </c>
      <c r="B3022" t="inlineStr">
        <is>
          <t>avverkningsanmälan</t>
        </is>
      </c>
      <c r="C3022" t="inlineStr">
        <is>
          <t>Föryngringsavverkning</t>
        </is>
      </c>
      <c r="D3022" s="1" t="n">
        <v>45555</v>
      </c>
      <c r="E3022" s="1" t="n">
        <v>46315</v>
      </c>
      <c r="F3022" t="inlineStr">
        <is>
          <t>HALLANDS LÄN</t>
        </is>
      </c>
      <c r="G3022" t="inlineStr">
        <is>
          <t>LAHOLM</t>
        </is>
      </c>
      <c r="I3022" t="n">
        <v>1.9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s="2" t="inlineStr"/>
    </row>
    <row r="3023" ht="15" customHeight="1">
      <c r="A3023" t="inlineStr">
        <is>
          <t>A 63674-2023</t>
        </is>
      </c>
      <c r="B3023" t="inlineStr">
        <is>
          <t>avverkningsanmälan</t>
        </is>
      </c>
      <c r="C3023" t="inlineStr">
        <is>
          <t>Föryngringsavverkning</t>
        </is>
      </c>
      <c r="D3023" s="1" t="n">
        <v>45275</v>
      </c>
      <c r="E3023" s="1" t="n">
        <v>46315</v>
      </c>
      <c r="F3023" t="inlineStr">
        <is>
          <t>HALLANDS LÄN</t>
        </is>
      </c>
      <c r="G3023" t="inlineStr">
        <is>
          <t>LAHOLM</t>
        </is>
      </c>
      <c r="I3023" t="n">
        <v>1.1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s="2" t="inlineStr"/>
    </row>
    <row r="3024" ht="15" customHeight="1">
      <c r="A3024" t="inlineStr">
        <is>
          <t>A 37136-2025</t>
        </is>
      </c>
      <c r="B3024" t="inlineStr">
        <is>
          <t>avverkningsanmälan</t>
        </is>
      </c>
      <c r="C3024" t="inlineStr">
        <is>
          <t>Föryngringsavverkning</t>
        </is>
      </c>
      <c r="D3024" s="1" t="n">
        <v>45874</v>
      </c>
      <c r="E3024" s="1" t="n">
        <v>46315</v>
      </c>
      <c r="F3024" t="inlineStr">
        <is>
          <t>HALLANDS LÄN</t>
        </is>
      </c>
      <c r="G3024" t="inlineStr">
        <is>
          <t>HALMSTAD</t>
        </is>
      </c>
      <c r="I3024" t="n">
        <v>3.4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s="2" t="inlineStr"/>
    </row>
    <row r="3025" ht="15" customHeight="1">
      <c r="A3025" t="inlineStr">
        <is>
          <t>A 37138-2025</t>
        </is>
      </c>
      <c r="B3025" t="inlineStr">
        <is>
          <t>avverkningsanmälan</t>
        </is>
      </c>
      <c r="C3025" t="inlineStr">
        <is>
          <t>Föryngringsavverkning</t>
        </is>
      </c>
      <c r="D3025" s="1" t="n">
        <v>45874</v>
      </c>
      <c r="E3025" s="1" t="n">
        <v>46315</v>
      </c>
      <c r="F3025" t="inlineStr">
        <is>
          <t>HALLANDS LÄN</t>
        </is>
      </c>
      <c r="G3025" t="inlineStr">
        <is>
          <t>HALMSTAD</t>
        </is>
      </c>
      <c r="I3025" t="n">
        <v>2.8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s="2" t="inlineStr"/>
    </row>
    <row r="3026" ht="15" customHeight="1">
      <c r="A3026" t="inlineStr">
        <is>
          <t>A 6123-2023</t>
        </is>
      </c>
      <c r="B3026" t="inlineStr">
        <is>
          <t>avverkningsanmälan</t>
        </is>
      </c>
      <c r="C3026" t="inlineStr">
        <is>
          <t>Föryngringsavverkning</t>
        </is>
      </c>
      <c r="D3026" s="1" t="n">
        <v>44964</v>
      </c>
      <c r="E3026" s="1" t="n">
        <v>46315</v>
      </c>
      <c r="F3026" t="inlineStr">
        <is>
          <t>HALLANDS LÄN</t>
        </is>
      </c>
      <c r="G3026" t="inlineStr">
        <is>
          <t>LAHOLM</t>
        </is>
      </c>
      <c r="I3026" t="n">
        <v>5.7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s="2" t="inlineStr"/>
    </row>
    <row r="3027" ht="15" customHeight="1">
      <c r="A3027" t="inlineStr">
        <is>
          <t>A 61779-2022</t>
        </is>
      </c>
      <c r="B3027" t="inlineStr">
        <is>
          <t>avverkningsanmälan</t>
        </is>
      </c>
      <c r="C3027" t="inlineStr">
        <is>
          <t>Föryngringsavverkning</t>
        </is>
      </c>
      <c r="D3027" s="1" t="n">
        <v>44917</v>
      </c>
      <c r="E3027" s="1" t="n">
        <v>46315</v>
      </c>
      <c r="F3027" t="inlineStr">
        <is>
          <t>HALLANDS LÄN</t>
        </is>
      </c>
      <c r="G3027" t="inlineStr">
        <is>
          <t>HALMSTAD</t>
        </is>
      </c>
      <c r="I3027" t="n">
        <v>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s="2" t="inlineStr"/>
    </row>
    <row r="3028" ht="15" customHeight="1">
      <c r="A3028" t="inlineStr">
        <is>
          <t>A 62664-2022</t>
        </is>
      </c>
      <c r="B3028" t="inlineStr">
        <is>
          <t>avverkningsanmälan</t>
        </is>
      </c>
      <c r="C3028" t="inlineStr">
        <is>
          <t>Föryngringsavverkning</t>
        </is>
      </c>
      <c r="D3028" s="1" t="n">
        <v>44925</v>
      </c>
      <c r="E3028" s="1" t="n">
        <v>46315</v>
      </c>
      <c r="F3028" t="inlineStr">
        <is>
          <t>HALLANDS LÄN</t>
        </is>
      </c>
      <c r="G3028" t="inlineStr">
        <is>
          <t>KUNGSBACKA</t>
        </is>
      </c>
      <c r="I3028" t="n">
        <v>1.5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s="2" t="inlineStr"/>
    </row>
    <row r="3029" ht="15" customHeight="1">
      <c r="A3029" t="inlineStr">
        <is>
          <t>A 8575-2023</t>
        </is>
      </c>
      <c r="B3029" t="inlineStr">
        <is>
          <t>avverkningsanmälan</t>
        </is>
      </c>
      <c r="C3029" t="inlineStr">
        <is>
          <t>Föryngringsavverkning</t>
        </is>
      </c>
      <c r="D3029" s="1" t="n">
        <v>44977</v>
      </c>
      <c r="E3029" s="1" t="n">
        <v>46315</v>
      </c>
      <c r="F3029" t="inlineStr">
        <is>
          <t>HALLANDS LÄN</t>
        </is>
      </c>
      <c r="G3029" t="inlineStr">
        <is>
          <t>LAHOLM</t>
        </is>
      </c>
      <c r="I3029" t="n">
        <v>6.1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s="2" t="inlineStr"/>
    </row>
    <row r="3030" ht="15" customHeight="1">
      <c r="A3030" t="inlineStr">
        <is>
          <t>A 2562-2023</t>
        </is>
      </c>
      <c r="B3030" t="inlineStr">
        <is>
          <t>avverkningsanmälan</t>
        </is>
      </c>
      <c r="C3030" t="inlineStr">
        <is>
          <t>Föryngringsavverkning</t>
        </is>
      </c>
      <c r="D3030" s="1" t="n">
        <v>44943</v>
      </c>
      <c r="E3030" s="1" t="n">
        <v>46315</v>
      </c>
      <c r="F3030" t="inlineStr">
        <is>
          <t>HALLANDS LÄN</t>
        </is>
      </c>
      <c r="G3030" t="inlineStr">
        <is>
          <t>FALKENBERG</t>
        </is>
      </c>
      <c r="H3030" t="inlineStr">
        <is>
          <t>Bergvik skog väst AB</t>
        </is>
      </c>
      <c r="I3030" t="n">
        <v>4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s="2" t="inlineStr"/>
    </row>
    <row r="3031" ht="15" customHeight="1">
      <c r="A3031" t="inlineStr">
        <is>
          <t>A 2566-2023</t>
        </is>
      </c>
      <c r="B3031" t="inlineStr">
        <is>
          <t>avverkningsanmälan</t>
        </is>
      </c>
      <c r="C3031" t="inlineStr">
        <is>
          <t>Föryngringsavverkning</t>
        </is>
      </c>
      <c r="D3031" s="1" t="n">
        <v>44943</v>
      </c>
      <c r="E3031" s="1" t="n">
        <v>46315</v>
      </c>
      <c r="F3031" t="inlineStr">
        <is>
          <t>HALLANDS LÄN</t>
        </is>
      </c>
      <c r="G3031" t="inlineStr">
        <is>
          <t>FALKENBERG</t>
        </is>
      </c>
      <c r="H3031" t="inlineStr">
        <is>
          <t>Bergvik skog väst AB</t>
        </is>
      </c>
      <c r="I3031" t="n">
        <v>1.1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s="2" t="inlineStr"/>
    </row>
    <row r="3032" ht="15" customHeight="1">
      <c r="A3032" t="inlineStr">
        <is>
          <t>A 35603-2023</t>
        </is>
      </c>
      <c r="B3032" t="inlineStr">
        <is>
          <t>avverkningsanmälan</t>
        </is>
      </c>
      <c r="C3032" t="inlineStr">
        <is>
          <t>Föryngringsavverkning</t>
        </is>
      </c>
      <c r="D3032" s="1" t="n">
        <v>45147</v>
      </c>
      <c r="E3032" s="1" t="n">
        <v>46315</v>
      </c>
      <c r="F3032" t="inlineStr">
        <is>
          <t>HALLANDS LÄN</t>
        </is>
      </c>
      <c r="G3032" t="inlineStr">
        <is>
          <t>LAHOLM</t>
        </is>
      </c>
      <c r="I3032" t="n">
        <v>1.4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s="2" t="inlineStr"/>
    </row>
    <row r="3033" ht="15" customHeight="1">
      <c r="A3033" t="inlineStr">
        <is>
          <t>A 28789-2023</t>
        </is>
      </c>
      <c r="B3033" t="inlineStr">
        <is>
          <t>avverkningsanmälan</t>
        </is>
      </c>
      <c r="C3033" t="inlineStr">
        <is>
          <t>Föryngringsavverkning</t>
        </is>
      </c>
      <c r="D3033" s="1" t="n">
        <v>45104</v>
      </c>
      <c r="E3033" s="1" t="n">
        <v>46315</v>
      </c>
      <c r="F3033" t="inlineStr">
        <is>
          <t>HALLANDS LÄN</t>
        </is>
      </c>
      <c r="G3033" t="inlineStr">
        <is>
          <t>LAHOLM</t>
        </is>
      </c>
      <c r="I3033" t="n">
        <v>10.8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s="2" t="inlineStr"/>
    </row>
    <row r="3034" ht="15" customHeight="1">
      <c r="A3034" t="inlineStr">
        <is>
          <t>A 40846-2023</t>
        </is>
      </c>
      <c r="B3034" t="inlineStr">
        <is>
          <t>avverkningsanmälan</t>
        </is>
      </c>
      <c r="C3034" t="inlineStr">
        <is>
          <t>Föryngringsavverkning</t>
        </is>
      </c>
      <c r="D3034" s="1" t="n">
        <v>45172</v>
      </c>
      <c r="E3034" s="1" t="n">
        <v>46315</v>
      </c>
      <c r="F3034" t="inlineStr">
        <is>
          <t>HALLANDS LÄN</t>
        </is>
      </c>
      <c r="G3034" t="inlineStr">
        <is>
          <t>HALMSTAD</t>
        </is>
      </c>
      <c r="I3034" t="n">
        <v>0.6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s="2" t="inlineStr"/>
    </row>
    <row r="3035" ht="15" customHeight="1">
      <c r="A3035" t="inlineStr">
        <is>
          <t>A 46845-2023</t>
        </is>
      </c>
      <c r="B3035" t="inlineStr">
        <is>
          <t>avverkningsanmälan</t>
        </is>
      </c>
      <c r="C3035" t="inlineStr">
        <is>
          <t>Föryngringsavverkning</t>
        </is>
      </c>
      <c r="D3035" s="1" t="n">
        <v>45199</v>
      </c>
      <c r="E3035" s="1" t="n">
        <v>46315</v>
      </c>
      <c r="F3035" t="inlineStr">
        <is>
          <t>HALLANDS LÄN</t>
        </is>
      </c>
      <c r="G3035" t="inlineStr">
        <is>
          <t>HYLTE</t>
        </is>
      </c>
      <c r="I3035" t="n">
        <v>2.1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s="2" t="inlineStr"/>
    </row>
    <row r="3036" ht="15" customHeight="1">
      <c r="A3036" t="inlineStr">
        <is>
          <t>A 43581-2023</t>
        </is>
      </c>
      <c r="B3036" t="inlineStr">
        <is>
          <t>avverkningsanmälan</t>
        </is>
      </c>
      <c r="C3036" t="inlineStr">
        <is>
          <t>Föryngringsavverkning</t>
        </is>
      </c>
      <c r="D3036" s="1" t="n">
        <v>45184</v>
      </c>
      <c r="E3036" s="1" t="n">
        <v>46315</v>
      </c>
      <c r="F3036" t="inlineStr">
        <is>
          <t>HALLANDS LÄN</t>
        </is>
      </c>
      <c r="G3036" t="inlineStr">
        <is>
          <t>FALKENBERG</t>
        </is>
      </c>
      <c r="I3036" t="n">
        <v>2.2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s="2" t="inlineStr"/>
    </row>
    <row r="3037" ht="15" customHeight="1">
      <c r="A3037" t="inlineStr">
        <is>
          <t>A 46148-2023</t>
        </is>
      </c>
      <c r="B3037" t="inlineStr">
        <is>
          <t>avverkningsanmälan</t>
        </is>
      </c>
      <c r="C3037" t="inlineStr">
        <is>
          <t>Föryngringsavverkning</t>
        </is>
      </c>
      <c r="D3037" s="1" t="n">
        <v>45190</v>
      </c>
      <c r="E3037" s="1" t="n">
        <v>46315</v>
      </c>
      <c r="F3037" t="inlineStr">
        <is>
          <t>HALLANDS LÄN</t>
        </is>
      </c>
      <c r="G3037" t="inlineStr">
        <is>
          <t>HYLTE</t>
        </is>
      </c>
      <c r="H3037" t="inlineStr">
        <is>
          <t>Bergvik skog väst AB</t>
        </is>
      </c>
      <c r="I3037" t="n">
        <v>1.5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s="2" t="inlineStr"/>
    </row>
    <row r="3038" ht="15" customHeight="1">
      <c r="A3038" t="inlineStr">
        <is>
          <t>A 43437-2023</t>
        </is>
      </c>
      <c r="B3038" t="inlineStr">
        <is>
          <t>avverkningsanmälan</t>
        </is>
      </c>
      <c r="C3038" t="inlineStr">
        <is>
          <t>Föryngringsavverkning</t>
        </is>
      </c>
      <c r="D3038" s="1" t="n">
        <v>45184</v>
      </c>
      <c r="E3038" s="1" t="n">
        <v>46315</v>
      </c>
      <c r="F3038" t="inlineStr">
        <is>
          <t>HALLANDS LÄN</t>
        </is>
      </c>
      <c r="G3038" t="inlineStr">
        <is>
          <t>LAHOLM</t>
        </is>
      </c>
      <c r="I3038" t="n">
        <v>2.6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s="2" t="inlineStr"/>
    </row>
    <row r="3039" ht="15" customHeight="1">
      <c r="A3039" t="inlineStr">
        <is>
          <t>A 43576-2023</t>
        </is>
      </c>
      <c r="B3039" t="inlineStr">
        <is>
          <t>avverkningsanmälan</t>
        </is>
      </c>
      <c r="C3039" t="inlineStr">
        <is>
          <t>Föryngringsavverkning</t>
        </is>
      </c>
      <c r="D3039" s="1" t="n">
        <v>45184</v>
      </c>
      <c r="E3039" s="1" t="n">
        <v>46315</v>
      </c>
      <c r="F3039" t="inlineStr">
        <is>
          <t>HALLANDS LÄN</t>
        </is>
      </c>
      <c r="G3039" t="inlineStr">
        <is>
          <t>FALKENBERG</t>
        </is>
      </c>
      <c r="I3039" t="n">
        <v>5.6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s="2" t="inlineStr"/>
    </row>
    <row r="3040" ht="15" customHeight="1">
      <c r="A3040" t="inlineStr">
        <is>
          <t>A 43610-2023</t>
        </is>
      </c>
      <c r="B3040" t="inlineStr">
        <is>
          <t>avverkningsanmälan</t>
        </is>
      </c>
      <c r="C3040" t="inlineStr">
        <is>
          <t>Föryngringsavverkning</t>
        </is>
      </c>
      <c r="D3040" s="1" t="n">
        <v>45184</v>
      </c>
      <c r="E3040" s="1" t="n">
        <v>46315</v>
      </c>
      <c r="F3040" t="inlineStr">
        <is>
          <t>HALLANDS LÄN</t>
        </is>
      </c>
      <c r="G3040" t="inlineStr">
        <is>
          <t>FALKENBERG</t>
        </is>
      </c>
      <c r="I3040" t="n">
        <v>3.2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s="2" t="inlineStr"/>
    </row>
    <row r="3041" ht="15" customHeight="1">
      <c r="A3041" t="inlineStr">
        <is>
          <t>A 22003-2024</t>
        </is>
      </c>
      <c r="B3041" t="inlineStr">
        <is>
          <t>avverkningsanmälan</t>
        </is>
      </c>
      <c r="C3041" t="inlineStr">
        <is>
          <t>Föryngringsavverkning</t>
        </is>
      </c>
      <c r="D3041" s="1" t="n">
        <v>45443</v>
      </c>
      <c r="E3041" s="1" t="n">
        <v>46315</v>
      </c>
      <c r="F3041" t="inlineStr">
        <is>
          <t>HALLANDS LÄN</t>
        </is>
      </c>
      <c r="G3041" t="inlineStr">
        <is>
          <t>KUNGSBACKA</t>
        </is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s="2" t="inlineStr"/>
    </row>
    <row r="3042" ht="15" customHeight="1">
      <c r="A3042" t="inlineStr">
        <is>
          <t>A 24375-2023</t>
        </is>
      </c>
      <c r="B3042" t="inlineStr">
        <is>
          <t>avverkningsanmälan</t>
        </is>
      </c>
      <c r="C3042" t="inlineStr">
        <is>
          <t>Föryngringsavverkning</t>
        </is>
      </c>
      <c r="D3042" s="1" t="n">
        <v>45082</v>
      </c>
      <c r="E3042" s="1" t="n">
        <v>46315</v>
      </c>
      <c r="F3042" t="inlineStr">
        <is>
          <t>HALLANDS LÄN</t>
        </is>
      </c>
      <c r="G3042" t="inlineStr">
        <is>
          <t>HALMSTAD</t>
        </is>
      </c>
      <c r="I3042" t="n">
        <v>1.9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s="2" t="inlineStr"/>
    </row>
    <row r="3043" ht="15" customHeight="1">
      <c r="A3043" t="inlineStr">
        <is>
          <t>A 57211-2022</t>
        </is>
      </c>
      <c r="B3043" t="inlineStr">
        <is>
          <t>avverkningsanmälan</t>
        </is>
      </c>
      <c r="C3043" t="inlineStr">
        <is>
          <t>Föryngringsavverkning</t>
        </is>
      </c>
      <c r="D3043" s="1" t="n">
        <v>44889</v>
      </c>
      <c r="E3043" s="1" t="n">
        <v>46315</v>
      </c>
      <c r="F3043" t="inlineStr">
        <is>
          <t>HALLANDS LÄN</t>
        </is>
      </c>
      <c r="G3043" t="inlineStr">
        <is>
          <t>HYLTE</t>
        </is>
      </c>
      <c r="I3043" t="n">
        <v>2.6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s="2" t="inlineStr"/>
    </row>
    <row r="3044" ht="15" customHeight="1">
      <c r="A3044" t="inlineStr">
        <is>
          <t>A 63675-2023</t>
        </is>
      </c>
      <c r="B3044" t="inlineStr">
        <is>
          <t>avverkningsanmälan</t>
        </is>
      </c>
      <c r="C3044" t="inlineStr">
        <is>
          <t>Föryngringsavverkning</t>
        </is>
      </c>
      <c r="D3044" s="1" t="n">
        <v>45275</v>
      </c>
      <c r="E3044" s="1" t="n">
        <v>46315</v>
      </c>
      <c r="F3044" t="inlineStr">
        <is>
          <t>HALLANDS LÄN</t>
        </is>
      </c>
      <c r="G3044" t="inlineStr">
        <is>
          <t>LAHOLM</t>
        </is>
      </c>
      <c r="I3044" t="n">
        <v>0.6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s="2" t="inlineStr"/>
    </row>
    <row r="3045" ht="15" customHeight="1">
      <c r="A3045" t="inlineStr">
        <is>
          <t>A 39464-2022</t>
        </is>
      </c>
      <c r="B3045" t="inlineStr">
        <is>
          <t>avverkningsanmälan</t>
        </is>
      </c>
      <c r="C3045" t="inlineStr">
        <is>
          <t>Föryngringsavverkning</t>
        </is>
      </c>
      <c r="D3045" s="1" t="n">
        <v>44818</v>
      </c>
      <c r="E3045" s="1" t="n">
        <v>46315</v>
      </c>
      <c r="F3045" t="inlineStr">
        <is>
          <t>HALLANDS LÄN</t>
        </is>
      </c>
      <c r="G3045" t="inlineStr">
        <is>
          <t>VARBERG</t>
        </is>
      </c>
      <c r="I3045" t="n">
        <v>2.5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s="2" t="inlineStr"/>
    </row>
    <row r="3046" ht="15" customHeight="1">
      <c r="A3046" t="inlineStr">
        <is>
          <t>A 42566-2022</t>
        </is>
      </c>
      <c r="B3046" t="inlineStr">
        <is>
          <t>avverkningsanmälan</t>
        </is>
      </c>
      <c r="C3046" t="inlineStr">
        <is>
          <t>Föryngringsavverkning</t>
        </is>
      </c>
      <c r="D3046" s="1" t="n">
        <v>44831</v>
      </c>
      <c r="E3046" s="1" t="n">
        <v>46315</v>
      </c>
      <c r="F3046" t="inlineStr">
        <is>
          <t>HALLANDS LÄN</t>
        </is>
      </c>
      <c r="G3046" t="inlineStr">
        <is>
          <t>VARBERG</t>
        </is>
      </c>
      <c r="I3046" t="n">
        <v>5.8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s="2" t="inlineStr"/>
    </row>
    <row r="3047" ht="15" customHeight="1">
      <c r="A3047" t="inlineStr">
        <is>
          <t>A 55858-2024</t>
        </is>
      </c>
      <c r="B3047" t="inlineStr">
        <is>
          <t>avverkningsanmälan</t>
        </is>
      </c>
      <c r="C3047" t="inlineStr">
        <is>
          <t>Föryngringsavverkning</t>
        </is>
      </c>
      <c r="D3047" s="1" t="n">
        <v>45623</v>
      </c>
      <c r="E3047" s="1" t="n">
        <v>46315</v>
      </c>
      <c r="F3047" t="inlineStr">
        <is>
          <t>HALLANDS LÄN</t>
        </is>
      </c>
      <c r="G3047" t="inlineStr">
        <is>
          <t>HYLTE</t>
        </is>
      </c>
      <c r="I3047" t="n">
        <v>0.6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s="2" t="inlineStr"/>
    </row>
    <row r="3048" ht="15" customHeight="1">
      <c r="A3048" t="inlineStr">
        <is>
          <t>A 37051-2025</t>
        </is>
      </c>
      <c r="B3048" t="inlineStr">
        <is>
          <t>avverkningsanmälan</t>
        </is>
      </c>
      <c r="C3048" t="inlineStr">
        <is>
          <t>Föryngringsavverkning</t>
        </is>
      </c>
      <c r="D3048" s="1" t="n">
        <v>45875</v>
      </c>
      <c r="E3048" s="1" t="n">
        <v>46315</v>
      </c>
      <c r="F3048" t="inlineStr">
        <is>
          <t>HALLANDS LÄN</t>
        </is>
      </c>
      <c r="G3048" t="inlineStr">
        <is>
          <t>KUNGSBACKA</t>
        </is>
      </c>
      <c r="I3048" t="n">
        <v>0.6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s="2" t="inlineStr"/>
    </row>
    <row r="3049" ht="15" customHeight="1">
      <c r="A3049" t="inlineStr">
        <is>
          <t>A 37270-2025</t>
        </is>
      </c>
      <c r="B3049" t="inlineStr">
        <is>
          <t>avverkningsanmälan</t>
        </is>
      </c>
      <c r="C3049" t="inlineStr">
        <is>
          <t>Föryngringsavverkning</t>
        </is>
      </c>
      <c r="D3049" s="1" t="n">
        <v>45876</v>
      </c>
      <c r="E3049" s="1" t="n">
        <v>46315</v>
      </c>
      <c r="F3049" t="inlineStr">
        <is>
          <t>HALLANDS LÄN</t>
        </is>
      </c>
      <c r="G3049" t="inlineStr">
        <is>
          <t>HALMSTAD</t>
        </is>
      </c>
      <c r="I3049" t="n">
        <v>0.7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s="2" t="inlineStr"/>
    </row>
    <row r="3050" ht="15" customHeight="1">
      <c r="A3050" t="inlineStr">
        <is>
          <t>A 37675-2025</t>
        </is>
      </c>
      <c r="B3050" t="inlineStr">
        <is>
          <t>avverkningsanmälan</t>
        </is>
      </c>
      <c r="C3050" t="inlineStr">
        <is>
          <t>Föryngringsavverkning</t>
        </is>
      </c>
      <c r="D3050" s="1" t="n">
        <v>45880</v>
      </c>
      <c r="E3050" s="1" t="n">
        <v>46315</v>
      </c>
      <c r="F3050" t="inlineStr">
        <is>
          <t>HALLANDS LÄN</t>
        </is>
      </c>
      <c r="G3050" t="inlineStr">
        <is>
          <t>HYLTE</t>
        </is>
      </c>
      <c r="I3050" t="n">
        <v>0.7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s="2" t="inlineStr"/>
    </row>
    <row r="3051" ht="15" customHeight="1">
      <c r="A3051" t="inlineStr">
        <is>
          <t>A 37596-2025</t>
        </is>
      </c>
      <c r="B3051" t="inlineStr">
        <is>
          <t>avverkningsanmälan</t>
        </is>
      </c>
      <c r="C3051" t="inlineStr">
        <is>
          <t>Föryngringsavverkning</t>
        </is>
      </c>
      <c r="D3051" s="1" t="n">
        <v>45880</v>
      </c>
      <c r="E3051" s="1" t="n">
        <v>46315</v>
      </c>
      <c r="F3051" t="inlineStr">
        <is>
          <t>HALLANDS LÄN</t>
        </is>
      </c>
      <c r="G3051" t="inlineStr">
        <is>
          <t>HYLTE</t>
        </is>
      </c>
      <c r="I3051" t="n">
        <v>0.5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s="2" t="inlineStr"/>
    </row>
    <row r="3052" ht="15" customHeight="1">
      <c r="A3052" t="inlineStr">
        <is>
          <t>A 37745-2025</t>
        </is>
      </c>
      <c r="B3052" t="inlineStr">
        <is>
          <t>avverkningsanmälan</t>
        </is>
      </c>
      <c r="C3052" t="inlineStr">
        <is>
          <t>Föryngringsavverkning</t>
        </is>
      </c>
      <c r="D3052" s="1" t="n">
        <v>45880</v>
      </c>
      <c r="E3052" s="1" t="n">
        <v>46315</v>
      </c>
      <c r="F3052" t="inlineStr">
        <is>
          <t>HALLANDS LÄN</t>
        </is>
      </c>
      <c r="G3052" t="inlineStr">
        <is>
          <t>HALMSTAD</t>
        </is>
      </c>
      <c r="I3052" t="n">
        <v>2.5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s="2" t="inlineStr"/>
    </row>
    <row r="3053" ht="15" customHeight="1">
      <c r="A3053" t="inlineStr">
        <is>
          <t>A 37428-2025</t>
        </is>
      </c>
      <c r="B3053" t="inlineStr">
        <is>
          <t>avverkningsanmälan</t>
        </is>
      </c>
      <c r="C3053" t="inlineStr">
        <is>
          <t>Föryngringsavverkning</t>
        </is>
      </c>
      <c r="D3053" s="1" t="n">
        <v>45877</v>
      </c>
      <c r="E3053" s="1" t="n">
        <v>46315</v>
      </c>
      <c r="F3053" t="inlineStr">
        <is>
          <t>HALLANDS LÄN</t>
        </is>
      </c>
      <c r="G3053" t="inlineStr">
        <is>
          <t>HYLTE</t>
        </is>
      </c>
      <c r="I3053" t="n">
        <v>7.1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s="2" t="inlineStr"/>
    </row>
    <row r="3054" ht="15" customHeight="1">
      <c r="A3054" t="inlineStr">
        <is>
          <t>A 37365-2025</t>
        </is>
      </c>
      <c r="B3054" t="inlineStr">
        <is>
          <t>avverkningsanmälan</t>
        </is>
      </c>
      <c r="C3054" t="inlineStr">
        <is>
          <t>Föryngringsavverkning</t>
        </is>
      </c>
      <c r="D3054" s="1" t="n">
        <v>45877</v>
      </c>
      <c r="E3054" s="1" t="n">
        <v>46315</v>
      </c>
      <c r="F3054" t="inlineStr">
        <is>
          <t>HALLANDS LÄN</t>
        </is>
      </c>
      <c r="G3054" t="inlineStr">
        <is>
          <t>VARBERG</t>
        </is>
      </c>
      <c r="I3054" t="n">
        <v>4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s="2" t="inlineStr"/>
    </row>
    <row r="3055" ht="15" customHeight="1">
      <c r="A3055" t="inlineStr">
        <is>
          <t>A 37673-2025</t>
        </is>
      </c>
      <c r="B3055" t="inlineStr">
        <is>
          <t>avverkningsanmälan</t>
        </is>
      </c>
      <c r="C3055" t="inlineStr">
        <is>
          <t>Föryngringsavverkning</t>
        </is>
      </c>
      <c r="D3055" s="1" t="n">
        <v>45880</v>
      </c>
      <c r="E3055" s="1" t="n">
        <v>46315</v>
      </c>
      <c r="F3055" t="inlineStr">
        <is>
          <t>HALLANDS LÄN</t>
        </is>
      </c>
      <c r="G3055" t="inlineStr">
        <is>
          <t>HYLTE</t>
        </is>
      </c>
      <c r="I3055" t="n">
        <v>1.3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s="2" t="inlineStr"/>
    </row>
    <row r="3056" ht="15" customHeight="1">
      <c r="A3056" t="inlineStr">
        <is>
          <t>A 37595-2025</t>
        </is>
      </c>
      <c r="B3056" t="inlineStr">
        <is>
          <t>avverkningsanmälan</t>
        </is>
      </c>
      <c r="C3056" t="inlineStr">
        <is>
          <t>Föryngringsavverkning</t>
        </is>
      </c>
      <c r="D3056" s="1" t="n">
        <v>45880</v>
      </c>
      <c r="E3056" s="1" t="n">
        <v>46315</v>
      </c>
      <c r="F3056" t="inlineStr">
        <is>
          <t>HALLANDS LÄN</t>
        </is>
      </c>
      <c r="G3056" t="inlineStr">
        <is>
          <t>HYLTE</t>
        </is>
      </c>
      <c r="I3056" t="n">
        <v>0.5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s="2" t="inlineStr"/>
    </row>
    <row r="3057" ht="15" customHeight="1">
      <c r="A3057" t="inlineStr">
        <is>
          <t>A 19893-2025</t>
        </is>
      </c>
      <c r="B3057" t="inlineStr">
        <is>
          <t>avverkningsanmälan</t>
        </is>
      </c>
      <c r="C3057" t="inlineStr">
        <is>
          <t>Föryngringsavverkning</t>
        </is>
      </c>
      <c r="D3057" s="1" t="n">
        <v>45771</v>
      </c>
      <c r="E3057" s="1" t="n">
        <v>46315</v>
      </c>
      <c r="F3057" t="inlineStr">
        <is>
          <t>HALLANDS LÄN</t>
        </is>
      </c>
      <c r="G3057" t="inlineStr">
        <is>
          <t>VARBERG</t>
        </is>
      </c>
      <c r="I3057" t="n">
        <v>3.9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s="2" t="inlineStr"/>
    </row>
    <row r="3058" ht="15" customHeight="1">
      <c r="A3058" t="inlineStr">
        <is>
          <t>S 2307-2020</t>
        </is>
      </c>
      <c r="B3058" t="inlineStr">
        <is>
          <t>samrådsanmälan</t>
        </is>
      </c>
      <c r="C3058" t="inlineStr">
        <is>
          <t>Åtgärd i nyckelbiotop</t>
        </is>
      </c>
      <c r="D3058" s="1" t="n">
        <v>44132</v>
      </c>
      <c r="E3058" s="1" t="n">
        <v>46315</v>
      </c>
      <c r="F3058" t="inlineStr">
        <is>
          <t>HALLANDS LÄN</t>
        </is>
      </c>
      <c r="G3058" t="inlineStr">
        <is>
          <t>HALMSTAD</t>
        </is>
      </c>
      <c r="I3058" t="n">
        <v>1.1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s="2" t="inlineStr"/>
    </row>
    <row r="3059" ht="15" customHeight="1">
      <c r="A3059" t="inlineStr">
        <is>
          <t>S 203-2022</t>
        </is>
      </c>
      <c r="B3059" t="inlineStr">
        <is>
          <t>samrådsanmälan</t>
        </is>
      </c>
      <c r="C3059" t="inlineStr">
        <is>
          <t>Skogsbilväg</t>
        </is>
      </c>
      <c r="D3059" s="1" t="n">
        <v>44574</v>
      </c>
      <c r="E3059" s="1" t="n">
        <v>46315</v>
      </c>
      <c r="F3059" t="inlineStr">
        <is>
          <t>HALLANDS LÄN</t>
        </is>
      </c>
      <c r="G3059" t="inlineStr">
        <is>
          <t>FALKENBERG</t>
        </is>
      </c>
      <c r="H3059" t="inlineStr">
        <is>
          <t>Bergvik skog väst AB</t>
        </is>
      </c>
      <c r="I3059" t="n">
        <v>0.2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s="2" t="inlineStr"/>
    </row>
    <row r="3060" ht="15" customHeight="1">
      <c r="A3060" t="inlineStr">
        <is>
          <t>S 1404-2022</t>
        </is>
      </c>
      <c r="B3060" t="inlineStr">
        <is>
          <t>samrådsanmälan</t>
        </is>
      </c>
      <c r="C3060" t="inlineStr">
        <is>
          <t>Skogsbilväg</t>
        </is>
      </c>
      <c r="D3060" s="1" t="n">
        <v>44631</v>
      </c>
      <c r="E3060" s="1" t="n">
        <v>46315</v>
      </c>
      <c r="F3060" t="inlineStr">
        <is>
          <t>HALLANDS LÄN</t>
        </is>
      </c>
      <c r="G3060" t="inlineStr">
        <is>
          <t>HYLTE</t>
        </is>
      </c>
      <c r="I3060" t="n">
        <v>2.5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s="2" t="inlineStr"/>
    </row>
    <row r="3061" ht="15" customHeight="1">
      <c r="A3061" t="inlineStr">
        <is>
          <t>S 572-2022</t>
        </is>
      </c>
      <c r="B3061" t="inlineStr">
        <is>
          <t>samrådsanmälan</t>
        </is>
      </c>
      <c r="C3061" t="inlineStr">
        <is>
          <t>Åtgärd i nyckelbiotop</t>
        </is>
      </c>
      <c r="D3061" s="1" t="n">
        <v>44592</v>
      </c>
      <c r="E3061" s="1" t="n">
        <v>46315</v>
      </c>
      <c r="F3061" t="inlineStr">
        <is>
          <t>HALLANDS LÄN</t>
        </is>
      </c>
      <c r="G3061" t="inlineStr">
        <is>
          <t>HALMSTAD</t>
        </is>
      </c>
      <c r="H3061" t="inlineStr">
        <is>
          <t>Kyrkan</t>
        </is>
      </c>
      <c r="I3061" t="n">
        <v>1.5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s="2" t="inlineStr"/>
    </row>
    <row r="3062" ht="15" customHeight="1">
      <c r="A3062" t="inlineStr">
        <is>
          <t>S 951-2022</t>
        </is>
      </c>
      <c r="B3062" t="inlineStr">
        <is>
          <t>samrådsanmälan</t>
        </is>
      </c>
      <c r="C3062" t="inlineStr">
        <is>
          <t>Annan skogsbruksåtgärd</t>
        </is>
      </c>
      <c r="D3062" s="1" t="n">
        <v>44608</v>
      </c>
      <c r="E3062" s="1" t="n">
        <v>46315</v>
      </c>
      <c r="F3062" t="inlineStr">
        <is>
          <t>HALLANDS LÄN</t>
        </is>
      </c>
      <c r="G3062" t="inlineStr">
        <is>
          <t>FALKENBERG</t>
        </is>
      </c>
      <c r="I3062" t="n">
        <v>0.1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s="2" t="inlineStr"/>
    </row>
    <row r="3063" ht="15" customHeight="1">
      <c r="A3063" t="inlineStr">
        <is>
          <t>S 1472-2022</t>
        </is>
      </c>
      <c r="B3063" t="inlineStr">
        <is>
          <t>samrådsanmälan</t>
        </is>
      </c>
      <c r="C3063" t="inlineStr">
        <is>
          <t>Skogsbilväg</t>
        </is>
      </c>
      <c r="D3063" s="1" t="n">
        <v>44636</v>
      </c>
      <c r="E3063" s="1" t="n">
        <v>46315</v>
      </c>
      <c r="F3063" t="inlineStr">
        <is>
          <t>HALLANDS LÄN</t>
        </is>
      </c>
      <c r="G3063" t="inlineStr">
        <is>
          <t>FALKENBERG</t>
        </is>
      </c>
      <c r="I3063" t="n">
        <v>0.7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s="2" t="inlineStr"/>
    </row>
    <row r="3064" ht="15" customHeight="1">
      <c r="A3064" t="inlineStr">
        <is>
          <t>S 1038-2022</t>
        </is>
      </c>
      <c r="B3064" t="inlineStr">
        <is>
          <t>samrådsanmälan</t>
        </is>
      </c>
      <c r="C3064" t="inlineStr">
        <is>
          <t>Annan skogsbruksåtgärd</t>
        </is>
      </c>
      <c r="D3064" s="1" t="n">
        <v>44613</v>
      </c>
      <c r="E3064" s="1" t="n">
        <v>46315</v>
      </c>
      <c r="F3064" t="inlineStr">
        <is>
          <t>HALLANDS LÄN</t>
        </is>
      </c>
      <c r="G3064" t="inlineStr">
        <is>
          <t>HYLTE</t>
        </is>
      </c>
      <c r="I3064" t="n">
        <v>1.4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s="2" t="inlineStr"/>
    </row>
    <row r="3065" ht="15" customHeight="1">
      <c r="A3065" t="inlineStr">
        <is>
          <t>S 953-2022</t>
        </is>
      </c>
      <c r="B3065" t="inlineStr">
        <is>
          <t>samrådsanmälan</t>
        </is>
      </c>
      <c r="C3065" t="inlineStr">
        <is>
          <t>Skogsbilväg</t>
        </is>
      </c>
      <c r="D3065" s="1" t="n">
        <v>44608</v>
      </c>
      <c r="E3065" s="1" t="n">
        <v>46315</v>
      </c>
      <c r="F3065" t="inlineStr">
        <is>
          <t>HALLANDS LÄN</t>
        </is>
      </c>
      <c r="G3065" t="inlineStr">
        <is>
          <t>HYLTE</t>
        </is>
      </c>
      <c r="I3065" t="n">
        <v>1.2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s="2" t="inlineStr"/>
    </row>
    <row r="3066" ht="15" customHeight="1">
      <c r="A3066" t="inlineStr">
        <is>
          <t>S 3049-2024</t>
        </is>
      </c>
      <c r="B3066" t="inlineStr">
        <is>
          <t>samrådsanmälan</t>
        </is>
      </c>
      <c r="C3066" t="inlineStr">
        <is>
          <t>Askåterföring</t>
        </is>
      </c>
      <c r="D3066" s="1" t="n">
        <v>45516</v>
      </c>
      <c r="E3066" s="1" t="n">
        <v>46315</v>
      </c>
      <c r="F3066" t="inlineStr">
        <is>
          <t>HALLANDS LÄN</t>
        </is>
      </c>
      <c r="G3066" t="inlineStr">
        <is>
          <t>HALMSTAD</t>
        </is>
      </c>
      <c r="I3066" t="n">
        <v>13.9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s="2" t="inlineStr"/>
    </row>
    <row r="3067" ht="15" customHeight="1">
      <c r="A3067" t="inlineStr">
        <is>
          <t>S 1388-2022</t>
        </is>
      </c>
      <c r="B3067" t="inlineStr">
        <is>
          <t>samrådsanmälan</t>
        </is>
      </c>
      <c r="C3067" t="inlineStr">
        <is>
          <t>Askåterföring</t>
        </is>
      </c>
      <c r="D3067" s="1" t="n">
        <v>44631</v>
      </c>
      <c r="E3067" s="1" t="n">
        <v>46315</v>
      </c>
      <c r="F3067" t="inlineStr">
        <is>
          <t>HALLANDS LÄN</t>
        </is>
      </c>
      <c r="G3067" t="inlineStr">
        <is>
          <t>HYLTE</t>
        </is>
      </c>
      <c r="I3067" t="n">
        <v>61.4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s="2" t="inlineStr"/>
    </row>
    <row r="3068" ht="15" customHeight="1">
      <c r="A3068" t="inlineStr">
        <is>
          <t>S 1386-2022</t>
        </is>
      </c>
      <c r="B3068" t="inlineStr">
        <is>
          <t>samrådsanmälan</t>
        </is>
      </c>
      <c r="C3068" t="inlineStr">
        <is>
          <t>Askåterföring</t>
        </is>
      </c>
      <c r="D3068" s="1" t="n">
        <v>44631</v>
      </c>
      <c r="E3068" s="1" t="n">
        <v>46315</v>
      </c>
      <c r="F3068" t="inlineStr">
        <is>
          <t>HALLANDS LÄN</t>
        </is>
      </c>
      <c r="G3068" t="inlineStr">
        <is>
          <t>HYLTE</t>
        </is>
      </c>
      <c r="I3068" t="n">
        <v>26.3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s="2" t="inlineStr"/>
    </row>
    <row r="3069" ht="15" customHeight="1">
      <c r="A3069" t="inlineStr">
        <is>
          <t>S 1918-2024</t>
        </is>
      </c>
      <c r="B3069" t="inlineStr">
        <is>
          <t>samrådsanmälan</t>
        </is>
      </c>
      <c r="C3069" t="inlineStr">
        <is>
          <t>Askåterföring</t>
        </is>
      </c>
      <c r="D3069" s="1" t="n">
        <v>45442</v>
      </c>
      <c r="E3069" s="1" t="n">
        <v>46315</v>
      </c>
      <c r="F3069" t="inlineStr">
        <is>
          <t>HALLANDS LÄN</t>
        </is>
      </c>
      <c r="G3069" t="inlineStr">
        <is>
          <t>LAHOLM</t>
        </is>
      </c>
      <c r="I3069" t="n">
        <v>39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s="2" t="inlineStr"/>
    </row>
    <row r="3070" ht="15" customHeight="1">
      <c r="A3070" t="inlineStr">
        <is>
          <t>S 4308-2023</t>
        </is>
      </c>
      <c r="B3070" t="inlineStr">
        <is>
          <t>samrådsanmälan</t>
        </is>
      </c>
      <c r="C3070" t="inlineStr">
        <is>
          <t>Annan skogsbruksåtgärd</t>
        </is>
      </c>
      <c r="D3070" s="1" t="n">
        <v>45259</v>
      </c>
      <c r="E3070" s="1" t="n">
        <v>46315</v>
      </c>
      <c r="F3070" t="inlineStr">
        <is>
          <t>HALLANDS LÄN</t>
        </is>
      </c>
      <c r="G3070" t="inlineStr">
        <is>
          <t>FALKENBERG</t>
        </is>
      </c>
      <c r="I3070" t="n">
        <v>0.1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s="2" t="inlineStr"/>
    </row>
    <row r="3071" ht="15" customHeight="1">
      <c r="A3071" t="inlineStr">
        <is>
          <t>S 4822-2024</t>
        </is>
      </c>
      <c r="B3071" t="inlineStr">
        <is>
          <t>samrådsanmälan</t>
        </is>
      </c>
      <c r="C3071" t="inlineStr">
        <is>
          <t>Annan skogsbruksåtgärd</t>
        </is>
      </c>
      <c r="D3071" s="1" t="n">
        <v>45614</v>
      </c>
      <c r="E3071" s="1" t="n">
        <v>46315</v>
      </c>
      <c r="F3071" t="inlineStr">
        <is>
          <t>HALLANDS LÄN</t>
        </is>
      </c>
      <c r="G3071" t="inlineStr">
        <is>
          <t>HYLTE</t>
        </is>
      </c>
      <c r="H3071" t="inlineStr">
        <is>
          <t>Kyrkan</t>
        </is>
      </c>
      <c r="I3071" t="n">
        <v>0.6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s="2" t="inlineStr"/>
    </row>
    <row r="3072" ht="15" customHeight="1">
      <c r="A3072" t="inlineStr">
        <is>
          <t>S 4158-2022</t>
        </is>
      </c>
      <c r="B3072" t="inlineStr">
        <is>
          <t>samrådsanmälan</t>
        </is>
      </c>
      <c r="C3072" t="inlineStr">
        <is>
          <t>Annan skogsbruksåtgärd</t>
        </is>
      </c>
      <c r="D3072" s="1" t="n">
        <v>44767</v>
      </c>
      <c r="E3072" s="1" t="n">
        <v>46315</v>
      </c>
      <c r="F3072" t="inlineStr">
        <is>
          <t>HALLANDS LÄN</t>
        </is>
      </c>
      <c r="G3072" t="inlineStr">
        <is>
          <t>HALMSTAD</t>
        </is>
      </c>
      <c r="H3072" t="inlineStr">
        <is>
          <t>Kommuner</t>
        </is>
      </c>
      <c r="I3072" t="n">
        <v>0.5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s="2" t="inlineStr"/>
    </row>
    <row r="3073" ht="15" customHeight="1">
      <c r="A3073" t="inlineStr">
        <is>
          <t>S 6247-2022</t>
        </is>
      </c>
      <c r="B3073" t="inlineStr">
        <is>
          <t>samrådsanmälan</t>
        </is>
      </c>
      <c r="C3073" t="inlineStr">
        <is>
          <t>Annan skogsbruksåtgärd</t>
        </is>
      </c>
      <c r="D3073" s="1" t="n">
        <v>44868</v>
      </c>
      <c r="E3073" s="1" t="n">
        <v>46315</v>
      </c>
      <c r="F3073" t="inlineStr">
        <is>
          <t>HALLANDS LÄN</t>
        </is>
      </c>
      <c r="G3073" t="inlineStr">
        <is>
          <t>VARBERG</t>
        </is>
      </c>
      <c r="I3073" t="n">
        <v>1.1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s="2" t="inlineStr"/>
    </row>
    <row r="3074" ht="15" customHeight="1">
      <c r="A3074" t="inlineStr">
        <is>
          <t>S 621-2024</t>
        </is>
      </c>
      <c r="B3074" t="inlineStr">
        <is>
          <t>samrådsanmälan</t>
        </is>
      </c>
      <c r="C3074" t="inlineStr">
        <is>
          <t>Askåterföring</t>
        </is>
      </c>
      <c r="D3074" s="1" t="n">
        <v>45352</v>
      </c>
      <c r="E3074" s="1" t="n">
        <v>46315</v>
      </c>
      <c r="F3074" t="inlineStr">
        <is>
          <t>HALLANDS LÄN</t>
        </is>
      </c>
      <c r="G3074" t="inlineStr">
        <is>
          <t>FALKENBERG</t>
        </is>
      </c>
      <c r="I3074" t="n">
        <v>47.3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s="2" t="inlineStr"/>
    </row>
    <row r="3075" ht="15" customHeight="1">
      <c r="A3075" t="inlineStr">
        <is>
          <t>S 3794-2022</t>
        </is>
      </c>
      <c r="B3075" t="inlineStr">
        <is>
          <t>samrådsanmälan</t>
        </is>
      </c>
      <c r="C3075" t="inlineStr">
        <is>
          <t>Skogsbilväg</t>
        </is>
      </c>
      <c r="D3075" s="1" t="n">
        <v>44743</v>
      </c>
      <c r="E3075" s="1" t="n">
        <v>46315</v>
      </c>
      <c r="F3075" t="inlineStr">
        <is>
          <t>HALLANDS LÄN</t>
        </is>
      </c>
      <c r="G3075" t="inlineStr">
        <is>
          <t>HYLTE</t>
        </is>
      </c>
      <c r="I3075" t="n">
        <v>0.2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s="2" t="inlineStr"/>
    </row>
    <row r="3076" ht="15" customHeight="1">
      <c r="A3076" t="inlineStr">
        <is>
          <t>S 2905-2023</t>
        </is>
      </c>
      <c r="B3076" t="inlineStr">
        <is>
          <t>samrådsanmälan</t>
        </is>
      </c>
      <c r="C3076" t="inlineStr">
        <is>
          <t>Annan skogsbruksåtgärd</t>
        </is>
      </c>
      <c r="D3076" s="1" t="n">
        <v>45171</v>
      </c>
      <c r="E3076" s="1" t="n">
        <v>46315</v>
      </c>
      <c r="F3076" t="inlineStr">
        <is>
          <t>HALLANDS LÄN</t>
        </is>
      </c>
      <c r="G3076" t="inlineStr">
        <is>
          <t>HALMSTAD</t>
        </is>
      </c>
      <c r="I3076" t="n">
        <v>0.8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s="2" t="inlineStr"/>
    </row>
    <row r="3077" ht="15" customHeight="1">
      <c r="A3077" t="inlineStr">
        <is>
          <t>S 4323-2023</t>
        </is>
      </c>
      <c r="B3077" t="inlineStr">
        <is>
          <t>samrådsanmälan</t>
        </is>
      </c>
      <c r="C3077" t="inlineStr">
        <is>
          <t>Annan skogsbruksåtgärd</t>
        </is>
      </c>
      <c r="D3077" s="1" t="n">
        <v>45261</v>
      </c>
      <c r="E3077" s="1" t="n">
        <v>46315</v>
      </c>
      <c r="F3077" t="inlineStr">
        <is>
          <t>HALLANDS LÄN</t>
        </is>
      </c>
      <c r="G3077" t="inlineStr">
        <is>
          <t>FALKENBERG</t>
        </is>
      </c>
      <c r="I3077" t="n">
        <v>1.4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s="2" t="inlineStr"/>
    </row>
    <row r="3078" ht="15" customHeight="1">
      <c r="A3078" t="inlineStr">
        <is>
          <t>S 6873-2022</t>
        </is>
      </c>
      <c r="B3078" t="inlineStr">
        <is>
          <t>samrådsanmälan</t>
        </is>
      </c>
      <c r="C3078" t="inlineStr">
        <is>
          <t>Annan skogsbruksåtgärd</t>
        </is>
      </c>
      <c r="D3078" s="1" t="n">
        <v>44895</v>
      </c>
      <c r="E3078" s="1" t="n">
        <v>46315</v>
      </c>
      <c r="F3078" t="inlineStr">
        <is>
          <t>HALLANDS LÄN</t>
        </is>
      </c>
      <c r="G3078" t="inlineStr">
        <is>
          <t>VARBERG</t>
        </is>
      </c>
      <c r="I3078" t="n">
        <v>1.7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s="2" t="inlineStr"/>
    </row>
    <row r="3079" ht="15" customHeight="1">
      <c r="A3079" t="inlineStr">
        <is>
          <t>S 838-2023</t>
        </is>
      </c>
      <c r="B3079" t="inlineStr">
        <is>
          <t>samrådsanmälan</t>
        </is>
      </c>
      <c r="C3079" t="inlineStr">
        <is>
          <t>Annan skogsbruksåtgärd</t>
        </is>
      </c>
      <c r="D3079" s="1" t="n">
        <v>44992</v>
      </c>
      <c r="E3079" s="1" t="n">
        <v>46315</v>
      </c>
      <c r="F3079" t="inlineStr">
        <is>
          <t>HALLANDS LÄN</t>
        </is>
      </c>
      <c r="G3079" t="inlineStr">
        <is>
          <t>LAHOLM</t>
        </is>
      </c>
      <c r="H3079" t="inlineStr">
        <is>
          <t>Kommuner</t>
        </is>
      </c>
      <c r="I3079" t="n">
        <v>6.6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s="2" t="inlineStr"/>
    </row>
    <row r="3080" ht="15" customHeight="1">
      <c r="A3080" t="inlineStr">
        <is>
          <t>S 872-2024</t>
        </is>
      </c>
      <c r="B3080" t="inlineStr">
        <is>
          <t>samrådsanmälan</t>
        </is>
      </c>
      <c r="C3080" t="inlineStr">
        <is>
          <t>Annan skogsbruksåtgärd</t>
        </is>
      </c>
      <c r="D3080" s="1" t="n">
        <v>45375</v>
      </c>
      <c r="E3080" s="1" t="n">
        <v>46315</v>
      </c>
      <c r="F3080" t="inlineStr">
        <is>
          <t>HALLANDS LÄN</t>
        </is>
      </c>
      <c r="G3080" t="inlineStr">
        <is>
          <t>HYLTE</t>
        </is>
      </c>
      <c r="I3080" t="n">
        <v>1.3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s="2" t="inlineStr"/>
    </row>
    <row r="3081" ht="15" customHeight="1">
      <c r="A3081" t="inlineStr">
        <is>
          <t>S 878-2023</t>
        </is>
      </c>
      <c r="B3081" t="inlineStr">
        <is>
          <t>samrådsanmälan</t>
        </is>
      </c>
      <c r="C3081" t="inlineStr">
        <is>
          <t>Annan skogsbruksåtgärd</t>
        </is>
      </c>
      <c r="D3081" s="1" t="n">
        <v>44995</v>
      </c>
      <c r="E3081" s="1" t="n">
        <v>46315</v>
      </c>
      <c r="F3081" t="inlineStr">
        <is>
          <t>HALLANDS LÄN</t>
        </is>
      </c>
      <c r="G3081" t="inlineStr">
        <is>
          <t>LAHOLM</t>
        </is>
      </c>
      <c r="I3081" t="n">
        <v>0.7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s="2" t="inlineStr"/>
    </row>
    <row r="3082" ht="15" customHeight="1">
      <c r="A3082" t="inlineStr">
        <is>
          <t>S 9294-2021</t>
        </is>
      </c>
      <c r="B3082" t="inlineStr">
        <is>
          <t>samrådsanmälan</t>
        </is>
      </c>
      <c r="C3082" t="inlineStr">
        <is>
          <t>Skogsbilväg</t>
        </is>
      </c>
      <c r="D3082" s="1" t="n">
        <v>44517</v>
      </c>
      <c r="E3082" s="1" t="n">
        <v>46315</v>
      </c>
      <c r="F3082" t="inlineStr">
        <is>
          <t>HALLANDS LÄN</t>
        </is>
      </c>
      <c r="G3082" t="inlineStr">
        <is>
          <t>LAHOLM</t>
        </is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s="2" t="inlineStr"/>
    </row>
    <row r="3083" ht="15" customHeight="1">
      <c r="A3083" t="inlineStr">
        <is>
          <t>S 792-2024</t>
        </is>
      </c>
      <c r="B3083" t="inlineStr">
        <is>
          <t>samrådsanmälan</t>
        </is>
      </c>
      <c r="C3083" t="inlineStr">
        <is>
          <t>Askåterföring</t>
        </is>
      </c>
      <c r="D3083" s="1" t="n">
        <v>45370</v>
      </c>
      <c r="E3083" s="1" t="n">
        <v>46315</v>
      </c>
      <c r="F3083" t="inlineStr">
        <is>
          <t>HALLANDS LÄN</t>
        </is>
      </c>
      <c r="G3083" t="inlineStr">
        <is>
          <t>FALKENBERG</t>
        </is>
      </c>
      <c r="I3083" t="n">
        <v>3.4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s="2" t="inlineStr"/>
    </row>
    <row r="3084" ht="15" customHeight="1">
      <c r="A3084" t="inlineStr">
        <is>
          <t>S 92-2023</t>
        </is>
      </c>
      <c r="B3084" t="inlineStr">
        <is>
          <t>samrådsanmälan</t>
        </is>
      </c>
      <c r="C3084" t="inlineStr">
        <is>
          <t>Askåterföring</t>
        </is>
      </c>
      <c r="D3084" s="1" t="n">
        <v>44931</v>
      </c>
      <c r="E3084" s="1" t="n">
        <v>46315</v>
      </c>
      <c r="F3084" t="inlineStr">
        <is>
          <t>HALLANDS LÄN</t>
        </is>
      </c>
      <c r="G3084" t="inlineStr">
        <is>
          <t>LAHOLM</t>
        </is>
      </c>
      <c r="I3084" t="n">
        <v>85.90000000000001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s="2" t="inlineStr"/>
    </row>
    <row r="3085" ht="15" customHeight="1">
      <c r="A3085" t="inlineStr">
        <is>
          <t>S 4663-2024</t>
        </is>
      </c>
      <c r="B3085" t="inlineStr">
        <is>
          <t>samrådsanmälan</t>
        </is>
      </c>
      <c r="C3085" t="inlineStr">
        <is>
          <t>Annan skogsbruksåtgärd</t>
        </is>
      </c>
      <c r="D3085" s="1" t="n">
        <v>45604</v>
      </c>
      <c r="E3085" s="1" t="n">
        <v>46315</v>
      </c>
      <c r="F3085" t="inlineStr">
        <is>
          <t>HALLANDS LÄN</t>
        </is>
      </c>
      <c r="G3085" t="inlineStr">
        <is>
          <t>HYLTE</t>
        </is>
      </c>
      <c r="I3085" t="n">
        <v>4.1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s="2" t="inlineStr"/>
    </row>
    <row r="3086" ht="15" customHeight="1">
      <c r="A3086" t="inlineStr">
        <is>
          <t>S 59-2025</t>
        </is>
      </c>
      <c r="B3086" t="inlineStr">
        <is>
          <t>samrådsanmälan</t>
        </is>
      </c>
      <c r="C3086" t="inlineStr">
        <is>
          <t>Annan skogsbruksåtgärd</t>
        </is>
      </c>
      <c r="D3086" s="1" t="n">
        <v>45667</v>
      </c>
      <c r="E3086" s="1" t="n">
        <v>46315</v>
      </c>
      <c r="F3086" t="inlineStr">
        <is>
          <t>HALLANDS LÄN</t>
        </is>
      </c>
      <c r="G3086" t="inlineStr">
        <is>
          <t>KUNGSBACKA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s="2" t="inlineStr"/>
    </row>
    <row r="3087" ht="15" customHeight="1">
      <c r="A3087" t="inlineStr">
        <is>
          <t>S 8080-2021</t>
        </is>
      </c>
      <c r="B3087" t="inlineStr">
        <is>
          <t>samrådsanmälan</t>
        </is>
      </c>
      <c r="C3087" t="inlineStr">
        <is>
          <t>Skogsbilväg</t>
        </is>
      </c>
      <c r="D3087" s="1" t="n">
        <v>44489</v>
      </c>
      <c r="E3087" s="1" t="n">
        <v>46315</v>
      </c>
      <c r="F3087" t="inlineStr">
        <is>
          <t>HALLANDS LÄN</t>
        </is>
      </c>
      <c r="G3087" t="inlineStr">
        <is>
          <t>FALKENBERG</t>
        </is>
      </c>
      <c r="H3087" t="inlineStr">
        <is>
          <t>Bergvik skog väst AB</t>
        </is>
      </c>
      <c r="I3087" t="n">
        <v>0.2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s="2" t="inlineStr"/>
    </row>
    <row r="3088" ht="15" customHeight="1">
      <c r="A3088" t="inlineStr">
        <is>
          <t>S 643-2024</t>
        </is>
      </c>
      <c r="B3088" t="inlineStr">
        <is>
          <t>samrådsanmälan</t>
        </is>
      </c>
      <c r="C3088" t="inlineStr">
        <is>
          <t>Askåterföring</t>
        </is>
      </c>
      <c r="D3088" s="1" t="n">
        <v>45356</v>
      </c>
      <c r="E3088" s="1" t="n">
        <v>46315</v>
      </c>
      <c r="F3088" t="inlineStr">
        <is>
          <t>HALLANDS LÄN</t>
        </is>
      </c>
      <c r="G3088" t="inlineStr">
        <is>
          <t>HYLTE</t>
        </is>
      </c>
      <c r="I3088" t="n">
        <v>35.7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s="2" t="inlineStr"/>
    </row>
    <row r="3089" ht="15" customHeight="1">
      <c r="A3089" t="inlineStr">
        <is>
          <t>S 81-2024</t>
        </is>
      </c>
      <c r="B3089" t="inlineStr">
        <is>
          <t>samrådsanmälan</t>
        </is>
      </c>
      <c r="C3089" t="inlineStr">
        <is>
          <t>Askåterföring</t>
        </is>
      </c>
      <c r="D3089" s="1" t="n">
        <v>45300</v>
      </c>
      <c r="E3089" s="1" t="n">
        <v>46315</v>
      </c>
      <c r="F3089" t="inlineStr">
        <is>
          <t>HALLANDS LÄN</t>
        </is>
      </c>
      <c r="G3089" t="inlineStr">
        <is>
          <t>VARBERG</t>
        </is>
      </c>
      <c r="I3089" t="n">
        <v>4.8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s="2" t="inlineStr"/>
    </row>
    <row r="3090" ht="15" customHeight="1">
      <c r="A3090" t="inlineStr">
        <is>
          <t>S 646-2024</t>
        </is>
      </c>
      <c r="B3090" t="inlineStr">
        <is>
          <t>samrådsanmälan</t>
        </is>
      </c>
      <c r="C3090" t="inlineStr">
        <is>
          <t>Askåterföring</t>
        </is>
      </c>
      <c r="D3090" s="1" t="n">
        <v>45356</v>
      </c>
      <c r="E3090" s="1" t="n">
        <v>46315</v>
      </c>
      <c r="F3090" t="inlineStr">
        <is>
          <t>HALLANDS LÄN</t>
        </is>
      </c>
      <c r="G3090" t="inlineStr">
        <is>
          <t>FALKENBERG</t>
        </is>
      </c>
      <c r="I3090" t="n">
        <v>20.7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s="2" t="inlineStr"/>
    </row>
    <row r="3091" ht="15" customHeight="1">
      <c r="A3091" t="inlineStr">
        <is>
          <t>S 9190-2021</t>
        </is>
      </c>
      <c r="B3091" t="inlineStr">
        <is>
          <t>samrådsanmälan</t>
        </is>
      </c>
      <c r="C3091" t="inlineStr">
        <is>
          <t>Skogsbilväg</t>
        </is>
      </c>
      <c r="D3091" s="1" t="n">
        <v>44522</v>
      </c>
      <c r="E3091" s="1" t="n">
        <v>46315</v>
      </c>
      <c r="F3091" t="inlineStr">
        <is>
          <t>HALLANDS LÄN</t>
        </is>
      </c>
      <c r="G3091" t="inlineStr">
        <is>
          <t>VARBERG</t>
        </is>
      </c>
      <c r="I3091" t="n">
        <v>0.6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s="2" t="inlineStr"/>
    </row>
    <row r="3092" ht="15" customHeight="1">
      <c r="A3092" t="inlineStr">
        <is>
          <t>S 559-2024</t>
        </is>
      </c>
      <c r="B3092" t="inlineStr">
        <is>
          <t>samrådsanmälan</t>
        </is>
      </c>
      <c r="C3092" t="inlineStr">
        <is>
          <t>Askåterföring</t>
        </is>
      </c>
      <c r="D3092" s="1" t="n">
        <v>45349</v>
      </c>
      <c r="E3092" s="1" t="n">
        <v>46315</v>
      </c>
      <c r="F3092" t="inlineStr">
        <is>
          <t>HALLANDS LÄN</t>
        </is>
      </c>
      <c r="G3092" t="inlineStr">
        <is>
          <t>HYLTE</t>
        </is>
      </c>
      <c r="I3092" t="n">
        <v>14.4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s="2" t="inlineStr"/>
    </row>
    <row r="3093" ht="15" customHeight="1">
      <c r="A3093" t="inlineStr">
        <is>
          <t>S 82-2024</t>
        </is>
      </c>
      <c r="B3093" t="inlineStr">
        <is>
          <t>samrådsanmälan</t>
        </is>
      </c>
      <c r="C3093" t="inlineStr">
        <is>
          <t>Askåterföring</t>
        </is>
      </c>
      <c r="D3093" s="1" t="n">
        <v>45300</v>
      </c>
      <c r="E3093" s="1" t="n">
        <v>46315</v>
      </c>
      <c r="F3093" t="inlineStr">
        <is>
          <t>HALLANDS LÄN</t>
        </is>
      </c>
      <c r="G3093" t="inlineStr">
        <is>
          <t>VARBERG</t>
        </is>
      </c>
      <c r="I3093" t="n">
        <v>9.6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s="2" t="inlineStr"/>
    </row>
    <row r="3094" ht="15" customHeight="1">
      <c r="A3094" t="inlineStr">
        <is>
          <t>S 366-2024</t>
        </is>
      </c>
      <c r="B3094" t="inlineStr">
        <is>
          <t>samrådsanmälan</t>
        </is>
      </c>
      <c r="C3094" t="inlineStr">
        <is>
          <t>Annan skogsbruksåtgärd</t>
        </is>
      </c>
      <c r="D3094" s="1" t="n">
        <v>45330</v>
      </c>
      <c r="E3094" s="1" t="n">
        <v>46315</v>
      </c>
      <c r="F3094" t="inlineStr">
        <is>
          <t>HALLANDS LÄN</t>
        </is>
      </c>
      <c r="G3094" t="inlineStr">
        <is>
          <t>FALKENBERG</t>
        </is>
      </c>
      <c r="I3094" t="n">
        <v>1.4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s="2" t="inlineStr"/>
    </row>
    <row r="3095" ht="15" customHeight="1">
      <c r="A3095" t="inlineStr">
        <is>
          <t>S 557-2024</t>
        </is>
      </c>
      <c r="B3095" t="inlineStr">
        <is>
          <t>samrådsanmälan</t>
        </is>
      </c>
      <c r="C3095" t="inlineStr">
        <is>
          <t>Askåterföring</t>
        </is>
      </c>
      <c r="D3095" s="1" t="n">
        <v>45349</v>
      </c>
      <c r="E3095" s="1" t="n">
        <v>46315</v>
      </c>
      <c r="F3095" t="inlineStr">
        <is>
          <t>HALLANDS LÄN</t>
        </is>
      </c>
      <c r="G3095" t="inlineStr">
        <is>
          <t>FALKENBERG</t>
        </is>
      </c>
      <c r="I3095" t="n">
        <v>20.6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s="2" t="inlineStr"/>
    </row>
    <row r="3096" ht="15" customHeight="1">
      <c r="A3096" t="inlineStr">
        <is>
          <t>S 108-2025</t>
        </is>
      </c>
      <c r="B3096" t="inlineStr">
        <is>
          <t>samrådsanmälan</t>
        </is>
      </c>
      <c r="C3096" t="inlineStr">
        <is>
          <t>Annan skogsbruksåtgärd</t>
        </is>
      </c>
      <c r="D3096" s="1" t="n">
        <v>45672</v>
      </c>
      <c r="E3096" s="1" t="n">
        <v>46315</v>
      </c>
      <c r="F3096" t="inlineStr">
        <is>
          <t>HALLANDS LÄN</t>
        </is>
      </c>
      <c r="G3096" t="inlineStr">
        <is>
          <t>HALMSTAD</t>
        </is>
      </c>
      <c r="I3096" t="n">
        <v>0.4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s="2" t="inlineStr"/>
    </row>
    <row r="3097" ht="15" customHeight="1">
      <c r="A3097" t="inlineStr">
        <is>
          <t>S 625-2024</t>
        </is>
      </c>
      <c r="B3097" t="inlineStr">
        <is>
          <t>samrådsanmälan</t>
        </is>
      </c>
      <c r="C3097" t="inlineStr">
        <is>
          <t>Askåterföring</t>
        </is>
      </c>
      <c r="D3097" s="1" t="n">
        <v>45352</v>
      </c>
      <c r="E3097" s="1" t="n">
        <v>46315</v>
      </c>
      <c r="F3097" t="inlineStr">
        <is>
          <t>HALLANDS LÄN</t>
        </is>
      </c>
      <c r="G3097" t="inlineStr">
        <is>
          <t>FALKENBERG</t>
        </is>
      </c>
      <c r="I3097" t="n">
        <v>45.6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s="2" t="inlineStr"/>
    </row>
    <row r="3098" ht="15" customHeight="1">
      <c r="A3098" t="inlineStr">
        <is>
          <t>S 1525-2024</t>
        </is>
      </c>
      <c r="B3098" t="inlineStr">
        <is>
          <t>samrådsanmälan</t>
        </is>
      </c>
      <c r="C3098" t="inlineStr">
        <is>
          <t>Askåterföring</t>
        </is>
      </c>
      <c r="D3098" s="1" t="n">
        <v>45425</v>
      </c>
      <c r="E3098" s="1" t="n">
        <v>46315</v>
      </c>
      <c r="F3098" t="inlineStr">
        <is>
          <t>HALLANDS LÄN</t>
        </is>
      </c>
      <c r="G3098" t="inlineStr">
        <is>
          <t>VARBERG</t>
        </is>
      </c>
      <c r="I3098" t="n">
        <v>21.5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s="2" t="inlineStr"/>
    </row>
    <row r="3099" ht="15" customHeight="1">
      <c r="A3099" t="inlineStr">
        <is>
          <t>S 1742-2024</t>
        </is>
      </c>
      <c r="B3099" t="inlineStr">
        <is>
          <t>samrådsanmälan</t>
        </is>
      </c>
      <c r="C3099" t="inlineStr">
        <is>
          <t>Annan skogsbruksåtgärd</t>
        </is>
      </c>
      <c r="D3099" s="1" t="n">
        <v>45435</v>
      </c>
      <c r="E3099" s="1" t="n">
        <v>46315</v>
      </c>
      <c r="F3099" t="inlineStr">
        <is>
          <t>HALLANDS LÄN</t>
        </is>
      </c>
      <c r="G3099" t="inlineStr">
        <is>
          <t>FALKENBERG</t>
        </is>
      </c>
      <c r="I3099" t="n">
        <v>1.8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s="2" t="inlineStr"/>
    </row>
    <row r="3100" ht="15" customHeight="1">
      <c r="A3100" t="inlineStr">
        <is>
          <t>S 794-2024</t>
        </is>
      </c>
      <c r="B3100" t="inlineStr">
        <is>
          <t>samrådsanmälan</t>
        </is>
      </c>
      <c r="C3100" t="inlineStr">
        <is>
          <t>Askåterföring</t>
        </is>
      </c>
      <c r="D3100" s="1" t="n">
        <v>45370</v>
      </c>
      <c r="E3100" s="1" t="n">
        <v>46315</v>
      </c>
      <c r="F3100" t="inlineStr">
        <is>
          <t>HALLANDS LÄN</t>
        </is>
      </c>
      <c r="G3100" t="inlineStr">
        <is>
          <t>FALKENBERG</t>
        </is>
      </c>
      <c r="I3100" t="n">
        <v>33.4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s="2" t="inlineStr"/>
    </row>
    <row r="3101" ht="15" customHeight="1">
      <c r="A3101" t="inlineStr">
        <is>
          <t>S 1601-2024</t>
        </is>
      </c>
      <c r="B3101" t="inlineStr">
        <is>
          <t>samrådsanmälan</t>
        </is>
      </c>
      <c r="C3101" t="inlineStr">
        <is>
          <t>Skogsbilväg</t>
        </is>
      </c>
      <c r="D3101" s="1" t="n">
        <v>45428</v>
      </c>
      <c r="E3101" s="1" t="n">
        <v>46315</v>
      </c>
      <c r="F3101" t="inlineStr">
        <is>
          <t>HALLANDS LÄN</t>
        </is>
      </c>
      <c r="G3101" t="inlineStr">
        <is>
          <t>VARBERG</t>
        </is>
      </c>
      <c r="I3101" t="n">
        <v>0.2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s="2" t="inlineStr"/>
    </row>
    <row r="3102" ht="15" customHeight="1">
      <c r="A3102" t="inlineStr">
        <is>
          <t>S 6863-2022</t>
        </is>
      </c>
      <c r="B3102" t="inlineStr">
        <is>
          <t>samrådsanmälan</t>
        </is>
      </c>
      <c r="C3102" t="inlineStr">
        <is>
          <t>Annan skogsbruksåtgärd</t>
        </is>
      </c>
      <c r="D3102" s="1" t="n">
        <v>44895</v>
      </c>
      <c r="E3102" s="1" t="n">
        <v>46315</v>
      </c>
      <c r="F3102" t="inlineStr">
        <is>
          <t>HALLANDS LÄN</t>
        </is>
      </c>
      <c r="G3102" t="inlineStr">
        <is>
          <t>VARBERG</t>
        </is>
      </c>
      <c r="I3102" t="n">
        <v>1.7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s="2" t="inlineStr"/>
    </row>
    <row r="3103" ht="15" customHeight="1">
      <c r="A3103" t="inlineStr">
        <is>
          <t>S 4192-2024</t>
        </is>
      </c>
      <c r="B3103" t="inlineStr">
        <is>
          <t>samrådsanmälan</t>
        </is>
      </c>
      <c r="C3103" t="inlineStr">
        <is>
          <t>Annan skogsbruksåtgärd</t>
        </is>
      </c>
      <c r="D3103" s="1" t="n">
        <v>45580</v>
      </c>
      <c r="E3103" s="1" t="n">
        <v>46315</v>
      </c>
      <c r="F3103" t="inlineStr">
        <is>
          <t>HALLANDS LÄN</t>
        </is>
      </c>
      <c r="G3103" t="inlineStr">
        <is>
          <t>FALKENBERG</t>
        </is>
      </c>
      <c r="I3103" t="n">
        <v>0.5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s="2" t="inlineStr"/>
    </row>
    <row r="3104" ht="15" customHeight="1">
      <c r="A3104" t="inlineStr">
        <is>
          <t>S 5031-2024</t>
        </is>
      </c>
      <c r="B3104" t="inlineStr">
        <is>
          <t>samrådsanmälan</t>
        </is>
      </c>
      <c r="C3104" t="inlineStr">
        <is>
          <t>Annan skogsbruksåtgärd</t>
        </is>
      </c>
      <c r="D3104" s="1" t="n">
        <v>45635</v>
      </c>
      <c r="E3104" s="1" t="n">
        <v>46315</v>
      </c>
      <c r="F3104" t="inlineStr">
        <is>
          <t>HALLANDS LÄN</t>
        </is>
      </c>
      <c r="G3104" t="inlineStr">
        <is>
          <t>LAHOLM</t>
        </is>
      </c>
      <c r="I3104" t="n">
        <v>1.2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s="2" t="inlineStr"/>
    </row>
    <row r="3105" ht="15" customHeight="1">
      <c r="A3105" t="inlineStr">
        <is>
          <t>S 3713-2024</t>
        </is>
      </c>
      <c r="B3105" t="inlineStr">
        <is>
          <t>samrådsanmälan</t>
        </is>
      </c>
      <c r="C3105" t="inlineStr">
        <is>
          <t>Dikesrensning</t>
        </is>
      </c>
      <c r="D3105" s="1" t="n">
        <v>45554</v>
      </c>
      <c r="E3105" s="1" t="n">
        <v>46315</v>
      </c>
      <c r="F3105" t="inlineStr">
        <is>
          <t>HALLANDS LÄN</t>
        </is>
      </c>
      <c r="G3105" t="inlineStr">
        <is>
          <t>VARBERG</t>
        </is>
      </c>
      <c r="I3105" t="n">
        <v>1.8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s="2" t="inlineStr"/>
    </row>
    <row r="3106" ht="15" customHeight="1">
      <c r="A3106" t="inlineStr">
        <is>
          <t>S 793-2024</t>
        </is>
      </c>
      <c r="B3106" t="inlineStr">
        <is>
          <t>samrådsanmälan</t>
        </is>
      </c>
      <c r="C3106" t="inlineStr">
        <is>
          <t>Askåterföring</t>
        </is>
      </c>
      <c r="D3106" s="1" t="n">
        <v>45370</v>
      </c>
      <c r="E3106" s="1" t="n">
        <v>46315</v>
      </c>
      <c r="F3106" t="inlineStr">
        <is>
          <t>HALLANDS LÄN</t>
        </is>
      </c>
      <c r="G3106" t="inlineStr">
        <is>
          <t>FALKENBERG</t>
        </is>
      </c>
      <c r="I3106" t="n">
        <v>3.9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s="2" t="inlineStr"/>
    </row>
    <row r="3107" ht="15" customHeight="1">
      <c r="A3107" t="inlineStr">
        <is>
          <t>S 403-2024</t>
        </is>
      </c>
      <c r="B3107" t="inlineStr">
        <is>
          <t>samrådsanmälan</t>
        </is>
      </c>
      <c r="C3107" t="inlineStr">
        <is>
          <t>Askåterföring</t>
        </is>
      </c>
      <c r="D3107" s="1" t="n">
        <v>45335</v>
      </c>
      <c r="E3107" s="1" t="n">
        <v>46315</v>
      </c>
      <c r="F3107" t="inlineStr">
        <is>
          <t>HALLANDS LÄN</t>
        </is>
      </c>
      <c r="G3107" t="inlineStr">
        <is>
          <t>FALKENBERG</t>
        </is>
      </c>
      <c r="I3107" t="n">
        <v>19.3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s="2" t="inlineStr"/>
    </row>
    <row r="3108" ht="15" customHeight="1">
      <c r="A3108" t="inlineStr">
        <is>
          <t>S 3407-2024</t>
        </is>
      </c>
      <c r="B3108" t="inlineStr">
        <is>
          <t>samrådsanmälan</t>
        </is>
      </c>
      <c r="C3108" t="inlineStr">
        <is>
          <t>Annan skogsbruksåtgärd</t>
        </is>
      </c>
      <c r="D3108" s="1" t="n">
        <v>45534</v>
      </c>
      <c r="E3108" s="1" t="n">
        <v>46315</v>
      </c>
      <c r="F3108" t="inlineStr">
        <is>
          <t>HALLANDS LÄN</t>
        </is>
      </c>
      <c r="G3108" t="inlineStr">
        <is>
          <t>FALKENBERG</t>
        </is>
      </c>
      <c r="I3108" t="n">
        <v>2.4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s="2" t="inlineStr"/>
    </row>
    <row r="3109" ht="15" customHeight="1">
      <c r="A3109" t="inlineStr">
        <is>
          <t>S 630-2024</t>
        </is>
      </c>
      <c r="B3109" t="inlineStr">
        <is>
          <t>samrådsanmälan</t>
        </is>
      </c>
      <c r="C3109" t="inlineStr">
        <is>
          <t>Askåterföring</t>
        </is>
      </c>
      <c r="D3109" s="1" t="n">
        <v>45355</v>
      </c>
      <c r="E3109" s="1" t="n">
        <v>46315</v>
      </c>
      <c r="F3109" t="inlineStr">
        <is>
          <t>HALLANDS LÄN</t>
        </is>
      </c>
      <c r="G3109" t="inlineStr">
        <is>
          <t>VARBERG</t>
        </is>
      </c>
      <c r="I3109" t="n">
        <v>20.4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s="2" t="inlineStr"/>
    </row>
    <row r="3110" ht="15" customHeight="1">
      <c r="A3110" t="inlineStr">
        <is>
          <t>S 470-2023</t>
        </is>
      </c>
      <c r="B3110" t="inlineStr">
        <is>
          <t>samrådsanmälan</t>
        </is>
      </c>
      <c r="C3110" t="inlineStr">
        <is>
          <t>Annan skogsbruksåtgärd</t>
        </is>
      </c>
      <c r="D3110" s="1" t="n">
        <v>44967</v>
      </c>
      <c r="E3110" s="1" t="n">
        <v>46315</v>
      </c>
      <c r="F3110" t="inlineStr">
        <is>
          <t>HALLANDS LÄN</t>
        </is>
      </c>
      <c r="G3110" t="inlineStr">
        <is>
          <t>FALKENBERG</t>
        </is>
      </c>
      <c r="I3110" t="n">
        <v>0.7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s="2" t="inlineStr"/>
    </row>
    <row r="3111" ht="15" customHeight="1">
      <c r="A3111" t="inlineStr">
        <is>
          <t>S 75-2024</t>
        </is>
      </c>
      <c r="B3111" t="inlineStr">
        <is>
          <t>samrådsanmälan</t>
        </is>
      </c>
      <c r="C3111" t="inlineStr">
        <is>
          <t>Askåterföring</t>
        </is>
      </c>
      <c r="D3111" s="1" t="n">
        <v>45300</v>
      </c>
      <c r="E3111" s="1" t="n">
        <v>46315</v>
      </c>
      <c r="F3111" t="inlineStr">
        <is>
          <t>HALLANDS LÄN</t>
        </is>
      </c>
      <c r="G3111" t="inlineStr">
        <is>
          <t>VARBERG</t>
        </is>
      </c>
      <c r="I3111" t="n">
        <v>28.2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s="2" t="inlineStr"/>
    </row>
    <row r="3112" ht="15" customHeight="1">
      <c r="A3112" t="inlineStr">
        <is>
          <t>S 616-2024</t>
        </is>
      </c>
      <c r="B3112" t="inlineStr">
        <is>
          <t>samrådsanmälan</t>
        </is>
      </c>
      <c r="C3112" t="inlineStr">
        <is>
          <t>Askåterföring</t>
        </is>
      </c>
      <c r="D3112" s="1" t="n">
        <v>45352</v>
      </c>
      <c r="E3112" s="1" t="n">
        <v>46315</v>
      </c>
      <c r="F3112" t="inlineStr">
        <is>
          <t>HALLANDS LÄN</t>
        </is>
      </c>
      <c r="G3112" t="inlineStr">
        <is>
          <t>FALKENBERG</t>
        </is>
      </c>
      <c r="I3112" t="n">
        <v>70.59999999999999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s="2" t="inlineStr"/>
    </row>
    <row r="3113" ht="15" customHeight="1">
      <c r="A3113" t="inlineStr">
        <is>
          <t>S 8081-2021</t>
        </is>
      </c>
      <c r="B3113" t="inlineStr">
        <is>
          <t>samrådsanmälan</t>
        </is>
      </c>
      <c r="C3113" t="inlineStr">
        <is>
          <t>Skogsbilväg</t>
        </is>
      </c>
      <c r="D3113" s="1" t="n">
        <v>44489</v>
      </c>
      <c r="E3113" s="1" t="n">
        <v>46315</v>
      </c>
      <c r="F3113" t="inlineStr">
        <is>
          <t>HALLANDS LÄN</t>
        </is>
      </c>
      <c r="G3113" t="inlineStr">
        <is>
          <t>FALKENBERG</t>
        </is>
      </c>
      <c r="H3113" t="inlineStr">
        <is>
          <t>Bergvik skog väst AB</t>
        </is>
      </c>
      <c r="I3113" t="n">
        <v>0.7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s="2" t="inlineStr"/>
    </row>
    <row r="3114" ht="15" customHeight="1">
      <c r="A3114" t="inlineStr">
        <is>
          <t>S 1009-2025</t>
        </is>
      </c>
      <c r="B3114" t="inlineStr">
        <is>
          <t>samrådsanmälan</t>
        </is>
      </c>
      <c r="C3114" t="inlineStr">
        <is>
          <t>Askåterföring</t>
        </is>
      </c>
      <c r="D3114" s="1" t="n">
        <v>45744</v>
      </c>
      <c r="E3114" s="1" t="n">
        <v>46315</v>
      </c>
      <c r="F3114" t="inlineStr">
        <is>
          <t>HALLANDS LÄN</t>
        </is>
      </c>
      <c r="G3114" t="inlineStr">
        <is>
          <t>FALKENBERG</t>
        </is>
      </c>
      <c r="I3114" t="n">
        <v>19.3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s="2" t="inlineStr"/>
    </row>
    <row r="3115" ht="15" customHeight="1">
      <c r="A3115" t="inlineStr">
        <is>
          <t>S 1008-2025</t>
        </is>
      </c>
      <c r="B3115" t="inlineStr">
        <is>
          <t>samrådsanmälan</t>
        </is>
      </c>
      <c r="C3115" t="inlineStr">
        <is>
          <t>Askåterföring</t>
        </is>
      </c>
      <c r="D3115" s="1" t="n">
        <v>45744</v>
      </c>
      <c r="E3115" s="1" t="n">
        <v>46315</v>
      </c>
      <c r="F3115" t="inlineStr">
        <is>
          <t>HALLANDS LÄN</t>
        </is>
      </c>
      <c r="G3115" t="inlineStr">
        <is>
          <t>FALKENBERG</t>
        </is>
      </c>
      <c r="I3115" t="n">
        <v>13.8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s="2" t="inlineStr"/>
    </row>
    <row r="3116" ht="15" customHeight="1">
      <c r="A3116" t="inlineStr">
        <is>
          <t>S 1010-2025</t>
        </is>
      </c>
      <c r="B3116" t="inlineStr">
        <is>
          <t>samrådsanmälan</t>
        </is>
      </c>
      <c r="C3116" t="inlineStr">
        <is>
          <t>Askåterföring</t>
        </is>
      </c>
      <c r="D3116" s="1" t="n">
        <v>45744</v>
      </c>
      <c r="E3116" s="1" t="n">
        <v>46315</v>
      </c>
      <c r="F3116" t="inlineStr">
        <is>
          <t>HALLANDS LÄN</t>
        </is>
      </c>
      <c r="G3116" t="inlineStr">
        <is>
          <t>HYLTE</t>
        </is>
      </c>
      <c r="I3116" t="n">
        <v>11.2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s="2" t="inlineStr"/>
    </row>
    <row r="3117" ht="15" customHeight="1">
      <c r="A3117" t="inlineStr">
        <is>
          <t>S 1073-2025</t>
        </is>
      </c>
      <c r="B3117" t="inlineStr">
        <is>
          <t>samrådsanmälan</t>
        </is>
      </c>
      <c r="C3117" t="inlineStr">
        <is>
          <t>Askåterföring</t>
        </is>
      </c>
      <c r="D3117" s="1" t="n">
        <v>45750</v>
      </c>
      <c r="E3117" s="1" t="n">
        <v>46315</v>
      </c>
      <c r="F3117" t="inlineStr">
        <is>
          <t>HALLANDS LÄN</t>
        </is>
      </c>
      <c r="G3117" t="inlineStr">
        <is>
          <t>FALKENBERG</t>
        </is>
      </c>
      <c r="I3117" t="n">
        <v>21.5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s="2" t="inlineStr"/>
    </row>
    <row r="3118" ht="15" customHeight="1">
      <c r="A3118" t="inlineStr">
        <is>
          <t>S 1074-2025</t>
        </is>
      </c>
      <c r="B3118" t="inlineStr">
        <is>
          <t>samrådsanmälan</t>
        </is>
      </c>
      <c r="C3118" t="inlineStr">
        <is>
          <t>Askåterföring</t>
        </is>
      </c>
      <c r="D3118" s="1" t="n">
        <v>45750</v>
      </c>
      <c r="E3118" s="1" t="n">
        <v>46315</v>
      </c>
      <c r="F3118" t="inlineStr">
        <is>
          <t>HALLANDS LÄN</t>
        </is>
      </c>
      <c r="G3118" t="inlineStr">
        <is>
          <t>HALMSTAD</t>
        </is>
      </c>
      <c r="I3118" t="n">
        <v>9.5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s="2" t="inlineStr"/>
    </row>
    <row r="3119" ht="15" customHeight="1">
      <c r="A3119" t="inlineStr">
        <is>
          <t>S 1154-2025</t>
        </is>
      </c>
      <c r="B3119" t="inlineStr">
        <is>
          <t>samrådsanmälan</t>
        </is>
      </c>
      <c r="C3119" t="inlineStr">
        <is>
          <t>Askåterföring</t>
        </is>
      </c>
      <c r="D3119" s="1" t="n">
        <v>45756</v>
      </c>
      <c r="E3119" s="1" t="n">
        <v>46315</v>
      </c>
      <c r="F3119" t="inlineStr">
        <is>
          <t>HALLANDS LÄN</t>
        </is>
      </c>
      <c r="G3119" t="inlineStr">
        <is>
          <t>FALKENBERG</t>
        </is>
      </c>
      <c r="I3119" t="n">
        <v>17.8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s="2" t="inlineStr"/>
    </row>
    <row r="3120" ht="15" customHeight="1">
      <c r="A3120" t="inlineStr">
        <is>
          <t>S 624-2025</t>
        </is>
      </c>
      <c r="B3120" t="inlineStr">
        <is>
          <t>samrådsanmälan</t>
        </is>
      </c>
      <c r="C3120" t="inlineStr">
        <is>
          <t>Askåterföring</t>
        </is>
      </c>
      <c r="D3120" s="1" t="n">
        <v>45714</v>
      </c>
      <c r="E3120" s="1" t="n">
        <v>46315</v>
      </c>
      <c r="F3120" t="inlineStr">
        <is>
          <t>HALLANDS LÄN</t>
        </is>
      </c>
      <c r="G3120" t="inlineStr">
        <is>
          <t>HYLTE</t>
        </is>
      </c>
      <c r="I3120" t="n">
        <v>28.2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s="2" t="inlineStr"/>
    </row>
    <row r="3121" ht="15" customHeight="1">
      <c r="A3121" t="inlineStr">
        <is>
          <t>S 5037-2024</t>
        </is>
      </c>
      <c r="B3121" t="inlineStr">
        <is>
          <t>samrådsanmälan</t>
        </is>
      </c>
      <c r="C3121" t="inlineStr">
        <is>
          <t>Annan skogsbruksåtgärd</t>
        </is>
      </c>
      <c r="D3121" s="1" t="n">
        <v>45636</v>
      </c>
      <c r="E3121" s="1" t="n">
        <v>46315</v>
      </c>
      <c r="F3121" t="inlineStr">
        <is>
          <t>HALLANDS LÄN</t>
        </is>
      </c>
      <c r="G3121" t="inlineStr">
        <is>
          <t>HALMSTAD</t>
        </is>
      </c>
      <c r="I3121" t="n">
        <v>4.1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s="2" t="inlineStr"/>
    </row>
    <row r="3122" ht="15" customHeight="1">
      <c r="A3122" t="inlineStr">
        <is>
          <t>S 646-2025</t>
        </is>
      </c>
      <c r="B3122" t="inlineStr">
        <is>
          <t>samrådsanmälan</t>
        </is>
      </c>
      <c r="C3122" t="inlineStr">
        <is>
          <t>Askåterföring</t>
        </is>
      </c>
      <c r="D3122" s="1" t="n">
        <v>45715</v>
      </c>
      <c r="E3122" s="1" t="n">
        <v>46315</v>
      </c>
      <c r="F3122" t="inlineStr">
        <is>
          <t>HALLANDS LÄN</t>
        </is>
      </c>
      <c r="G3122" t="inlineStr">
        <is>
          <t>HYLTE</t>
        </is>
      </c>
      <c r="I3122" t="n">
        <v>11.2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s="2" t="inlineStr"/>
    </row>
    <row r="3123" ht="15" customHeight="1">
      <c r="A3123" t="inlineStr">
        <is>
          <t>S 640-2025</t>
        </is>
      </c>
      <c r="B3123" t="inlineStr">
        <is>
          <t>samrådsanmälan</t>
        </is>
      </c>
      <c r="C3123" t="inlineStr">
        <is>
          <t>Askåterföring</t>
        </is>
      </c>
      <c r="D3123" s="1" t="n">
        <v>45715</v>
      </c>
      <c r="E3123" s="1" t="n">
        <v>46315</v>
      </c>
      <c r="F3123" t="inlineStr">
        <is>
          <t>HALLANDS LÄN</t>
        </is>
      </c>
      <c r="G3123" t="inlineStr">
        <is>
          <t>FALKENBERG</t>
        </is>
      </c>
      <c r="I3123" t="n">
        <v>40.4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s="2" t="inlineStr"/>
    </row>
    <row r="3124" ht="15" customHeight="1">
      <c r="A3124" t="inlineStr">
        <is>
          <t>S 556-2025</t>
        </is>
      </c>
      <c r="B3124" t="inlineStr">
        <is>
          <t>samrådsanmälan</t>
        </is>
      </c>
      <c r="C3124" t="inlineStr">
        <is>
          <t>Annan skogsbruksåtgärd</t>
        </is>
      </c>
      <c r="D3124" s="1" t="n">
        <v>45709</v>
      </c>
      <c r="E3124" s="1" t="n">
        <v>46315</v>
      </c>
      <c r="F3124" t="inlineStr">
        <is>
          <t>HALLANDS LÄN</t>
        </is>
      </c>
      <c r="G3124" t="inlineStr">
        <is>
          <t>HYLTE</t>
        </is>
      </c>
      <c r="I3124" t="n">
        <v>1.3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s="2" t="inlineStr"/>
    </row>
    <row r="3125" ht="15" customHeight="1">
      <c r="A3125" t="inlineStr">
        <is>
          <t>S 865-2025</t>
        </is>
      </c>
      <c r="B3125" t="inlineStr">
        <is>
          <t>samrådsanmälan</t>
        </is>
      </c>
      <c r="C3125" t="inlineStr">
        <is>
          <t>Askåterföring</t>
        </is>
      </c>
      <c r="D3125" s="1" t="n">
        <v>45734</v>
      </c>
      <c r="E3125" s="1" t="n">
        <v>46315</v>
      </c>
      <c r="F3125" t="inlineStr">
        <is>
          <t>HALLANDS LÄN</t>
        </is>
      </c>
      <c r="G3125" t="inlineStr">
        <is>
          <t>HALMSTAD</t>
        </is>
      </c>
      <c r="I3125" t="n">
        <v>2.2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s="2" t="inlineStr"/>
    </row>
    <row r="3126" ht="15" customHeight="1">
      <c r="A3126" t="inlineStr">
        <is>
          <t>S 623-2025</t>
        </is>
      </c>
      <c r="B3126" t="inlineStr">
        <is>
          <t>samrådsanmälan</t>
        </is>
      </c>
      <c r="C3126" t="inlineStr">
        <is>
          <t>Askåterföring</t>
        </is>
      </c>
      <c r="D3126" s="1" t="n">
        <v>45714</v>
      </c>
      <c r="E3126" s="1" t="n">
        <v>46315</v>
      </c>
      <c r="F3126" t="inlineStr">
        <is>
          <t>HALLANDS LÄN</t>
        </is>
      </c>
      <c r="G3126" t="inlineStr">
        <is>
          <t>HYLTE</t>
        </is>
      </c>
      <c r="I3126" t="n">
        <v>25.9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s="2" t="inlineStr"/>
    </row>
    <row r="3127" ht="15" customHeight="1">
      <c r="A3127" t="inlineStr">
        <is>
          <t>S 801-2025</t>
        </is>
      </c>
      <c r="B3127" t="inlineStr">
        <is>
          <t>samrådsanmälan</t>
        </is>
      </c>
      <c r="C3127" t="inlineStr">
        <is>
          <t>Askåterföring</t>
        </is>
      </c>
      <c r="D3127" s="1" t="n">
        <v>45729</v>
      </c>
      <c r="E3127" s="1" t="n">
        <v>46315</v>
      </c>
      <c r="F3127" t="inlineStr">
        <is>
          <t>HALLANDS LÄN</t>
        </is>
      </c>
      <c r="G3127" t="inlineStr">
        <is>
          <t>HALMSTAD</t>
        </is>
      </c>
      <c r="I3127" t="n">
        <v>10.5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s="2" t="inlineStr"/>
    </row>
    <row r="3128" ht="15" customHeight="1">
      <c r="A3128" t="inlineStr">
        <is>
          <t>S 678-2025</t>
        </is>
      </c>
      <c r="B3128" t="inlineStr">
        <is>
          <t>samrådsanmälan</t>
        </is>
      </c>
      <c r="C3128" t="inlineStr">
        <is>
          <t>Askåterföring</t>
        </is>
      </c>
      <c r="D3128" s="1" t="n">
        <v>45716</v>
      </c>
      <c r="E3128" s="1" t="n">
        <v>46315</v>
      </c>
      <c r="F3128" t="inlineStr">
        <is>
          <t>HALLANDS LÄN</t>
        </is>
      </c>
      <c r="G3128" t="inlineStr">
        <is>
          <t>HALMSTAD</t>
        </is>
      </c>
      <c r="I3128" t="n">
        <v>14.5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s="2" t="inlineStr"/>
    </row>
    <row r="3129" ht="15" customHeight="1">
      <c r="A3129" t="inlineStr">
        <is>
          <t>S 1608-2025</t>
        </is>
      </c>
      <c r="B3129" t="inlineStr">
        <is>
          <t>samrådsanmälan</t>
        </is>
      </c>
      <c r="C3129" t="inlineStr">
        <is>
          <t>Askåterföring</t>
        </is>
      </c>
      <c r="D3129" s="1" t="n">
        <v>45799</v>
      </c>
      <c r="E3129" s="1" t="n">
        <v>46315</v>
      </c>
      <c r="F3129" t="inlineStr">
        <is>
          <t>HALLANDS LÄN</t>
        </is>
      </c>
      <c r="G3129" t="inlineStr">
        <is>
          <t>LAHOLM</t>
        </is>
      </c>
      <c r="I3129" t="n">
        <v>24.4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s="2" t="inlineStr"/>
    </row>
    <row r="3130" ht="15" customHeight="1">
      <c r="A3130" t="inlineStr">
        <is>
          <t>S 1772-2025</t>
        </is>
      </c>
      <c r="B3130" t="inlineStr">
        <is>
          <t>samrådsanmälan</t>
        </is>
      </c>
      <c r="C3130" t="inlineStr">
        <is>
          <t>Annan skogsbruksåtgärd</t>
        </is>
      </c>
      <c r="D3130" s="1" t="n">
        <v>45813</v>
      </c>
      <c r="E3130" s="1" t="n">
        <v>46315</v>
      </c>
      <c r="F3130" t="inlineStr">
        <is>
          <t>HALLANDS LÄN</t>
        </is>
      </c>
      <c r="G3130" t="inlineStr">
        <is>
          <t>HYLTE</t>
        </is>
      </c>
      <c r="I3130" t="n">
        <v>4.2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s="2" t="inlineStr"/>
    </row>
    <row r="3131" ht="15" customHeight="1">
      <c r="A3131" t="inlineStr">
        <is>
          <t>S 1782-2025</t>
        </is>
      </c>
      <c r="B3131" t="inlineStr">
        <is>
          <t>samrådsanmälan</t>
        </is>
      </c>
      <c r="C3131" t="inlineStr">
        <is>
          <t>Askåterföring</t>
        </is>
      </c>
      <c r="D3131" s="1" t="n">
        <v>45813</v>
      </c>
      <c r="E3131" s="1" t="n">
        <v>46315</v>
      </c>
      <c r="F3131" t="inlineStr">
        <is>
          <t>HALLANDS LÄN</t>
        </is>
      </c>
      <c r="G3131" t="inlineStr">
        <is>
          <t>HYLTE</t>
        </is>
      </c>
      <c r="I3131" t="n">
        <v>12.2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s="2" t="inlineStr"/>
    </row>
    <row r="3132" ht="15" customHeight="1">
      <c r="A3132" t="inlineStr">
        <is>
          <t>S 1783-2025</t>
        </is>
      </c>
      <c r="B3132" t="inlineStr">
        <is>
          <t>samrådsanmälan</t>
        </is>
      </c>
      <c r="C3132" t="inlineStr">
        <is>
          <t>Askåterföring</t>
        </is>
      </c>
      <c r="D3132" s="1" t="n">
        <v>45813</v>
      </c>
      <c r="E3132" s="1" t="n">
        <v>46315</v>
      </c>
      <c r="F3132" t="inlineStr">
        <is>
          <t>HALLANDS LÄN</t>
        </is>
      </c>
      <c r="G3132" t="inlineStr">
        <is>
          <t>HYLTE</t>
        </is>
      </c>
      <c r="I3132" t="n">
        <v>10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s="2" t="inlineStr"/>
    </row>
    <row r="3133" ht="15" customHeight="1">
      <c r="A3133" t="inlineStr">
        <is>
          <t>S 1844-2025</t>
        </is>
      </c>
      <c r="B3133" t="inlineStr">
        <is>
          <t>samrådsanmälan</t>
        </is>
      </c>
      <c r="C3133" t="inlineStr">
        <is>
          <t>Askåterföring</t>
        </is>
      </c>
      <c r="D3133" s="1" t="n">
        <v>45820</v>
      </c>
      <c r="E3133" s="1" t="n">
        <v>46315</v>
      </c>
      <c r="F3133" t="inlineStr">
        <is>
          <t>HALLANDS LÄN</t>
        </is>
      </c>
      <c r="G3133" t="inlineStr">
        <is>
          <t>HYLTE</t>
        </is>
      </c>
      <c r="I3133" t="n">
        <v>8.6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s="2" t="inlineStr"/>
    </row>
    <row r="3134" ht="15" customHeight="1">
      <c r="A3134" t="inlineStr">
        <is>
          <t>S 1925-2025</t>
        </is>
      </c>
      <c r="B3134" t="inlineStr">
        <is>
          <t>samrådsanmälan</t>
        </is>
      </c>
      <c r="C3134" t="inlineStr">
        <is>
          <t>Annan skogsbruksåtgärd</t>
        </is>
      </c>
      <c r="D3134" s="1" t="n">
        <v>45827</v>
      </c>
      <c r="E3134" s="1" t="n">
        <v>46315</v>
      </c>
      <c r="F3134" t="inlineStr">
        <is>
          <t>HALLANDS LÄN</t>
        </is>
      </c>
      <c r="G3134" t="inlineStr">
        <is>
          <t>HYLTE</t>
        </is>
      </c>
      <c r="I3134" t="n">
        <v>2.5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s="2" t="inlineStr"/>
    </row>
    <row r="3135" ht="15" customHeight="1">
      <c r="A3135" t="inlineStr">
        <is>
          <t>S 2101-2025</t>
        </is>
      </c>
      <c r="B3135" t="inlineStr">
        <is>
          <t>samrådsanmälan</t>
        </is>
      </c>
      <c r="C3135" t="inlineStr">
        <is>
          <t>Askåterföring</t>
        </is>
      </c>
      <c r="D3135" s="1" t="n">
        <v>45845</v>
      </c>
      <c r="E3135" s="1" t="n">
        <v>46315</v>
      </c>
      <c r="F3135" t="inlineStr">
        <is>
          <t>HALLANDS LÄN</t>
        </is>
      </c>
      <c r="G3135" t="inlineStr">
        <is>
          <t>HYLTE</t>
        </is>
      </c>
      <c r="I3135" t="n">
        <v>10.5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s="2" t="inlineStr"/>
    </row>
    <row r="3136" ht="15" customHeight="1">
      <c r="A3136" t="inlineStr">
        <is>
          <t>S 2133-2025</t>
        </is>
      </c>
      <c r="B3136" t="inlineStr">
        <is>
          <t>samrådsanmälan</t>
        </is>
      </c>
      <c r="C3136" t="inlineStr">
        <is>
          <t>Annan skogsbruksåtgärd</t>
        </is>
      </c>
      <c r="D3136" s="1" t="n">
        <v>45847</v>
      </c>
      <c r="E3136" s="1" t="n">
        <v>46315</v>
      </c>
      <c r="F3136" t="inlineStr">
        <is>
          <t>HALLANDS LÄN</t>
        </is>
      </c>
      <c r="G3136" t="inlineStr">
        <is>
          <t>VARBERG</t>
        </is>
      </c>
      <c r="I3136" t="n">
        <v>3.2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s="2" t="inlineStr"/>
    </row>
    <row r="3137" ht="15" customHeight="1">
      <c r="A3137" t="inlineStr">
        <is>
          <t>S 2300-2025</t>
        </is>
      </c>
      <c r="B3137" t="inlineStr">
        <is>
          <t>samrådsanmälan</t>
        </is>
      </c>
      <c r="C3137" t="inlineStr">
        <is>
          <t>Askåterföring</t>
        </is>
      </c>
      <c r="D3137" s="1" t="n">
        <v>45880</v>
      </c>
      <c r="E3137" s="1" t="n">
        <v>46315</v>
      </c>
      <c r="F3137" t="inlineStr">
        <is>
          <t>HALLANDS LÄN</t>
        </is>
      </c>
      <c r="G3137" t="inlineStr">
        <is>
          <t>LAHOLM</t>
        </is>
      </c>
      <c r="I3137" t="n">
        <v>55.6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s="2" t="inlineStr"/>
    </row>
    <row r="3138" ht="15" customHeight="1">
      <c r="A3138" t="inlineStr">
        <is>
          <t>S 2312-2025</t>
        </is>
      </c>
      <c r="B3138" t="inlineStr">
        <is>
          <t>samrådsanmälan</t>
        </is>
      </c>
      <c r="C3138" t="inlineStr">
        <is>
          <t>Askåterföring</t>
        </is>
      </c>
      <c r="D3138" s="1" t="n">
        <v>45883</v>
      </c>
      <c r="E3138" s="1" t="n">
        <v>46315</v>
      </c>
      <c r="F3138" t="inlineStr">
        <is>
          <t>HALLANDS LÄN</t>
        </is>
      </c>
      <c r="G3138" t="inlineStr">
        <is>
          <t>HYLTE</t>
        </is>
      </c>
      <c r="I3138" t="n">
        <v>55.7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s="2" t="inlineStr"/>
    </row>
    <row r="3139" ht="15" customHeight="1">
      <c r="A3139" t="inlineStr">
        <is>
          <t>S 2536-2025</t>
        </is>
      </c>
      <c r="B3139" t="inlineStr">
        <is>
          <t>samrådsanmälan</t>
        </is>
      </c>
      <c r="C3139" t="inlineStr">
        <is>
          <t>Annan skogsbruksåtgärd</t>
        </is>
      </c>
      <c r="D3139" s="1" t="n">
        <v>45910</v>
      </c>
      <c r="E3139" s="1" t="n">
        <v>46315</v>
      </c>
      <c r="F3139" t="inlineStr">
        <is>
          <t>HALLANDS LÄN</t>
        </is>
      </c>
      <c r="G3139" t="inlineStr">
        <is>
          <t>FALKENBERG</t>
        </is>
      </c>
      <c r="I3139" t="n">
        <v>7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s="2" t="inlineStr"/>
    </row>
    <row r="3140" ht="15" customHeight="1">
      <c r="A3140" t="inlineStr">
        <is>
          <t>S 2584-2025</t>
        </is>
      </c>
      <c r="B3140" t="inlineStr">
        <is>
          <t>samrådsanmälan</t>
        </is>
      </c>
      <c r="C3140" t="inlineStr">
        <is>
          <t>Askåterföring</t>
        </is>
      </c>
      <c r="D3140" s="1" t="n">
        <v>45915</v>
      </c>
      <c r="E3140" s="1" t="n">
        <v>46315</v>
      </c>
      <c r="F3140" t="inlineStr">
        <is>
          <t>HALLANDS LÄN</t>
        </is>
      </c>
      <c r="G3140" t="inlineStr">
        <is>
          <t>HYLTE</t>
        </is>
      </c>
      <c r="I3140" t="n">
        <v>27.4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s="2" t="inlineStr"/>
    </row>
    <row r="3141" ht="15" customHeight="1">
      <c r="A3141" t="inlineStr">
        <is>
          <t>S 2920-2025</t>
        </is>
      </c>
      <c r="B3141" t="inlineStr">
        <is>
          <t>samrådsanmälan</t>
        </is>
      </c>
      <c r="C3141" t="inlineStr">
        <is>
          <t>Askåterföring</t>
        </is>
      </c>
      <c r="D3141" s="1" t="n">
        <v>45950</v>
      </c>
      <c r="E3141" s="1" t="n">
        <v>46315</v>
      </c>
      <c r="F3141" t="inlineStr">
        <is>
          <t>HALLANDS LÄN</t>
        </is>
      </c>
      <c r="G3141" t="inlineStr">
        <is>
          <t>LAHOLM</t>
        </is>
      </c>
      <c r="I3141" t="n">
        <v>30.1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s="2" t="inlineStr"/>
    </row>
    <row r="3142" ht="15" customHeight="1">
      <c r="A3142" t="inlineStr">
        <is>
          <t>S 7-2026</t>
        </is>
      </c>
      <c r="B3142" t="inlineStr">
        <is>
          <t>samrådsanmälan</t>
        </is>
      </c>
      <c r="C3142" t="inlineStr">
        <is>
          <t>Annan skogsbruksåtgärd</t>
        </is>
      </c>
      <c r="D3142" s="1" t="n">
        <v>46020</v>
      </c>
      <c r="E3142" s="1" t="n">
        <v>46315</v>
      </c>
      <c r="F3142" t="inlineStr">
        <is>
          <t>HALLANDS LÄN</t>
        </is>
      </c>
      <c r="G3142" t="inlineStr">
        <is>
          <t>FALKENBERG</t>
        </is>
      </c>
      <c r="I3142" t="n">
        <v>0.8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s="2" t="inlineStr"/>
    </row>
    <row r="3143" ht="15" customHeight="1">
      <c r="A3143" t="inlineStr">
        <is>
          <t>S 68-2026</t>
        </is>
      </c>
      <c r="B3143" t="inlineStr">
        <is>
          <t>samrådsanmälan</t>
        </is>
      </c>
      <c r="C3143" t="inlineStr">
        <is>
          <t>Annan skogsbruksåtgärd</t>
        </is>
      </c>
      <c r="D3143" s="1" t="n">
        <v>46035</v>
      </c>
      <c r="E3143" s="1" t="n">
        <v>46315</v>
      </c>
      <c r="F3143" t="inlineStr">
        <is>
          <t>HALLANDS LÄN</t>
        </is>
      </c>
      <c r="G3143" t="inlineStr">
        <is>
          <t>LAHOLM</t>
        </is>
      </c>
      <c r="I3143" t="n">
        <v>0.2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s="2" t="inlineStr"/>
    </row>
    <row r="3144" ht="15" customHeight="1">
      <c r="A3144" t="inlineStr">
        <is>
          <t>S 139-2026</t>
        </is>
      </c>
      <c r="B3144" t="inlineStr">
        <is>
          <t>samrådsanmälan</t>
        </is>
      </c>
      <c r="C3144" t="inlineStr">
        <is>
          <t>Askåterföring</t>
        </is>
      </c>
      <c r="D3144" s="1" t="n">
        <v>46042</v>
      </c>
      <c r="E3144" s="1" t="n">
        <v>46315</v>
      </c>
      <c r="F3144" t="inlineStr">
        <is>
          <t>HALLANDS LÄN</t>
        </is>
      </c>
      <c r="G3144" t="inlineStr">
        <is>
          <t>VARBERG</t>
        </is>
      </c>
      <c r="I3144" t="n">
        <v>38.9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s="2" t="inlineStr"/>
    </row>
    <row r="3145" ht="15" customHeight="1">
      <c r="A3145" t="inlineStr">
        <is>
          <t>S 140-2026</t>
        </is>
      </c>
      <c r="B3145" t="inlineStr">
        <is>
          <t>samrådsanmälan</t>
        </is>
      </c>
      <c r="C3145" t="inlineStr">
        <is>
          <t>Askåterföring</t>
        </is>
      </c>
      <c r="D3145" s="1" t="n">
        <v>46042</v>
      </c>
      <c r="E3145" s="1" t="n">
        <v>46315</v>
      </c>
      <c r="F3145" t="inlineStr">
        <is>
          <t>HALLANDS LÄN</t>
        </is>
      </c>
      <c r="G3145" t="inlineStr">
        <is>
          <t>VARBERG</t>
        </is>
      </c>
      <c r="I3145" t="n">
        <v>23.1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s="2" t="inlineStr"/>
    </row>
    <row r="3146" ht="15" customHeight="1">
      <c r="A3146" t="inlineStr">
        <is>
          <t>S 128-2026</t>
        </is>
      </c>
      <c r="B3146" t="inlineStr">
        <is>
          <t>samrådsanmälan</t>
        </is>
      </c>
      <c r="C3146" t="inlineStr">
        <is>
          <t>Askåterföring</t>
        </is>
      </c>
      <c r="D3146" s="1" t="n">
        <v>46041</v>
      </c>
      <c r="E3146" s="1" t="n">
        <v>46315</v>
      </c>
      <c r="F3146" t="inlineStr">
        <is>
          <t>HALLANDS LÄN</t>
        </is>
      </c>
      <c r="G3146" t="inlineStr">
        <is>
          <t>HYLTE</t>
        </is>
      </c>
      <c r="I3146" t="n">
        <v>29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s="2" t="inlineStr"/>
    </row>
    <row r="3147" ht="15" customHeight="1">
      <c r="A3147" t="inlineStr">
        <is>
          <t>S 138-2026</t>
        </is>
      </c>
      <c r="B3147" t="inlineStr">
        <is>
          <t>samrådsanmälan</t>
        </is>
      </c>
      <c r="C3147" t="inlineStr">
        <is>
          <t>Askåterföring</t>
        </is>
      </c>
      <c r="D3147" s="1" t="n">
        <v>46042</v>
      </c>
      <c r="E3147" s="1" t="n">
        <v>46315</v>
      </c>
      <c r="F3147" t="inlineStr">
        <is>
          <t>HALLANDS LÄN</t>
        </is>
      </c>
      <c r="G3147" t="inlineStr">
        <is>
          <t>FALKENBERG</t>
        </is>
      </c>
      <c r="I3147" t="n">
        <v>31.6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s="2" t="inlineStr"/>
    </row>
    <row r="3148" ht="15" customHeight="1">
      <c r="A3148" t="inlineStr">
        <is>
          <t>S 141-2026</t>
        </is>
      </c>
      <c r="B3148" t="inlineStr">
        <is>
          <t>samrådsanmälan</t>
        </is>
      </c>
      <c r="C3148" t="inlineStr">
        <is>
          <t>Askåterföring</t>
        </is>
      </c>
      <c r="D3148" s="1" t="n">
        <v>46042</v>
      </c>
      <c r="E3148" s="1" t="n">
        <v>46315</v>
      </c>
      <c r="F3148" t="inlineStr">
        <is>
          <t>HALLANDS LÄN</t>
        </is>
      </c>
      <c r="G3148" t="inlineStr">
        <is>
          <t>VARBERG</t>
        </is>
      </c>
      <c r="I3148" t="n">
        <v>6.5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s="2" t="inlineStr"/>
    </row>
    <row r="3149" ht="15" customHeight="1">
      <c r="A3149" t="inlineStr">
        <is>
          <t>S 313-2026</t>
        </is>
      </c>
      <c r="B3149" t="inlineStr">
        <is>
          <t>samrådsanmälan</t>
        </is>
      </c>
      <c r="C3149" t="inlineStr">
        <is>
          <t>Annan skogsbruksåtgärd</t>
        </is>
      </c>
      <c r="D3149" s="1" t="n">
        <v>46058</v>
      </c>
      <c r="E3149" s="1" t="n">
        <v>46315</v>
      </c>
      <c r="F3149" t="inlineStr">
        <is>
          <t>HALLANDS LÄN</t>
        </is>
      </c>
      <c r="G3149" t="inlineStr">
        <is>
          <t>FALKENBERG</t>
        </is>
      </c>
      <c r="I3149" t="n">
        <v>0.7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s="2" t="inlineStr"/>
    </row>
    <row r="3150" ht="15" customHeight="1">
      <c r="A3150" t="inlineStr">
        <is>
          <t>S 442-2026</t>
        </is>
      </c>
      <c r="B3150" t="inlineStr">
        <is>
          <t>samrådsanmälan</t>
        </is>
      </c>
      <c r="C3150" t="inlineStr">
        <is>
          <t>Annan skogsbruksåtgärd</t>
        </is>
      </c>
      <c r="D3150" s="1" t="n">
        <v>46072</v>
      </c>
      <c r="E3150" s="1" t="n">
        <v>46315</v>
      </c>
      <c r="F3150" t="inlineStr">
        <is>
          <t>HALLANDS LÄN</t>
        </is>
      </c>
      <c r="G3150" t="inlineStr">
        <is>
          <t>LAHOLM</t>
        </is>
      </c>
      <c r="I3150" t="n">
        <v>0.7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s="2" t="inlineStr"/>
    </row>
    <row r="3151" ht="15" customHeight="1">
      <c r="A3151" t="inlineStr">
        <is>
          <t>S 673-2026</t>
        </is>
      </c>
      <c r="B3151" t="inlineStr">
        <is>
          <t>samrådsanmälan</t>
        </is>
      </c>
      <c r="C3151" t="inlineStr">
        <is>
          <t>Annan skogsbruksåtgärd</t>
        </is>
      </c>
      <c r="D3151" s="1" t="n">
        <v>46091</v>
      </c>
      <c r="E3151" s="1" t="n">
        <v>46315</v>
      </c>
      <c r="F3151" t="inlineStr">
        <is>
          <t>HALLANDS LÄN</t>
        </is>
      </c>
      <c r="G3151" t="inlineStr">
        <is>
          <t>LAHOLM</t>
        </is>
      </c>
      <c r="H3151" t="inlineStr">
        <is>
          <t>Sveaskog</t>
        </is>
      </c>
      <c r="I3151" t="n">
        <v>1.4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s="2" t="inlineStr"/>
    </row>
    <row r="3152" ht="15" customHeight="1">
      <c r="A3152" t="inlineStr">
        <is>
          <t>S 675-2026</t>
        </is>
      </c>
      <c r="B3152" t="inlineStr">
        <is>
          <t>samrådsanmälan</t>
        </is>
      </c>
      <c r="C3152" t="inlineStr">
        <is>
          <t>Annan skogsbruksåtgärd</t>
        </is>
      </c>
      <c r="D3152" s="1" t="n">
        <v>46091</v>
      </c>
      <c r="E3152" s="1" t="n">
        <v>46315</v>
      </c>
      <c r="F3152" t="inlineStr">
        <is>
          <t>HALLANDS LÄN</t>
        </is>
      </c>
      <c r="G3152" t="inlineStr">
        <is>
          <t>LAHOLM</t>
        </is>
      </c>
      <c r="H3152" t="inlineStr">
        <is>
          <t>Sveaskog</t>
        </is>
      </c>
      <c r="I3152" t="n">
        <v>8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s="2" t="inlineStr"/>
    </row>
    <row r="3153" ht="15" customHeight="1">
      <c r="A3153" t="inlineStr">
        <is>
          <t>S 674-2026</t>
        </is>
      </c>
      <c r="B3153" t="inlineStr">
        <is>
          <t>samrådsanmälan</t>
        </is>
      </c>
      <c r="C3153" t="inlineStr">
        <is>
          <t>Annan skogsbruksåtgärd</t>
        </is>
      </c>
      <c r="D3153" s="1" t="n">
        <v>46091</v>
      </c>
      <c r="E3153" s="1" t="n">
        <v>46315</v>
      </c>
      <c r="F3153" t="inlineStr">
        <is>
          <t>HALLANDS LÄN</t>
        </is>
      </c>
      <c r="G3153" t="inlineStr">
        <is>
          <t>LAHOLM</t>
        </is>
      </c>
      <c r="H3153" t="inlineStr">
        <is>
          <t>Sveaskog</t>
        </is>
      </c>
      <c r="I3153" t="n">
        <v>2.9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s="2" t="inlineStr"/>
    </row>
    <row r="3154" ht="15" customHeight="1">
      <c r="A3154" t="inlineStr">
        <is>
          <t>S 721-2026</t>
        </is>
      </c>
      <c r="B3154" t="inlineStr">
        <is>
          <t>samrådsanmälan</t>
        </is>
      </c>
      <c r="C3154" t="inlineStr">
        <is>
          <t>Askåterföring</t>
        </is>
      </c>
      <c r="D3154" s="1" t="n">
        <v>46094</v>
      </c>
      <c r="E3154" s="1" t="n">
        <v>46315</v>
      </c>
      <c r="F3154" t="inlineStr">
        <is>
          <t>HALLANDS LÄN</t>
        </is>
      </c>
      <c r="G3154" t="inlineStr">
        <is>
          <t>LAHOLM</t>
        </is>
      </c>
      <c r="I3154" t="n">
        <v>27.6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s="2" t="inlineStr"/>
    </row>
    <row r="3155" ht="15" customHeight="1">
      <c r="A3155" t="inlineStr">
        <is>
          <t>S 765-2026</t>
        </is>
      </c>
      <c r="B3155" t="inlineStr">
        <is>
          <t>samrådsanmälan</t>
        </is>
      </c>
      <c r="C3155" t="inlineStr">
        <is>
          <t>Annan skogsbruksåtgärd</t>
        </is>
      </c>
      <c r="D3155" s="1" t="n">
        <v>46098</v>
      </c>
      <c r="E3155" s="1" t="n">
        <v>46315</v>
      </c>
      <c r="F3155" t="inlineStr">
        <is>
          <t>HALLANDS LÄN</t>
        </is>
      </c>
      <c r="G3155" t="inlineStr">
        <is>
          <t>LAHOLM</t>
        </is>
      </c>
      <c r="H3155" t="inlineStr">
        <is>
          <t>Sveaskog</t>
        </is>
      </c>
      <c r="I3155" t="n">
        <v>2.1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s="2" t="inlineStr"/>
    </row>
    <row r="3156" ht="15" customHeight="1">
      <c r="A3156" t="inlineStr">
        <is>
          <t>S 1015-2026</t>
        </is>
      </c>
      <c r="B3156" t="inlineStr">
        <is>
          <t>samrådsanmälan</t>
        </is>
      </c>
      <c r="C3156" t="inlineStr">
        <is>
          <t>Askåterföring</t>
        </is>
      </c>
      <c r="D3156" s="1" t="n">
        <v>46122</v>
      </c>
      <c r="E3156" s="1" t="n">
        <v>46315</v>
      </c>
      <c r="F3156" t="inlineStr">
        <is>
          <t>HALLANDS LÄN</t>
        </is>
      </c>
      <c r="G3156" t="inlineStr">
        <is>
          <t>FALKENBERG</t>
        </is>
      </c>
      <c r="I3156" t="n">
        <v>24.7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s="2" t="inlineStr"/>
    </row>
    <row r="3157" ht="15" customHeight="1">
      <c r="A3157" t="inlineStr">
        <is>
          <t>S 1110-2026</t>
        </is>
      </c>
      <c r="B3157" t="inlineStr">
        <is>
          <t>samrådsanmälan</t>
        </is>
      </c>
      <c r="C3157" t="inlineStr">
        <is>
          <t>Annan skogsbruksåtgärd</t>
        </is>
      </c>
      <c r="D3157" s="1" t="n">
        <v>46133</v>
      </c>
      <c r="E3157" s="1" t="n">
        <v>46315</v>
      </c>
      <c r="F3157" t="inlineStr">
        <is>
          <t>HALLANDS LÄN</t>
        </is>
      </c>
      <c r="G3157" t="inlineStr">
        <is>
          <t>HYLTE</t>
        </is>
      </c>
      <c r="I3157" t="n">
        <v>2.3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s="2" t="inlineStr"/>
    </row>
    <row r="3158" ht="15" customHeight="1">
      <c r="A3158" t="inlineStr">
        <is>
          <t>S 1268-2026</t>
        </is>
      </c>
      <c r="B3158" t="inlineStr">
        <is>
          <t>samrådsanmälan</t>
        </is>
      </c>
      <c r="C3158" t="inlineStr">
        <is>
          <t>Annan skogsbruksåtgärd</t>
        </is>
      </c>
      <c r="D3158" s="1" t="n">
        <v>46147</v>
      </c>
      <c r="E3158" s="1" t="n">
        <v>46315</v>
      </c>
      <c r="F3158" t="inlineStr">
        <is>
          <t>HALLANDS LÄN</t>
        </is>
      </c>
      <c r="G3158" t="inlineStr">
        <is>
          <t>HYLTE</t>
        </is>
      </c>
      <c r="I3158" t="n">
        <v>1.2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s="2" t="inlineStr"/>
    </row>
    <row r="3159" ht="15" customHeight="1">
      <c r="A3159" t="inlineStr">
        <is>
          <t>S 1400-2026</t>
        </is>
      </c>
      <c r="B3159" t="inlineStr">
        <is>
          <t>samrådsanmälan</t>
        </is>
      </c>
      <c r="C3159" t="inlineStr">
        <is>
          <t>Askåterföring</t>
        </is>
      </c>
      <c r="D3159" s="1" t="n">
        <v>46154</v>
      </c>
      <c r="E3159" s="1" t="n">
        <v>46315</v>
      </c>
      <c r="F3159" t="inlineStr">
        <is>
          <t>HALLANDS LÄN</t>
        </is>
      </c>
      <c r="G3159" t="inlineStr">
        <is>
          <t>VARBERG</t>
        </is>
      </c>
      <c r="I3159" t="n">
        <v>15.4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s="2" t="inlineStr"/>
    </row>
    <row r="3160" ht="15" customHeight="1">
      <c r="A3160" t="inlineStr">
        <is>
          <t>S 1401-2026</t>
        </is>
      </c>
      <c r="B3160" t="inlineStr">
        <is>
          <t>samrådsanmälan</t>
        </is>
      </c>
      <c r="C3160" t="inlineStr">
        <is>
          <t>Askåterföring</t>
        </is>
      </c>
      <c r="D3160" s="1" t="n">
        <v>46154</v>
      </c>
      <c r="E3160" s="1" t="n">
        <v>46315</v>
      </c>
      <c r="F3160" t="inlineStr">
        <is>
          <t>HALLANDS LÄN</t>
        </is>
      </c>
      <c r="G3160" t="inlineStr">
        <is>
          <t>FALKENBERG</t>
        </is>
      </c>
      <c r="I3160" t="n">
        <v>3.3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s="2" t="inlineStr"/>
    </row>
    <row r="3161" ht="15" customHeight="1">
      <c r="A3161" t="inlineStr">
        <is>
          <t>S 1402-2026</t>
        </is>
      </c>
      <c r="B3161" t="inlineStr">
        <is>
          <t>samrådsanmälan</t>
        </is>
      </c>
      <c r="C3161" t="inlineStr">
        <is>
          <t>Askåterföring</t>
        </is>
      </c>
      <c r="D3161" s="1" t="n">
        <v>46154</v>
      </c>
      <c r="E3161" s="1" t="n">
        <v>46315</v>
      </c>
      <c r="F3161" t="inlineStr">
        <is>
          <t>HALLANDS LÄN</t>
        </is>
      </c>
      <c r="G3161" t="inlineStr">
        <is>
          <t>VARBERG</t>
        </is>
      </c>
      <c r="I3161" t="n">
        <v>8.800000000000001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s="2" t="inlineStr"/>
    </row>
    <row r="3162" ht="15" customHeight="1">
      <c r="A3162" t="inlineStr">
        <is>
          <t>S 1398-2026</t>
        </is>
      </c>
      <c r="B3162" t="inlineStr">
        <is>
          <t>samrådsanmälan</t>
        </is>
      </c>
      <c r="C3162" t="inlineStr">
        <is>
          <t>Askåterföring</t>
        </is>
      </c>
      <c r="D3162" s="1" t="n">
        <v>46154</v>
      </c>
      <c r="E3162" s="1" t="n">
        <v>46315</v>
      </c>
      <c r="F3162" t="inlineStr">
        <is>
          <t>HALLANDS LÄN</t>
        </is>
      </c>
      <c r="G3162" t="inlineStr">
        <is>
          <t>FALKENBERG</t>
        </is>
      </c>
      <c r="I3162" t="n">
        <v>1.7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s="2" t="inlineStr"/>
    </row>
    <row r="3163" ht="15" customHeight="1">
      <c r="A3163" t="inlineStr">
        <is>
          <t>S 1399-2026</t>
        </is>
      </c>
      <c r="B3163" t="inlineStr">
        <is>
          <t>samrådsanmälan</t>
        </is>
      </c>
      <c r="C3163" t="inlineStr">
        <is>
          <t>Askåterföring</t>
        </is>
      </c>
      <c r="D3163" s="1" t="n">
        <v>46154</v>
      </c>
      <c r="E3163" s="1" t="n">
        <v>46315</v>
      </c>
      <c r="F3163" t="inlineStr">
        <is>
          <t>HALLANDS LÄN</t>
        </is>
      </c>
      <c r="G3163" t="inlineStr">
        <is>
          <t>FALKENBERG</t>
        </is>
      </c>
      <c r="I3163" t="n">
        <v>4.6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s="2" t="inlineStr"/>
    </row>
    <row r="3164" ht="15" customHeight="1">
      <c r="A3164" t="inlineStr">
        <is>
          <t>S 1397-2026</t>
        </is>
      </c>
      <c r="B3164" t="inlineStr">
        <is>
          <t>samrådsanmälan</t>
        </is>
      </c>
      <c r="C3164" t="inlineStr">
        <is>
          <t>Askåterföring</t>
        </is>
      </c>
      <c r="D3164" s="1" t="n">
        <v>46154</v>
      </c>
      <c r="E3164" s="1" t="n">
        <v>46315</v>
      </c>
      <c r="F3164" t="inlineStr">
        <is>
          <t>HALLANDS LÄN</t>
        </is>
      </c>
      <c r="G3164" t="inlineStr">
        <is>
          <t>FALKENBERG</t>
        </is>
      </c>
      <c r="I3164" t="n">
        <v>2.5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s="2" t="inlineStr"/>
    </row>
    <row r="3165" ht="15" customHeight="1">
      <c r="A3165" t="inlineStr">
        <is>
          <t>S 1442-2026</t>
        </is>
      </c>
      <c r="B3165" t="inlineStr">
        <is>
          <t>samrådsanmälan</t>
        </is>
      </c>
      <c r="C3165" t="inlineStr">
        <is>
          <t>Annan skogsbruksåtgärd</t>
        </is>
      </c>
      <c r="D3165" s="1" t="n">
        <v>46160</v>
      </c>
      <c r="E3165" s="1" t="n">
        <v>46315</v>
      </c>
      <c r="F3165" t="inlineStr">
        <is>
          <t>HALLANDS LÄN</t>
        </is>
      </c>
      <c r="G3165" t="inlineStr">
        <is>
          <t>FALKENBERG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s="2" t="inlineStr"/>
    </row>
    <row r="3166" ht="15" customHeight="1">
      <c r="A3166" t="inlineStr">
        <is>
          <t>S 1503-2026</t>
        </is>
      </c>
      <c r="B3166" t="inlineStr">
        <is>
          <t>samrådsanmälan</t>
        </is>
      </c>
      <c r="C3166" t="inlineStr">
        <is>
          <t>Annan skogsbruksåtgärd</t>
        </is>
      </c>
      <c r="D3166" s="1" t="n">
        <v>46163</v>
      </c>
      <c r="E3166" s="1" t="n">
        <v>46315</v>
      </c>
      <c r="F3166" t="inlineStr">
        <is>
          <t>HALLANDS LÄN</t>
        </is>
      </c>
      <c r="G3166" t="inlineStr">
        <is>
          <t>HALMSTAD</t>
        </is>
      </c>
      <c r="I3166" t="n">
        <v>2.1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s="2" t="inlineStr"/>
    </row>
    <row r="3167" ht="15" customHeight="1">
      <c r="A3167" t="inlineStr">
        <is>
          <t>S 2002-2026</t>
        </is>
      </c>
      <c r="B3167" t="inlineStr">
        <is>
          <t>samrådsanmälan</t>
        </is>
      </c>
      <c r="C3167" t="inlineStr">
        <is>
          <t>Annan skogsbruksåtgärd</t>
        </is>
      </c>
      <c r="D3167" s="1" t="n">
        <v>46206</v>
      </c>
      <c r="E3167" s="1" t="n">
        <v>46315</v>
      </c>
      <c r="F3167" t="inlineStr">
        <is>
          <t>HALLANDS LÄN</t>
        </is>
      </c>
      <c r="G3167" t="inlineStr">
        <is>
          <t>FALKENBERG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s="2" t="inlineStr"/>
    </row>
    <row r="3168" ht="15" customHeight="1">
      <c r="A3168" t="inlineStr">
        <is>
          <t>S 2016-2026</t>
        </is>
      </c>
      <c r="B3168" t="inlineStr">
        <is>
          <t>samrådsanmälan</t>
        </is>
      </c>
      <c r="C3168" t="inlineStr">
        <is>
          <t>Annan skogsbruksåtgärd</t>
        </is>
      </c>
      <c r="D3168" s="1" t="n">
        <v>46212</v>
      </c>
      <c r="E3168" s="1" t="n">
        <v>46315</v>
      </c>
      <c r="F3168" t="inlineStr">
        <is>
          <t>HALLANDS LÄN</t>
        </is>
      </c>
      <c r="G3168" t="inlineStr">
        <is>
          <t>HALMSTAD</t>
        </is>
      </c>
      <c r="I3168" t="n">
        <v>18.8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s="2" t="inlineStr"/>
    </row>
    <row r="3169" ht="15" customHeight="1">
      <c r="A3169" t="inlineStr">
        <is>
          <t>S 2032-2026</t>
        </is>
      </c>
      <c r="B3169" t="inlineStr">
        <is>
          <t>samrådsanmälan</t>
        </is>
      </c>
      <c r="C3169" t="inlineStr">
        <is>
          <t>Annan skogsbruksåtgärd</t>
        </is>
      </c>
      <c r="D3169" s="1" t="n">
        <v>46211</v>
      </c>
      <c r="E3169" s="1" t="n">
        <v>46315</v>
      </c>
      <c r="F3169" t="inlineStr">
        <is>
          <t>HALLANDS LÄN</t>
        </is>
      </c>
      <c r="G3169" t="inlineStr">
        <is>
          <t>HYLTE</t>
        </is>
      </c>
      <c r="I3169" t="n">
        <v>8.4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s="2" t="inlineStr"/>
    </row>
    <row r="3170" ht="15" customHeight="1">
      <c r="A3170" t="inlineStr">
        <is>
          <t>S 2493-2026</t>
        </is>
      </c>
      <c r="B3170" t="inlineStr">
        <is>
          <t>samrådsanmälan</t>
        </is>
      </c>
      <c r="C3170" t="inlineStr">
        <is>
          <t>Askåterföring</t>
        </is>
      </c>
      <c r="D3170" s="1" t="n">
        <v>46288</v>
      </c>
      <c r="E3170" s="1" t="n">
        <v>46315</v>
      </c>
      <c r="F3170" t="inlineStr">
        <is>
          <t>HALLANDS LÄN</t>
        </is>
      </c>
      <c r="G3170" t="inlineStr">
        <is>
          <t>LAHOLM</t>
        </is>
      </c>
      <c r="I3170" t="n">
        <v>12.3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s="2" t="inlineStr"/>
    </row>
    <row r="3171" ht="15" customHeight="1">
      <c r="A3171" t="inlineStr">
        <is>
          <t>S 2118-2026</t>
        </is>
      </c>
      <c r="B3171" t="inlineStr">
        <is>
          <t>samrådsanmälan</t>
        </is>
      </c>
      <c r="C3171" t="inlineStr">
        <is>
          <t>Annan skogsbruksåtgärd</t>
        </is>
      </c>
      <c r="D3171" s="1" t="n">
        <v>46244</v>
      </c>
      <c r="E3171" s="1" t="n">
        <v>46315</v>
      </c>
      <c r="F3171" t="inlineStr">
        <is>
          <t>HALLANDS LÄN</t>
        </is>
      </c>
      <c r="G3171" t="inlineStr">
        <is>
          <t>HALMSTAD</t>
        </is>
      </c>
      <c r="I3171" t="n">
        <v>1.2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s="2" t="inlineStr"/>
    </row>
    <row r="3172" ht="15" customHeight="1">
      <c r="A3172" t="inlineStr">
        <is>
          <t>S 2516-2026</t>
        </is>
      </c>
      <c r="B3172" t="inlineStr">
        <is>
          <t>samrådsanmälan</t>
        </is>
      </c>
      <c r="C3172" t="inlineStr">
        <is>
          <t>Askåterföring</t>
        </is>
      </c>
      <c r="D3172" s="1" t="n">
        <v>46290</v>
      </c>
      <c r="E3172" s="1" t="n">
        <v>46315</v>
      </c>
      <c r="F3172" t="inlineStr">
        <is>
          <t>HALLANDS LÄN</t>
        </is>
      </c>
      <c r="G3172" t="inlineStr">
        <is>
          <t>HYLTE</t>
        </is>
      </c>
      <c r="I3172" t="n">
        <v>18.4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s="2" t="inlineStr"/>
    </row>
    <row r="3173" ht="15" customHeight="1">
      <c r="A3173" t="inlineStr">
        <is>
          <t>S 2182-2026</t>
        </is>
      </c>
      <c r="B3173" t="inlineStr">
        <is>
          <t>samrådsanmälan</t>
        </is>
      </c>
      <c r="C3173" t="inlineStr">
        <is>
          <t>Askåterföring</t>
        </is>
      </c>
      <c r="D3173" s="1" t="n">
        <v>46253</v>
      </c>
      <c r="E3173" s="1" t="n">
        <v>46315</v>
      </c>
      <c r="F3173" t="inlineStr">
        <is>
          <t>HALLANDS LÄN</t>
        </is>
      </c>
      <c r="G3173" t="inlineStr">
        <is>
          <t>HYLTE</t>
        </is>
      </c>
      <c r="I3173" t="n">
        <v>43.1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s="2" t="inlineStr"/>
    </row>
    <row r="3174" ht="15" customHeight="1">
      <c r="A3174" t="inlineStr">
        <is>
          <t>S 2183-2026</t>
        </is>
      </c>
      <c r="B3174" t="inlineStr">
        <is>
          <t>samrådsanmälan</t>
        </is>
      </c>
      <c r="C3174" t="inlineStr">
        <is>
          <t>Askåterföring</t>
        </is>
      </c>
      <c r="D3174" s="1" t="n">
        <v>46253</v>
      </c>
      <c r="E3174" s="1" t="n">
        <v>46315</v>
      </c>
      <c r="F3174" t="inlineStr">
        <is>
          <t>HALLANDS LÄN</t>
        </is>
      </c>
      <c r="G3174" t="inlineStr">
        <is>
          <t>FALKENBERG</t>
        </is>
      </c>
      <c r="H3174" t="inlineStr">
        <is>
          <t>Bergvik skog väst AB</t>
        </is>
      </c>
      <c r="I3174" t="n">
        <v>14.4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s="2" t="inlineStr"/>
    </row>
    <row r="3175" ht="15" customHeight="1">
      <c r="A3175" t="inlineStr">
        <is>
          <t>S 2273-2026</t>
        </is>
      </c>
      <c r="B3175" t="inlineStr">
        <is>
          <t>samrådsanmälan</t>
        </is>
      </c>
      <c r="C3175" t="inlineStr">
        <is>
          <t>Annan skogsbruksåtgärd</t>
        </is>
      </c>
      <c r="D3175" s="1" t="n">
        <v>46264</v>
      </c>
      <c r="E3175" s="1" t="n">
        <v>46315</v>
      </c>
      <c r="F3175" t="inlineStr">
        <is>
          <t>HALLANDS LÄN</t>
        </is>
      </c>
      <c r="G3175" t="inlineStr">
        <is>
          <t>VARBERG</t>
        </is>
      </c>
      <c r="I3175" t="n">
        <v>0.6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s="2" t="inlineStr"/>
    </row>
    <row r="3176">
      <c r="A3176" t="inlineStr">
        <is>
          <t>S 2663-2026</t>
        </is>
      </c>
      <c r="B3176" t="inlineStr">
        <is>
          <t>samrådsanmälan</t>
        </is>
      </c>
      <c r="C3176" t="inlineStr">
        <is>
          <t>Annan skogsbruksåtgärd</t>
        </is>
      </c>
      <c r="D3176" s="1" t="n">
        <v>46308</v>
      </c>
      <c r="E3176" s="1" t="n">
        <v>46315</v>
      </c>
      <c r="F3176" t="inlineStr">
        <is>
          <t>HALLANDS LÄN</t>
        </is>
      </c>
      <c r="G3176" t="inlineStr">
        <is>
          <t>FALKENBERG</t>
        </is>
      </c>
      <c r="I3176" t="n">
        <v>4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2026-10-20T01:50:34Z</dcterms:created>
  <dcterms:modified xmlns:dcterms="http://purl.org/dc/terms/" xmlns:xsi="http://www.w3.org/2001/XMLSchema-instance" xsi:type="dcterms:W3CDTF">2026-10-20T01:50:37Z</dcterms:modified>
</cp:coreProperties>
</file>